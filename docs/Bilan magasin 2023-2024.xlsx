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930" yWindow="1320" windowWidth="19440" windowHeight="6885" tabRatio="881" activeTab="2"/>
  </bookViews>
  <sheets>
    <sheet name="Données" sheetId="25" r:id="rId1"/>
    <sheet name="Nv capital" sheetId="22" r:id="rId2"/>
    <sheet name=" Bilan cloture" sheetId="24" r:id="rId3"/>
    <sheet name="Repartition globale" sheetId="11" r:id="rId4"/>
    <sheet name="Avances asso" sheetId="17" r:id="rId5"/>
    <sheet name="Fiche associé" sheetId="6" r:id="rId6"/>
    <sheet name=" Bilan départ" sheetId="26" r:id="rId7"/>
    <sheet name="stoks arg" sheetId="33" r:id="rId8"/>
    <sheet name="stok PO" sheetId="35" r:id="rId9"/>
    <sheet name="stocks or" sheetId="28" r:id="rId10"/>
    <sheet name="client" sheetId="29" r:id="rId11"/>
    <sheet name="Frs" sheetId="31" r:id="rId12"/>
    <sheet name="personnel" sheetId="30" r:id="rId13"/>
    <sheet name="Invest Mag" sheetId="27" r:id="rId14"/>
    <sheet name="invest AtB3" sheetId="32" r:id="rId15"/>
    <sheet name="invest Atb1" sheetId="34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10" hidden="1">client!$A$5:$J$189</definedName>
    <definedName name="_xlnm._FilterDatabase" localSheetId="11" hidden="1">Frs!$A$6:$J$21</definedName>
    <definedName name="_xlnm._FilterDatabase" localSheetId="15" hidden="1">'invest Atb1'!$A$9:$EB$9</definedName>
    <definedName name="_xlnm._FilterDatabase" localSheetId="14" hidden="1">'invest AtB3'!$A$2:$F$58</definedName>
    <definedName name="_xlnm._FilterDatabase" localSheetId="13" hidden="1">'Invest Mag'!$A$9:$E$86</definedName>
    <definedName name="_xlnm._FilterDatabase" localSheetId="1" hidden="1">'Nv capital'!$A$10:$H$15</definedName>
    <definedName name="_xlnm._FilterDatabase" localSheetId="12" hidden="1">personnel!$A$5:$K$5</definedName>
    <definedName name="_xlnm._FilterDatabase" localSheetId="9" hidden="1">'stocks or'!$A$4:$I$44</definedName>
    <definedName name="_xlnm._FilterDatabase" localSheetId="7" hidden="1">'stoks arg'!$B$4:$G$4</definedName>
    <definedName name="ANNEE">#REF!</definedName>
    <definedName name="Budget" localSheetId="13">[1]Budget!$B$5:$O$28</definedName>
    <definedName name="Budget">#REF!</definedName>
    <definedName name="BudgetCum" localSheetId="13">[1]Budget!$B$31:$O$54</definedName>
    <definedName name="BudgetCum">#REF!</definedName>
    <definedName name="CA" localSheetId="10">[2]TDB!$B$4:$O$15</definedName>
    <definedName name="CA" localSheetId="11">[2]TDB!$B$4:$O$15</definedName>
    <definedName name="CA" localSheetId="13">[2]TDB!$B$4:$O$15</definedName>
    <definedName name="CA" localSheetId="12">[2]TDB!$B$4:$O$15</definedName>
    <definedName name="CA" localSheetId="9">[2]TDB!$B$4:$O$15</definedName>
    <definedName name="CA">[3]TDB!$B$4:$O$15</definedName>
    <definedName name="cge" localSheetId="13">#REF!</definedName>
    <definedName name="cge">#REF!</definedName>
    <definedName name="CH" localSheetId="10">[2]TDB!$A$20:$O$42</definedName>
    <definedName name="CH" localSheetId="11">[2]TDB!$A$20:$O$42</definedName>
    <definedName name="CH" localSheetId="13">[2]TDB!$A$20:$O$42</definedName>
    <definedName name="CH" localSheetId="12">[2]TDB!$A$20:$O$42</definedName>
    <definedName name="CH" localSheetId="9">[2]TDB!$A$20:$O$42</definedName>
    <definedName name="CH">[3]TDB!$A$20:$O$42</definedName>
    <definedName name="data1" localSheetId="10">'[4]Cal. 1'!$AQ$4:$AQ$23</definedName>
    <definedName name="data1" localSheetId="0">'[5]Cal. 1'!$AQ$4:$AQ$23</definedName>
    <definedName name="data1" localSheetId="11">'[4]Cal. 1'!$AQ$4:$AQ$23</definedName>
    <definedName name="data1" localSheetId="13">'[4]Cal. 1'!$AQ$4:$AQ$23</definedName>
    <definedName name="data1" localSheetId="12">'[4]Cal. 1'!$AQ$4:$AQ$23</definedName>
    <definedName name="data1" localSheetId="9">'[4]Cal. 1'!$AQ$4:$AQ$23</definedName>
    <definedName name="data1">'[5]Cal. 1'!$AQ$4:$AQ$23</definedName>
    <definedName name="data2" localSheetId="10">'[4]Cal. 1'!$AT$4:$AT$23</definedName>
    <definedName name="data2" localSheetId="0">'[5]Cal. 1'!$AT$4:$AT$23</definedName>
    <definedName name="data2" localSheetId="11">'[4]Cal. 1'!$AT$4:$AT$23</definedName>
    <definedName name="data2" localSheetId="13">'[4]Cal. 1'!$AT$4:$AT$23</definedName>
    <definedName name="data2" localSheetId="12">'[4]Cal. 1'!$AT$4:$AT$23</definedName>
    <definedName name="data2" localSheetId="9">'[4]Cal. 1'!$AT$4:$AT$23</definedName>
    <definedName name="data2">'[5]Cal. 1'!$AT$4:$AT$23</definedName>
    <definedName name="Entrée">#REF!</definedName>
    <definedName name="f" localSheetId="13">#REF!</definedName>
    <definedName name="f">#REF!</definedName>
    <definedName name="Feries" localSheetId="10">[4]BDD!$A$2:$A$18</definedName>
    <definedName name="Feries" localSheetId="0">[5]BDD!$A$2:$A$18</definedName>
    <definedName name="Feries" localSheetId="11">[4]BDD!$A$2:$A$18</definedName>
    <definedName name="Feries" localSheetId="13">[4]BDD!$A$2:$A$18</definedName>
    <definedName name="Feries" localSheetId="12">[4]BDD!$A$2:$A$18</definedName>
    <definedName name="Feries" localSheetId="9">[4]BDD!$A$2:$A$18</definedName>
    <definedName name="Feries">[5]BDD!$A$2:$A$18</definedName>
    <definedName name="Fournisseur">#REF!+#REF!</definedName>
    <definedName name="Frais">[6]Annexe!$A$4:$A$21</definedName>
    <definedName name="_xlnm.Print_Titles" localSheetId="1">'Nv capital'!$10:$10</definedName>
    <definedName name="nom" localSheetId="13">#REF!</definedName>
    <definedName name="nom">#REF!</definedName>
    <definedName name="Obj" localSheetId="13">'[1]CA Objectif'!$B$3:$O$13</definedName>
    <definedName name="Obj">#REF!</definedName>
    <definedName name="OCA" localSheetId="10">'[2]TDB prev'!$B$2:$O$13</definedName>
    <definedName name="OCA" localSheetId="11">'[2]TDB prev'!$B$2:$O$13</definedName>
    <definedName name="OCA" localSheetId="13">'[2]TDB prev'!$B$2:$O$13</definedName>
    <definedName name="OCA" localSheetId="12">'[2]TDB prev'!$B$2:$O$13</definedName>
    <definedName name="OCA" localSheetId="9">'[2]TDB prev'!$B$2:$O$13</definedName>
    <definedName name="OCA">'[3]TDB prev'!$B$2:$O$13</definedName>
    <definedName name="OCH" localSheetId="10">'[2]TDB prev'!$B$16:$O$38</definedName>
    <definedName name="OCH" localSheetId="11">'[2]TDB prev'!$B$16:$O$38</definedName>
    <definedName name="OCH" localSheetId="13">'[2]TDB prev'!$B$16:$O$38</definedName>
    <definedName name="OCH" localSheetId="12">'[2]TDB prev'!$B$16:$O$38</definedName>
    <definedName name="OCH" localSheetId="9">'[2]TDB prev'!$B$16:$O$38</definedName>
    <definedName name="OCH">'[3]TDB prev'!$B$16:$O$38</definedName>
    <definedName name="PBa" localSheetId="13">#REF!</definedName>
    <definedName name="PBa">#REF!</definedName>
    <definedName name="Projet">[6]Annexe!$J$4:$J$23</definedName>
    <definedName name="Réference">#REF!</definedName>
    <definedName name="RT" localSheetId="13">[1]TDB!$B$45:$O$51</definedName>
    <definedName name="RT">#REF!</definedName>
    <definedName name="tbo" localSheetId="13">#REF!</definedName>
    <definedName name="tbo">#REF!</definedName>
    <definedName name="TdbCA" localSheetId="13">[1]TDB!$B$4:$P$14</definedName>
    <definedName name="TdbCA">#REF!</definedName>
    <definedName name="TdbCh" localSheetId="13">[1]TDB!$A$19:$O$42</definedName>
    <definedName name="TdbCh">#REF!</definedName>
    <definedName name="TR" localSheetId="10">[2]TDB!$B$45:$O$52</definedName>
    <definedName name="TR" localSheetId="11">[2]TDB!$B$45:$O$52</definedName>
    <definedName name="TR" localSheetId="13">[2]TDB!$B$45:$O$52</definedName>
    <definedName name="TR" localSheetId="12">[2]TDB!$B$45:$O$52</definedName>
    <definedName name="TR" localSheetId="9">[2]TDB!$B$45:$O$52</definedName>
    <definedName name="TR">[3]TDB!$B$45:$O$52</definedName>
    <definedName name="Transfert">[6]Annexe!$K$4:$K$5</definedName>
    <definedName name="_xlnm.Print_Area" localSheetId="5">'Fiche associé'!$A$1:$C$33</definedName>
    <definedName name="_xlnm.Print_Area" localSheetId="1">'Nv capital'!$A$1:$I$15</definedName>
    <definedName name="_xlnm.Print_Area" localSheetId="3">'Repartition globale'!$A$6:$M$45</definedName>
  </definedNames>
  <calcPr calcId="144525"/>
</workbook>
</file>

<file path=xl/calcChain.xml><?xml version="1.0" encoding="utf-8"?>
<calcChain xmlns="http://schemas.openxmlformats.org/spreadsheetml/2006/main">
  <c r="C13" i="22" l="1"/>
  <c r="I18" i="11" l="1"/>
  <c r="C41" i="11"/>
  <c r="C40" i="11"/>
  <c r="C39" i="11"/>
  <c r="C38" i="11"/>
  <c r="C37" i="11"/>
  <c r="C36" i="11"/>
  <c r="C35" i="11"/>
  <c r="C34" i="11"/>
  <c r="C33" i="11"/>
  <c r="C32" i="11"/>
  <c r="C31" i="11"/>
  <c r="C27" i="11"/>
  <c r="H8" i="11"/>
  <c r="G8" i="11"/>
  <c r="G5" i="22"/>
  <c r="C9" i="22" l="1"/>
  <c r="C42" i="11" l="1"/>
  <c r="D42" i="11"/>
  <c r="I42" i="11"/>
  <c r="I41" i="11"/>
  <c r="D40" i="11"/>
  <c r="I40" i="11"/>
  <c r="D39" i="11"/>
  <c r="I39" i="11"/>
  <c r="D38" i="11"/>
  <c r="I38" i="11"/>
  <c r="D37" i="11"/>
  <c r="I37" i="11"/>
  <c r="D36" i="11"/>
  <c r="I36" i="11"/>
  <c r="D35" i="11"/>
  <c r="I35" i="11"/>
  <c r="D34" i="11"/>
  <c r="I34" i="11"/>
  <c r="D33" i="11"/>
  <c r="I33" i="11"/>
  <c r="D32" i="11"/>
  <c r="I32" i="11"/>
  <c r="D31" i="11"/>
  <c r="I31" i="11"/>
  <c r="B42" i="11"/>
  <c r="G40" i="22"/>
  <c r="I40" i="22" s="1"/>
  <c r="H40" i="22"/>
  <c r="B41" i="11"/>
  <c r="G39" i="22"/>
  <c r="I39" i="22" s="1"/>
  <c r="D41" i="11" s="1"/>
  <c r="H39" i="22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19" i="11"/>
  <c r="B18" i="11"/>
  <c r="C30" i="11"/>
  <c r="C28" i="11"/>
  <c r="J13" i="31" l="1"/>
  <c r="G6" i="22" l="1"/>
  <c r="D27" i="24" l="1"/>
  <c r="D26" i="24"/>
  <c r="D8" i="28"/>
  <c r="C6" i="17" l="1"/>
  <c r="D7" i="28"/>
  <c r="D9" i="33" l="1"/>
  <c r="D5" i="33"/>
  <c r="D6" i="33" l="1"/>
  <c r="D7" i="33"/>
  <c r="C13" i="28"/>
  <c r="C9" i="28"/>
  <c r="C15" i="28"/>
  <c r="C10" i="28"/>
  <c r="C18" i="28"/>
  <c r="D23" i="28"/>
  <c r="C12" i="28"/>
  <c r="I12" i="28"/>
  <c r="I23" i="28"/>
  <c r="I24" i="28"/>
  <c r="I21" i="28"/>
  <c r="I17" i="28"/>
  <c r="I16" i="28"/>
  <c r="C11" i="28"/>
  <c r="I9" i="28" l="1"/>
  <c r="I13" i="28"/>
  <c r="C20" i="28"/>
  <c r="I10" i="28"/>
  <c r="I11" i="28"/>
  <c r="D28" i="24"/>
  <c r="C28" i="24"/>
  <c r="I20" i="28"/>
  <c r="I18" i="28"/>
  <c r="C14" i="28"/>
  <c r="I14" i="28"/>
  <c r="I15" i="28"/>
  <c r="D22" i="24"/>
  <c r="F4" i="22" l="1"/>
  <c r="G38" i="22"/>
  <c r="H38" i="22"/>
  <c r="I38" i="22"/>
  <c r="G37" i="22"/>
  <c r="H37" i="22"/>
  <c r="I37" i="22"/>
  <c r="G36" i="22"/>
  <c r="H36" i="22"/>
  <c r="I36" i="22"/>
  <c r="G35" i="22"/>
  <c r="H35" i="22"/>
  <c r="I35" i="22"/>
  <c r="G34" i="22"/>
  <c r="H34" i="22"/>
  <c r="I34" i="22"/>
  <c r="G33" i="22"/>
  <c r="I33" i="22" s="1"/>
  <c r="H33" i="22"/>
  <c r="G32" i="22"/>
  <c r="H32" i="22"/>
  <c r="I32" i="22"/>
  <c r="G31" i="22"/>
  <c r="I31" i="22" s="1"/>
  <c r="H31" i="22"/>
  <c r="G30" i="22"/>
  <c r="I30" i="22" s="1"/>
  <c r="H30" i="22"/>
  <c r="H29" i="22"/>
  <c r="G29" i="22"/>
  <c r="I29" i="22" s="1"/>
  <c r="C24" i="22"/>
  <c r="C26" i="11" s="1"/>
  <c r="C19" i="22"/>
  <c r="C18" i="22"/>
  <c r="I15" i="11" l="1"/>
  <c r="I27" i="11" l="1"/>
  <c r="I26" i="11"/>
  <c r="I25" i="11"/>
  <c r="I30" i="11"/>
  <c r="I29" i="11"/>
  <c r="C29" i="11"/>
  <c r="C24" i="11"/>
  <c r="C23" i="11"/>
  <c r="C22" i="11"/>
  <c r="C20" i="11"/>
  <c r="C19" i="11"/>
  <c r="I28" i="11"/>
  <c r="I20" i="11"/>
  <c r="I19" i="11"/>
  <c r="B17" i="17"/>
  <c r="B16" i="17"/>
  <c r="B15" i="17"/>
  <c r="B14" i="17"/>
  <c r="B13" i="17"/>
  <c r="B12" i="17"/>
  <c r="B11" i="17"/>
  <c r="B10" i="17"/>
  <c r="B9" i="17"/>
  <c r="B8" i="17"/>
  <c r="B7" i="17"/>
  <c r="G34" i="33" l="1"/>
  <c r="G33" i="33"/>
  <c r="G32" i="33"/>
  <c r="G8" i="33"/>
  <c r="G9" i="35"/>
  <c r="G8" i="35"/>
  <c r="G7" i="35"/>
  <c r="G31" i="33"/>
  <c r="G30" i="33"/>
  <c r="G29" i="33"/>
  <c r="G28" i="33"/>
  <c r="G22" i="33"/>
  <c r="G11" i="33"/>
  <c r="G27" i="33"/>
  <c r="G26" i="33"/>
  <c r="G25" i="33"/>
  <c r="G17" i="33"/>
  <c r="I5" i="28"/>
  <c r="G15" i="33"/>
  <c r="G12" i="33"/>
  <c r="G13" i="33"/>
  <c r="G14" i="33"/>
  <c r="G16" i="33"/>
  <c r="G18" i="33"/>
  <c r="G19" i="33"/>
  <c r="G20" i="33"/>
  <c r="G21" i="33"/>
  <c r="G23" i="33"/>
  <c r="G24" i="33"/>
  <c r="G6" i="35"/>
  <c r="G10" i="33"/>
  <c r="G9" i="33"/>
  <c r="G7" i="33"/>
  <c r="I7" i="28" l="1"/>
  <c r="C4" i="17" l="1"/>
  <c r="I22" i="28" l="1"/>
  <c r="I8" i="28" l="1"/>
  <c r="I6" i="28"/>
  <c r="G6" i="33"/>
  <c r="I19" i="28" l="1"/>
  <c r="G5" i="33"/>
  <c r="G5" i="35"/>
  <c r="G28" i="22" l="1"/>
  <c r="H28" i="22"/>
  <c r="G27" i="22"/>
  <c r="H27" i="22"/>
  <c r="G26" i="22"/>
  <c r="H26" i="22"/>
  <c r="G25" i="22"/>
  <c r="H25" i="22"/>
  <c r="H24" i="22"/>
  <c r="G24" i="22"/>
  <c r="G3" i="35" l="1"/>
  <c r="G1" i="35"/>
  <c r="D14" i="24" s="1"/>
  <c r="D3" i="35"/>
  <c r="D53" i="27" l="1"/>
  <c r="C25" i="11" l="1"/>
  <c r="I24" i="11"/>
  <c r="I23" i="11"/>
  <c r="I22" i="11"/>
  <c r="C21" i="11"/>
  <c r="I21" i="11"/>
  <c r="F138" i="34" l="1"/>
  <c r="F137" i="34"/>
  <c r="F136" i="34"/>
  <c r="F135" i="34"/>
  <c r="F134" i="34"/>
  <c r="F133" i="34"/>
  <c r="F132" i="34"/>
  <c r="F131" i="34"/>
  <c r="F130" i="34"/>
  <c r="F129" i="34"/>
  <c r="F128" i="34"/>
  <c r="F127" i="34"/>
  <c r="F126" i="34"/>
  <c r="F125" i="34"/>
  <c r="F124" i="34"/>
  <c r="F123" i="34"/>
  <c r="F122" i="34"/>
  <c r="F121" i="34"/>
  <c r="F120" i="34"/>
  <c r="F119" i="34"/>
  <c r="F118" i="34"/>
  <c r="F117" i="34"/>
  <c r="F116" i="34"/>
  <c r="F115" i="34"/>
  <c r="F114" i="34"/>
  <c r="F113" i="34"/>
  <c r="F112" i="34"/>
  <c r="F111" i="34"/>
  <c r="F110" i="34"/>
  <c r="F109" i="34"/>
  <c r="F108" i="34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93" i="34"/>
  <c r="F92" i="34"/>
  <c r="F91" i="34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AU59" i="34"/>
  <c r="F59" i="34"/>
  <c r="F58" i="34"/>
  <c r="F57" i="34"/>
  <c r="F56" i="34"/>
  <c r="AU55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EB9" i="34"/>
  <c r="EA9" i="34"/>
  <c r="DN9" i="34"/>
  <c r="DM9" i="34"/>
  <c r="CZ9" i="34"/>
  <c r="CY9" i="34"/>
  <c r="CL9" i="34"/>
  <c r="CK9" i="34"/>
  <c r="BX9" i="34"/>
  <c r="BW9" i="34"/>
  <c r="BJ9" i="34"/>
  <c r="BI9" i="34"/>
  <c r="AV9" i="34"/>
  <c r="AU9" i="34"/>
  <c r="AH9" i="34"/>
  <c r="AG9" i="34"/>
  <c r="T9" i="34"/>
  <c r="S9" i="34"/>
  <c r="G9" i="34"/>
  <c r="G48" i="34" s="1"/>
  <c r="S48" i="34" s="1"/>
  <c r="D8" i="34"/>
  <c r="EB6" i="34"/>
  <c r="DN6" i="34"/>
  <c r="CZ6" i="34"/>
  <c r="CL6" i="34"/>
  <c r="BX6" i="34"/>
  <c r="BJ6" i="34"/>
  <c r="AV6" i="34"/>
  <c r="AH6" i="34"/>
  <c r="T6" i="34"/>
  <c r="EB5" i="34"/>
  <c r="DN5" i="34"/>
  <c r="CZ5" i="34"/>
  <c r="CL5" i="34"/>
  <c r="BX5" i="34"/>
  <c r="BJ5" i="34"/>
  <c r="AV5" i="34"/>
  <c r="AH5" i="34"/>
  <c r="T5" i="34"/>
  <c r="H9" i="34" l="1"/>
  <c r="G10" i="34"/>
  <c r="G13" i="34"/>
  <c r="S13" i="34" s="1"/>
  <c r="G15" i="34"/>
  <c r="S15" i="34" s="1"/>
  <c r="G17" i="34"/>
  <c r="S17" i="34" s="1"/>
  <c r="G19" i="34"/>
  <c r="S19" i="34" s="1"/>
  <c r="G21" i="34"/>
  <c r="S21" i="34" s="1"/>
  <c r="G23" i="34"/>
  <c r="S23" i="34" s="1"/>
  <c r="G25" i="34"/>
  <c r="S25" i="34" s="1"/>
  <c r="H26" i="34"/>
  <c r="G27" i="34"/>
  <c r="S27" i="34" s="1"/>
  <c r="G30" i="34"/>
  <c r="S30" i="34" s="1"/>
  <c r="H31" i="34"/>
  <c r="G32" i="34"/>
  <c r="S32" i="34" s="1"/>
  <c r="H33" i="34"/>
  <c r="G34" i="34"/>
  <c r="S34" i="34" s="1"/>
  <c r="H35" i="34"/>
  <c r="G36" i="34"/>
  <c r="S36" i="34" s="1"/>
  <c r="H37" i="34"/>
  <c r="G38" i="34"/>
  <c r="S38" i="34" s="1"/>
  <c r="H39" i="34"/>
  <c r="G40" i="34"/>
  <c r="S40" i="34" s="1"/>
  <c r="H41" i="34"/>
  <c r="G42" i="34"/>
  <c r="S42" i="34" s="1"/>
  <c r="H43" i="34"/>
  <c r="G44" i="34"/>
  <c r="S44" i="34" s="1"/>
  <c r="H45" i="34"/>
  <c r="G46" i="34"/>
  <c r="S46" i="34" s="1"/>
  <c r="H47" i="34"/>
  <c r="H49" i="34"/>
  <c r="G137" i="34"/>
  <c r="S137" i="34" s="1"/>
  <c r="G135" i="34"/>
  <c r="S135" i="34" s="1"/>
  <c r="G133" i="34"/>
  <c r="S133" i="34" s="1"/>
  <c r="G130" i="34"/>
  <c r="S130" i="34" s="1"/>
  <c r="G128" i="34"/>
  <c r="S128" i="34" s="1"/>
  <c r="G122" i="34"/>
  <c r="S122" i="34" s="1"/>
  <c r="G125" i="34"/>
  <c r="S125" i="34" s="1"/>
  <c r="G123" i="34"/>
  <c r="S123" i="34" s="1"/>
  <c r="G121" i="34"/>
  <c r="S121" i="34" s="1"/>
  <c r="G120" i="34"/>
  <c r="S120" i="34" s="1"/>
  <c r="G118" i="34"/>
  <c r="S118" i="34" s="1"/>
  <c r="G116" i="34"/>
  <c r="S116" i="34" s="1"/>
  <c r="G114" i="34"/>
  <c r="S114" i="34" s="1"/>
  <c r="G112" i="34"/>
  <c r="S112" i="34" s="1"/>
  <c r="G104" i="34"/>
  <c r="S104" i="34" s="1"/>
  <c r="G102" i="34"/>
  <c r="S102" i="34" s="1"/>
  <c r="G109" i="34"/>
  <c r="S109" i="34" s="1"/>
  <c r="G107" i="34"/>
  <c r="S107" i="34" s="1"/>
  <c r="G85" i="34"/>
  <c r="S85" i="34" s="1"/>
  <c r="G98" i="34"/>
  <c r="S98" i="34" s="1"/>
  <c r="G96" i="34"/>
  <c r="S96" i="34" s="1"/>
  <c r="G94" i="34"/>
  <c r="S94" i="34" s="1"/>
  <c r="G92" i="34"/>
  <c r="S92" i="34" s="1"/>
  <c r="G90" i="34"/>
  <c r="S90" i="34" s="1"/>
  <c r="G82" i="34"/>
  <c r="S82" i="34" s="1"/>
  <c r="G80" i="34"/>
  <c r="S80" i="34" s="1"/>
  <c r="G63" i="34"/>
  <c r="S63" i="34" s="1"/>
  <c r="G59" i="34"/>
  <c r="S59" i="34" s="1"/>
  <c r="G57" i="34"/>
  <c r="S57" i="34" s="1"/>
  <c r="G76" i="34"/>
  <c r="S76" i="34" s="1"/>
  <c r="G74" i="34"/>
  <c r="S74" i="34" s="1"/>
  <c r="G72" i="34"/>
  <c r="S72" i="34" s="1"/>
  <c r="G70" i="34"/>
  <c r="S70" i="34" s="1"/>
  <c r="G60" i="34"/>
  <c r="S60" i="34" s="1"/>
  <c r="G55" i="34"/>
  <c r="S55" i="34" s="1"/>
  <c r="G53" i="34"/>
  <c r="S53" i="34" s="1"/>
  <c r="G52" i="34"/>
  <c r="S52" i="34" s="1"/>
  <c r="H10" i="34"/>
  <c r="H8" i="34" s="1"/>
  <c r="G11" i="34"/>
  <c r="S11" i="34" s="1"/>
  <c r="G12" i="34"/>
  <c r="S12" i="34" s="1"/>
  <c r="G14" i="34"/>
  <c r="S14" i="34" s="1"/>
  <c r="G16" i="34"/>
  <c r="S16" i="34" s="1"/>
  <c r="G18" i="34"/>
  <c r="S18" i="34" s="1"/>
  <c r="G20" i="34"/>
  <c r="S20" i="34" s="1"/>
  <c r="G22" i="34"/>
  <c r="S22" i="34" s="1"/>
  <c r="G24" i="34"/>
  <c r="S24" i="34" s="1"/>
  <c r="G26" i="34"/>
  <c r="S26" i="34" s="1"/>
  <c r="G29" i="34"/>
  <c r="S29" i="34" s="1"/>
  <c r="G31" i="34"/>
  <c r="S31" i="34" s="1"/>
  <c r="G33" i="34"/>
  <c r="S33" i="34" s="1"/>
  <c r="G35" i="34"/>
  <c r="S35" i="34" s="1"/>
  <c r="G37" i="34"/>
  <c r="S37" i="34" s="1"/>
  <c r="G39" i="34"/>
  <c r="S39" i="34" s="1"/>
  <c r="G41" i="34"/>
  <c r="S41" i="34" s="1"/>
  <c r="G43" i="34"/>
  <c r="S43" i="34" s="1"/>
  <c r="G45" i="34"/>
  <c r="S45" i="34" s="1"/>
  <c r="G47" i="34"/>
  <c r="S47" i="34" s="1"/>
  <c r="G49" i="34"/>
  <c r="S49" i="34" s="1"/>
  <c r="G50" i="34"/>
  <c r="S50" i="34" s="1"/>
  <c r="H51" i="34"/>
  <c r="H53" i="34"/>
  <c r="G54" i="34"/>
  <c r="S54" i="34" s="1"/>
  <c r="H55" i="34"/>
  <c r="G56" i="34"/>
  <c r="S56" i="34" s="1"/>
  <c r="H13" i="34"/>
  <c r="H15" i="34"/>
  <c r="H17" i="34"/>
  <c r="H19" i="34"/>
  <c r="H21" i="34"/>
  <c r="H23" i="34"/>
  <c r="H25" i="34"/>
  <c r="H27" i="34"/>
  <c r="H30" i="34"/>
  <c r="H32" i="34"/>
  <c r="H34" i="34"/>
  <c r="H36" i="34"/>
  <c r="H38" i="34"/>
  <c r="H40" i="34"/>
  <c r="H42" i="34"/>
  <c r="H44" i="34"/>
  <c r="H46" i="34"/>
  <c r="H48" i="34"/>
  <c r="H50" i="34"/>
  <c r="G51" i="34"/>
  <c r="S51" i="34" s="1"/>
  <c r="H52" i="34"/>
  <c r="H54" i="34"/>
  <c r="H56" i="34"/>
  <c r="H57" i="34"/>
  <c r="G58" i="34"/>
  <c r="S58" i="34" s="1"/>
  <c r="H59" i="34"/>
  <c r="H61" i="34"/>
  <c r="G62" i="34"/>
  <c r="S62" i="34" s="1"/>
  <c r="H63" i="34"/>
  <c r="G64" i="34"/>
  <c r="S64" i="34" s="1"/>
  <c r="H65" i="34"/>
  <c r="G66" i="34"/>
  <c r="S66" i="34" s="1"/>
  <c r="H67" i="34"/>
  <c r="G68" i="34"/>
  <c r="S68" i="34" s="1"/>
  <c r="H69" i="34"/>
  <c r="H71" i="34"/>
  <c r="H73" i="34"/>
  <c r="H75" i="34"/>
  <c r="H77" i="34"/>
  <c r="H58" i="34"/>
  <c r="H60" i="34"/>
  <c r="G61" i="34"/>
  <c r="S61" i="34" s="1"/>
  <c r="H62" i="34"/>
  <c r="H64" i="34"/>
  <c r="G65" i="34"/>
  <c r="S65" i="34" s="1"/>
  <c r="H66" i="34"/>
  <c r="G67" i="34"/>
  <c r="S67" i="34" s="1"/>
  <c r="H68" i="34"/>
  <c r="G69" i="34"/>
  <c r="S69" i="34" s="1"/>
  <c r="H70" i="34"/>
  <c r="G71" i="34"/>
  <c r="S71" i="34" s="1"/>
  <c r="H72" i="34"/>
  <c r="G73" i="34"/>
  <c r="S73" i="34" s="1"/>
  <c r="H74" i="34"/>
  <c r="G75" i="34"/>
  <c r="S75" i="34" s="1"/>
  <c r="H76" i="34"/>
  <c r="G77" i="34"/>
  <c r="S77" i="34" s="1"/>
  <c r="G78" i="34"/>
  <c r="S78" i="34" s="1"/>
  <c r="H79" i="34"/>
  <c r="H81" i="34"/>
  <c r="H83" i="34"/>
  <c r="G84" i="34"/>
  <c r="S84" i="34" s="1"/>
  <c r="H85" i="34"/>
  <c r="G86" i="34"/>
  <c r="S86" i="34" s="1"/>
  <c r="H87" i="34"/>
  <c r="G88" i="34"/>
  <c r="S88" i="34" s="1"/>
  <c r="H89" i="34"/>
  <c r="H91" i="34"/>
  <c r="H93" i="34"/>
  <c r="H95" i="34"/>
  <c r="H97" i="34"/>
  <c r="H99" i="34"/>
  <c r="H78" i="34"/>
  <c r="G79" i="34"/>
  <c r="S79" i="34" s="1"/>
  <c r="H80" i="34"/>
  <c r="G81" i="34"/>
  <c r="S81" i="34" s="1"/>
  <c r="H82" i="34"/>
  <c r="G83" i="34"/>
  <c r="S83" i="34" s="1"/>
  <c r="H84" i="34"/>
  <c r="H86" i="34"/>
  <c r="G87" i="34"/>
  <c r="S87" i="34" s="1"/>
  <c r="H88" i="34"/>
  <c r="G89" i="34"/>
  <c r="S89" i="34" s="1"/>
  <c r="H90" i="34"/>
  <c r="G91" i="34"/>
  <c r="S91" i="34" s="1"/>
  <c r="H92" i="34"/>
  <c r="G93" i="34"/>
  <c r="S93" i="34" s="1"/>
  <c r="H94" i="34"/>
  <c r="G95" i="34"/>
  <c r="S95" i="34" s="1"/>
  <c r="H96" i="34"/>
  <c r="G97" i="34"/>
  <c r="S97" i="34" s="1"/>
  <c r="H98" i="34"/>
  <c r="G99" i="34"/>
  <c r="S99" i="34" s="1"/>
  <c r="H100" i="34"/>
  <c r="G101" i="34"/>
  <c r="S101" i="34" s="1"/>
  <c r="H102" i="34"/>
  <c r="G103" i="34"/>
  <c r="S103" i="34" s="1"/>
  <c r="H104" i="34"/>
  <c r="G105" i="34"/>
  <c r="S105" i="34" s="1"/>
  <c r="H106" i="34"/>
  <c r="H108" i="34"/>
  <c r="H110" i="34"/>
  <c r="G100" i="34"/>
  <c r="S100" i="34" s="1"/>
  <c r="H101" i="34"/>
  <c r="H103" i="34"/>
  <c r="H105" i="34"/>
  <c r="G106" i="34"/>
  <c r="S106" i="34" s="1"/>
  <c r="H107" i="34"/>
  <c r="G108" i="34"/>
  <c r="S108" i="34" s="1"/>
  <c r="H109" i="34"/>
  <c r="G110" i="34"/>
  <c r="S110" i="34" s="1"/>
  <c r="H111" i="34"/>
  <c r="H113" i="34"/>
  <c r="H115" i="34"/>
  <c r="H117" i="34"/>
  <c r="H119" i="34"/>
  <c r="G111" i="34"/>
  <c r="S111" i="34" s="1"/>
  <c r="H112" i="34"/>
  <c r="G113" i="34"/>
  <c r="S113" i="34" s="1"/>
  <c r="H114" i="34"/>
  <c r="G115" i="34"/>
  <c r="S115" i="34" s="1"/>
  <c r="H116" i="34"/>
  <c r="G117" i="34"/>
  <c r="S117" i="34" s="1"/>
  <c r="H118" i="34"/>
  <c r="G119" i="34"/>
  <c r="S119" i="34" s="1"/>
  <c r="H120" i="34"/>
  <c r="H122" i="34"/>
  <c r="H124" i="34"/>
  <c r="H126" i="34"/>
  <c r="H121" i="34"/>
  <c r="H123" i="34"/>
  <c r="G124" i="34"/>
  <c r="S124" i="34" s="1"/>
  <c r="H125" i="34"/>
  <c r="G126" i="34"/>
  <c r="S126" i="34" s="1"/>
  <c r="H127" i="34"/>
  <c r="H129" i="34"/>
  <c r="H131" i="34"/>
  <c r="G127" i="34"/>
  <c r="S127" i="34" s="1"/>
  <c r="H128" i="34"/>
  <c r="G129" i="34"/>
  <c r="S129" i="34" s="1"/>
  <c r="H130" i="34"/>
  <c r="G131" i="34"/>
  <c r="S131" i="34" s="1"/>
  <c r="G132" i="34"/>
  <c r="S132" i="34" s="1"/>
  <c r="H133" i="34"/>
  <c r="H132" i="34"/>
  <c r="H134" i="34"/>
  <c r="H136" i="34"/>
  <c r="G134" i="34"/>
  <c r="S134" i="34" s="1"/>
  <c r="H135" i="34"/>
  <c r="G136" i="34"/>
  <c r="S136" i="34" s="1"/>
  <c r="H137" i="34"/>
  <c r="G138" i="34"/>
  <c r="S138" i="34" s="1"/>
  <c r="H138" i="34"/>
  <c r="I9" i="34" l="1"/>
  <c r="H29" i="34"/>
  <c r="H24" i="34"/>
  <c r="H22" i="34"/>
  <c r="H20" i="34"/>
  <c r="H18" i="34"/>
  <c r="H16" i="34"/>
  <c r="H14" i="34"/>
  <c r="H12" i="34"/>
  <c r="H11" i="34"/>
  <c r="G8" i="34"/>
  <c r="S10" i="34"/>
  <c r="S8" i="34" s="1"/>
  <c r="I137" i="34" l="1"/>
  <c r="I135" i="34"/>
  <c r="I133" i="34"/>
  <c r="I130" i="34"/>
  <c r="I128" i="34"/>
  <c r="I125" i="34"/>
  <c r="I121" i="34"/>
  <c r="I120" i="34"/>
  <c r="I118" i="34"/>
  <c r="I116" i="34"/>
  <c r="I114" i="34"/>
  <c r="I112" i="34"/>
  <c r="I104" i="34"/>
  <c r="I109" i="34"/>
  <c r="I107" i="34"/>
  <c r="I98" i="34"/>
  <c r="I96" i="34"/>
  <c r="I94" i="34"/>
  <c r="I92" i="34"/>
  <c r="I90" i="34"/>
  <c r="I82" i="34"/>
  <c r="I63" i="34"/>
  <c r="I57" i="34"/>
  <c r="I76" i="34"/>
  <c r="I74" i="34"/>
  <c r="I72" i="34"/>
  <c r="I70" i="34"/>
  <c r="I60" i="34"/>
  <c r="I55" i="34"/>
  <c r="I53" i="34"/>
  <c r="I52" i="34"/>
  <c r="I48" i="34"/>
  <c r="I46" i="34"/>
  <c r="I44" i="34"/>
  <c r="I42" i="34"/>
  <c r="I40" i="34"/>
  <c r="I38" i="34"/>
  <c r="I36" i="34"/>
  <c r="I34" i="34"/>
  <c r="I32" i="34"/>
  <c r="I30" i="34"/>
  <c r="I27" i="34"/>
  <c r="I25" i="34"/>
  <c r="I23" i="34"/>
  <c r="I21" i="34"/>
  <c r="I19" i="34"/>
  <c r="I17" i="34"/>
  <c r="I15" i="34"/>
  <c r="I13" i="34"/>
  <c r="J9" i="34"/>
  <c r="I14" i="34"/>
  <c r="I18" i="34"/>
  <c r="I22" i="34"/>
  <c r="I26" i="34"/>
  <c r="I31" i="34"/>
  <c r="I35" i="34"/>
  <c r="I39" i="34"/>
  <c r="I43" i="34"/>
  <c r="I47" i="34"/>
  <c r="I59" i="34"/>
  <c r="I61" i="34"/>
  <c r="I80" i="34"/>
  <c r="I85" i="34"/>
  <c r="I87" i="34"/>
  <c r="I89" i="34"/>
  <c r="I91" i="34"/>
  <c r="I93" i="34"/>
  <c r="I95" i="34"/>
  <c r="I97" i="34"/>
  <c r="I99" i="34"/>
  <c r="I102" i="34"/>
  <c r="I106" i="34"/>
  <c r="I108" i="34"/>
  <c r="I110" i="34"/>
  <c r="I123" i="34"/>
  <c r="I134" i="34"/>
  <c r="I136" i="34"/>
  <c r="I10" i="34"/>
  <c r="I8" i="34" s="1"/>
  <c r="I11" i="34"/>
  <c r="I12" i="34"/>
  <c r="I16" i="34"/>
  <c r="I20" i="34"/>
  <c r="I24" i="34"/>
  <c r="I29" i="34"/>
  <c r="I33" i="34"/>
  <c r="I37" i="34"/>
  <c r="I41" i="34"/>
  <c r="I45" i="34"/>
  <c r="I49" i="34"/>
  <c r="I50" i="34"/>
  <c r="I54" i="34"/>
  <c r="I56" i="34"/>
  <c r="I51" i="34"/>
  <c r="I58" i="34"/>
  <c r="I62" i="34"/>
  <c r="I64" i="34"/>
  <c r="I66" i="34"/>
  <c r="I68" i="34"/>
  <c r="I65" i="34"/>
  <c r="I67" i="34"/>
  <c r="I69" i="34"/>
  <c r="I71" i="34"/>
  <c r="I73" i="34"/>
  <c r="I75" i="34"/>
  <c r="I77" i="34"/>
  <c r="I78" i="34"/>
  <c r="I84" i="34"/>
  <c r="I86" i="34"/>
  <c r="I88" i="34"/>
  <c r="I79" i="34"/>
  <c r="I81" i="34"/>
  <c r="I83" i="34"/>
  <c r="I101" i="34"/>
  <c r="I103" i="34"/>
  <c r="I105" i="34"/>
  <c r="I100" i="34"/>
  <c r="I111" i="34"/>
  <c r="I113" i="34"/>
  <c r="I115" i="34"/>
  <c r="I117" i="34"/>
  <c r="I119" i="34"/>
  <c r="I122" i="34"/>
  <c r="I124" i="34"/>
  <c r="I126" i="34"/>
  <c r="I127" i="34"/>
  <c r="I129" i="34"/>
  <c r="I131" i="34"/>
  <c r="I132" i="34"/>
  <c r="I138" i="34"/>
  <c r="K9" i="34" l="1"/>
  <c r="J10" i="34"/>
  <c r="J8" i="34" s="1"/>
  <c r="J14" i="34"/>
  <c r="J18" i="34"/>
  <c r="J22" i="34"/>
  <c r="J26" i="34"/>
  <c r="J31" i="34"/>
  <c r="J35" i="34"/>
  <c r="J39" i="34"/>
  <c r="J43" i="34"/>
  <c r="J47" i="34"/>
  <c r="J13" i="34"/>
  <c r="J17" i="34"/>
  <c r="J21" i="34"/>
  <c r="J25" i="34"/>
  <c r="J30" i="34"/>
  <c r="J34" i="34"/>
  <c r="J38" i="34"/>
  <c r="J42" i="34"/>
  <c r="J46" i="34"/>
  <c r="J50" i="34"/>
  <c r="J52" i="34"/>
  <c r="J54" i="34"/>
  <c r="J56" i="34"/>
  <c r="J71" i="34"/>
  <c r="J75" i="34"/>
  <c r="J77" i="34"/>
  <c r="J58" i="34"/>
  <c r="J64" i="34"/>
  <c r="J66" i="34"/>
  <c r="J68" i="34"/>
  <c r="J70" i="34"/>
  <c r="J72" i="34"/>
  <c r="J74" i="34"/>
  <c r="J76" i="34"/>
  <c r="J81" i="34"/>
  <c r="J91" i="34"/>
  <c r="J99" i="34"/>
  <c r="J78" i="34"/>
  <c r="J80" i="34"/>
  <c r="J82" i="34"/>
  <c r="J84" i="34"/>
  <c r="J101" i="34"/>
  <c r="J111" i="34"/>
  <c r="J115" i="34"/>
  <c r="J117" i="34"/>
  <c r="J112" i="34"/>
  <c r="J114" i="34"/>
  <c r="J116" i="34"/>
  <c r="J118" i="34"/>
  <c r="J120" i="34"/>
  <c r="J124" i="34"/>
  <c r="J123" i="34"/>
  <c r="J125" i="34"/>
  <c r="J127" i="34"/>
  <c r="J131" i="34"/>
  <c r="J128" i="34"/>
  <c r="J130" i="34"/>
  <c r="J134" i="34"/>
  <c r="J11" i="34"/>
  <c r="J12" i="34"/>
  <c r="J16" i="34"/>
  <c r="J20" i="34"/>
  <c r="J24" i="34"/>
  <c r="J29" i="34"/>
  <c r="J33" i="34"/>
  <c r="J37" i="34"/>
  <c r="J41" i="34"/>
  <c r="J45" i="34"/>
  <c r="J49" i="34"/>
  <c r="J51" i="34"/>
  <c r="J53" i="34"/>
  <c r="J55" i="34"/>
  <c r="J15" i="34"/>
  <c r="J19" i="34"/>
  <c r="J23" i="34"/>
  <c r="J27" i="34"/>
  <c r="J32" i="34"/>
  <c r="J36" i="34"/>
  <c r="J40" i="34"/>
  <c r="J44" i="34"/>
  <c r="J48" i="34"/>
  <c r="J57" i="34"/>
  <c r="J59" i="34"/>
  <c r="J61" i="34"/>
  <c r="J63" i="34"/>
  <c r="J65" i="34"/>
  <c r="J67" i="34"/>
  <c r="J69" i="34"/>
  <c r="J73" i="34"/>
  <c r="J60" i="34"/>
  <c r="J62" i="34"/>
  <c r="J79" i="34"/>
  <c r="J83" i="34"/>
  <c r="J85" i="34"/>
  <c r="J87" i="34"/>
  <c r="J89" i="34"/>
  <c r="J93" i="34"/>
  <c r="J95" i="34"/>
  <c r="J97" i="34"/>
  <c r="J86" i="34"/>
  <c r="J88" i="34"/>
  <c r="J90" i="34"/>
  <c r="J92" i="34"/>
  <c r="J94" i="34"/>
  <c r="J96" i="34"/>
  <c r="J98" i="34"/>
  <c r="J100" i="34"/>
  <c r="J102" i="34"/>
  <c r="J104" i="34"/>
  <c r="J106" i="34"/>
  <c r="J108" i="34"/>
  <c r="J110" i="34"/>
  <c r="J103" i="34"/>
  <c r="J105" i="34"/>
  <c r="J107" i="34"/>
  <c r="J109" i="34"/>
  <c r="J113" i="34"/>
  <c r="J119" i="34"/>
  <c r="J122" i="34"/>
  <c r="J126" i="34"/>
  <c r="J121" i="34"/>
  <c r="J129" i="34"/>
  <c r="J133" i="34"/>
  <c r="J132" i="34"/>
  <c r="J136" i="34"/>
  <c r="J135" i="34"/>
  <c r="J137" i="34"/>
  <c r="J138" i="34"/>
  <c r="K137" i="34" l="1"/>
  <c r="K135" i="34"/>
  <c r="K133" i="34"/>
  <c r="K130" i="34"/>
  <c r="K128" i="34"/>
  <c r="K125" i="34"/>
  <c r="K121" i="34"/>
  <c r="K120" i="34"/>
  <c r="K118" i="34"/>
  <c r="K116" i="34"/>
  <c r="K114" i="34"/>
  <c r="K112" i="34"/>
  <c r="K109" i="34"/>
  <c r="K107" i="34"/>
  <c r="K98" i="34"/>
  <c r="K96" i="34"/>
  <c r="K94" i="34"/>
  <c r="K92" i="34"/>
  <c r="K90" i="34"/>
  <c r="K82" i="34"/>
  <c r="K63" i="34"/>
  <c r="K57" i="34"/>
  <c r="K76" i="34"/>
  <c r="K74" i="34"/>
  <c r="K72" i="34"/>
  <c r="K70" i="34"/>
  <c r="K60" i="34"/>
  <c r="K48" i="34"/>
  <c r="K46" i="34"/>
  <c r="K44" i="34"/>
  <c r="K42" i="34"/>
  <c r="K40" i="34"/>
  <c r="K38" i="34"/>
  <c r="K36" i="34"/>
  <c r="K34" i="34"/>
  <c r="K32" i="34"/>
  <c r="K30" i="34"/>
  <c r="K27" i="34"/>
  <c r="K25" i="34"/>
  <c r="K23" i="34"/>
  <c r="K21" i="34"/>
  <c r="K19" i="34"/>
  <c r="K17" i="34"/>
  <c r="K15" i="34"/>
  <c r="K13" i="34"/>
  <c r="L9" i="34"/>
  <c r="K10" i="34"/>
  <c r="K8" i="34" s="1"/>
  <c r="K11" i="34"/>
  <c r="K12" i="34"/>
  <c r="K16" i="34"/>
  <c r="K20" i="34"/>
  <c r="K24" i="34"/>
  <c r="K29" i="34"/>
  <c r="K33" i="34"/>
  <c r="K37" i="34"/>
  <c r="K41" i="34"/>
  <c r="K45" i="34"/>
  <c r="K49" i="34"/>
  <c r="K50" i="34"/>
  <c r="K52" i="34"/>
  <c r="K54" i="34"/>
  <c r="K56" i="34"/>
  <c r="K51" i="34"/>
  <c r="K53" i="34"/>
  <c r="K55" i="34"/>
  <c r="K58" i="34"/>
  <c r="K62" i="34"/>
  <c r="K64" i="34"/>
  <c r="K66" i="34"/>
  <c r="K68" i="34"/>
  <c r="K65" i="34"/>
  <c r="K67" i="34"/>
  <c r="K69" i="34"/>
  <c r="K71" i="34"/>
  <c r="K73" i="34"/>
  <c r="K75" i="34"/>
  <c r="K77" i="34"/>
  <c r="K78" i="34"/>
  <c r="K84" i="34"/>
  <c r="K86" i="34"/>
  <c r="K88" i="34"/>
  <c r="K79" i="34"/>
  <c r="K81" i="34"/>
  <c r="K83" i="34"/>
  <c r="K101" i="34"/>
  <c r="K103" i="34"/>
  <c r="K105" i="34"/>
  <c r="K100" i="34"/>
  <c r="K111" i="34"/>
  <c r="K113" i="34"/>
  <c r="K115" i="34"/>
  <c r="K117" i="34"/>
  <c r="K119" i="34"/>
  <c r="K122" i="34"/>
  <c r="K124" i="34"/>
  <c r="K126" i="34"/>
  <c r="K127" i="34"/>
  <c r="K129" i="34"/>
  <c r="K131" i="34"/>
  <c r="K132" i="34"/>
  <c r="K14" i="34"/>
  <c r="K18" i="34"/>
  <c r="K22" i="34"/>
  <c r="K26" i="34"/>
  <c r="K31" i="34"/>
  <c r="K35" i="34"/>
  <c r="K39" i="34"/>
  <c r="K43" i="34"/>
  <c r="K47" i="34"/>
  <c r="K59" i="34"/>
  <c r="K61" i="34"/>
  <c r="K80" i="34"/>
  <c r="K85" i="34"/>
  <c r="K87" i="34"/>
  <c r="K89" i="34"/>
  <c r="K91" i="34"/>
  <c r="K93" i="34"/>
  <c r="K95" i="34"/>
  <c r="K97" i="34"/>
  <c r="K99" i="34"/>
  <c r="K102" i="34"/>
  <c r="K104" i="34"/>
  <c r="K106" i="34"/>
  <c r="K108" i="34"/>
  <c r="K110" i="34"/>
  <c r="K123" i="34"/>
  <c r="K134" i="34"/>
  <c r="K136" i="34"/>
  <c r="K138" i="34"/>
  <c r="M9" i="34" l="1"/>
  <c r="L24" i="34"/>
  <c r="L22" i="34"/>
  <c r="L20" i="34"/>
  <c r="L18" i="34"/>
  <c r="L11" i="34"/>
  <c r="L26" i="34"/>
  <c r="L49" i="34"/>
  <c r="L51" i="34"/>
  <c r="L53" i="34"/>
  <c r="L55" i="34"/>
  <c r="L15" i="34"/>
  <c r="L19" i="34"/>
  <c r="L23" i="34"/>
  <c r="L27" i="34"/>
  <c r="L32" i="34"/>
  <c r="L36" i="34"/>
  <c r="L40" i="34"/>
  <c r="L44" i="34"/>
  <c r="L48" i="34"/>
  <c r="L57" i="34"/>
  <c r="L59" i="34"/>
  <c r="L61" i="34"/>
  <c r="L63" i="34"/>
  <c r="L65" i="34"/>
  <c r="L67" i="34"/>
  <c r="L69" i="34"/>
  <c r="L73" i="34"/>
  <c r="L60" i="34"/>
  <c r="L62" i="34"/>
  <c r="L79" i="34"/>
  <c r="L83" i="34"/>
  <c r="L85" i="34"/>
  <c r="L87" i="34"/>
  <c r="L89" i="34"/>
  <c r="L93" i="34"/>
  <c r="L95" i="34"/>
  <c r="L97" i="34"/>
  <c r="L86" i="34"/>
  <c r="L88" i="34"/>
  <c r="L90" i="34"/>
  <c r="L92" i="34"/>
  <c r="L94" i="34"/>
  <c r="L96" i="34"/>
  <c r="L98" i="34"/>
  <c r="L100" i="34"/>
  <c r="L102" i="34"/>
  <c r="L104" i="34"/>
  <c r="L106" i="34"/>
  <c r="L108" i="34"/>
  <c r="L110" i="34"/>
  <c r="L103" i="34"/>
  <c r="L105" i="34"/>
  <c r="L107" i="34"/>
  <c r="L109" i="34"/>
  <c r="L113" i="34"/>
  <c r="L119" i="34"/>
  <c r="L122" i="34"/>
  <c r="L126" i="34"/>
  <c r="L121" i="34"/>
  <c r="L129" i="34"/>
  <c r="L133" i="34"/>
  <c r="L132" i="34"/>
  <c r="L136" i="34"/>
  <c r="L135" i="34"/>
  <c r="L137" i="34"/>
  <c r="L138" i="34"/>
  <c r="L12" i="34"/>
  <c r="L14" i="34"/>
  <c r="L16" i="34"/>
  <c r="L29" i="34"/>
  <c r="L31" i="34"/>
  <c r="L33" i="34"/>
  <c r="L35" i="34"/>
  <c r="L37" i="34"/>
  <c r="L39" i="34"/>
  <c r="L41" i="34"/>
  <c r="L43" i="34"/>
  <c r="L45" i="34"/>
  <c r="L47" i="34"/>
  <c r="L10" i="34"/>
  <c r="L8" i="34" s="1"/>
  <c r="L13" i="34"/>
  <c r="L17" i="34"/>
  <c r="L21" i="34"/>
  <c r="L25" i="34"/>
  <c r="L30" i="34"/>
  <c r="L34" i="34"/>
  <c r="L38" i="34"/>
  <c r="L42" i="34"/>
  <c r="L46" i="34"/>
  <c r="L50" i="34"/>
  <c r="L52" i="34"/>
  <c r="L54" i="34"/>
  <c r="L56" i="34"/>
  <c r="L71" i="34"/>
  <c r="L75" i="34"/>
  <c r="L77" i="34"/>
  <c r="L58" i="34"/>
  <c r="L64" i="34"/>
  <c r="L66" i="34"/>
  <c r="L68" i="34"/>
  <c r="L70" i="34"/>
  <c r="L72" i="34"/>
  <c r="L74" i="34"/>
  <c r="L76" i="34"/>
  <c r="L81" i="34"/>
  <c r="L91" i="34"/>
  <c r="L99" i="34"/>
  <c r="L78" i="34"/>
  <c r="L80" i="34"/>
  <c r="L82" i="34"/>
  <c r="L84" i="34"/>
  <c r="L101" i="34"/>
  <c r="L111" i="34"/>
  <c r="L115" i="34"/>
  <c r="L117" i="34"/>
  <c r="L112" i="34"/>
  <c r="L114" i="34"/>
  <c r="L116" i="34"/>
  <c r="L118" i="34"/>
  <c r="L120" i="34"/>
  <c r="L124" i="34"/>
  <c r="L123" i="34"/>
  <c r="L125" i="34"/>
  <c r="L127" i="34"/>
  <c r="L131" i="34"/>
  <c r="L128" i="34"/>
  <c r="L130" i="34"/>
  <c r="L134" i="34"/>
  <c r="M137" i="34" l="1"/>
  <c r="M135" i="34"/>
  <c r="M133" i="34"/>
  <c r="M130" i="34"/>
  <c r="M128" i="34"/>
  <c r="M125" i="34"/>
  <c r="M121" i="34"/>
  <c r="M120" i="34"/>
  <c r="M118" i="34"/>
  <c r="M116" i="34"/>
  <c r="M114" i="34"/>
  <c r="M112" i="34"/>
  <c r="M109" i="34"/>
  <c r="M107" i="34"/>
  <c r="M98" i="34"/>
  <c r="M96" i="34"/>
  <c r="M94" i="34"/>
  <c r="M92" i="34"/>
  <c r="M90" i="34"/>
  <c r="M82" i="34"/>
  <c r="M57" i="34"/>
  <c r="M76" i="34"/>
  <c r="M74" i="34"/>
  <c r="M72" i="34"/>
  <c r="M60" i="34"/>
  <c r="M48" i="34"/>
  <c r="M46" i="34"/>
  <c r="M44" i="34"/>
  <c r="M42" i="34"/>
  <c r="M40" i="34"/>
  <c r="M38" i="34"/>
  <c r="M36" i="34"/>
  <c r="M34" i="34"/>
  <c r="M32" i="34"/>
  <c r="M30" i="34"/>
  <c r="M27" i="34"/>
  <c r="M25" i="34"/>
  <c r="M23" i="34"/>
  <c r="M21" i="34"/>
  <c r="M19" i="34"/>
  <c r="M17" i="34"/>
  <c r="M15" i="34"/>
  <c r="M13" i="34"/>
  <c r="N9" i="34"/>
  <c r="M14" i="34"/>
  <c r="M18" i="34"/>
  <c r="M22" i="34"/>
  <c r="M26" i="34"/>
  <c r="M31" i="34"/>
  <c r="M35" i="34"/>
  <c r="M39" i="34"/>
  <c r="M43" i="34"/>
  <c r="M47" i="34"/>
  <c r="M70" i="34"/>
  <c r="M59" i="34"/>
  <c r="M61" i="34"/>
  <c r="M80" i="34"/>
  <c r="M85" i="34"/>
  <c r="M87" i="34"/>
  <c r="M89" i="34"/>
  <c r="M91" i="34"/>
  <c r="M93" i="34"/>
  <c r="M95" i="34"/>
  <c r="M97" i="34"/>
  <c r="M99" i="34"/>
  <c r="M102" i="34"/>
  <c r="M104" i="34"/>
  <c r="M106" i="34"/>
  <c r="M108" i="34"/>
  <c r="M110" i="34"/>
  <c r="M123" i="34"/>
  <c r="M134" i="34"/>
  <c r="M136" i="34"/>
  <c r="M10" i="34"/>
  <c r="M8" i="34" s="1"/>
  <c r="M11" i="34"/>
  <c r="M12" i="34"/>
  <c r="M16" i="34"/>
  <c r="M20" i="34"/>
  <c r="M24" i="34"/>
  <c r="M29" i="34"/>
  <c r="M33" i="34"/>
  <c r="M37" i="34"/>
  <c r="M41" i="34"/>
  <c r="M45" i="34"/>
  <c r="M49" i="34"/>
  <c r="M50" i="34"/>
  <c r="M52" i="34"/>
  <c r="M54" i="34"/>
  <c r="M56" i="34"/>
  <c r="M51" i="34"/>
  <c r="M53" i="34"/>
  <c r="M55" i="34"/>
  <c r="M58" i="34"/>
  <c r="M62" i="34"/>
  <c r="M64" i="34"/>
  <c r="M66" i="34"/>
  <c r="M68" i="34"/>
  <c r="M63" i="34"/>
  <c r="M65" i="34"/>
  <c r="M67" i="34"/>
  <c r="M69" i="34"/>
  <c r="M71" i="34"/>
  <c r="M73" i="34"/>
  <c r="M75" i="34"/>
  <c r="M77" i="34"/>
  <c r="M78" i="34"/>
  <c r="M84" i="34"/>
  <c r="M86" i="34"/>
  <c r="M88" i="34"/>
  <c r="M79" i="34"/>
  <c r="M81" i="34"/>
  <c r="M83" i="34"/>
  <c r="M101" i="34"/>
  <c r="M103" i="34"/>
  <c r="M105" i="34"/>
  <c r="M100" i="34"/>
  <c r="M111" i="34"/>
  <c r="M113" i="34"/>
  <c r="M115" i="34"/>
  <c r="M117" i="34"/>
  <c r="M119" i="34"/>
  <c r="M122" i="34"/>
  <c r="M124" i="34"/>
  <c r="M126" i="34"/>
  <c r="M127" i="34"/>
  <c r="M129" i="34"/>
  <c r="M131" i="34"/>
  <c r="M132" i="34"/>
  <c r="M138" i="34"/>
  <c r="O9" i="34" l="1"/>
  <c r="N10" i="34"/>
  <c r="N8" i="34" s="1"/>
  <c r="N12" i="34"/>
  <c r="N16" i="34"/>
  <c r="N20" i="34"/>
  <c r="N24" i="34"/>
  <c r="N29" i="34"/>
  <c r="N33" i="34"/>
  <c r="N37" i="34"/>
  <c r="N41" i="34"/>
  <c r="N45" i="34"/>
  <c r="N49" i="34"/>
  <c r="N13" i="34"/>
  <c r="N17" i="34"/>
  <c r="N21" i="34"/>
  <c r="N25" i="34"/>
  <c r="N30" i="34"/>
  <c r="N34" i="34"/>
  <c r="N38" i="34"/>
  <c r="N42" i="34"/>
  <c r="N46" i="34"/>
  <c r="N50" i="34"/>
  <c r="N52" i="34"/>
  <c r="N54" i="34"/>
  <c r="N56" i="34"/>
  <c r="N71" i="34"/>
  <c r="N75" i="34"/>
  <c r="N77" i="34"/>
  <c r="N58" i="34"/>
  <c r="N64" i="34"/>
  <c r="N66" i="34"/>
  <c r="N68" i="34"/>
  <c r="N70" i="34"/>
  <c r="N72" i="34"/>
  <c r="N74" i="34"/>
  <c r="N76" i="34"/>
  <c r="N81" i="34"/>
  <c r="N91" i="34"/>
  <c r="N99" i="34"/>
  <c r="N78" i="34"/>
  <c r="N80" i="34"/>
  <c r="N82" i="34"/>
  <c r="N84" i="34"/>
  <c r="N101" i="34"/>
  <c r="N111" i="34"/>
  <c r="N115" i="34"/>
  <c r="N117" i="34"/>
  <c r="N112" i="34"/>
  <c r="N114" i="34"/>
  <c r="N116" i="34"/>
  <c r="N118" i="34"/>
  <c r="N120" i="34"/>
  <c r="N124" i="34"/>
  <c r="N123" i="34"/>
  <c r="N125" i="34"/>
  <c r="N127" i="34"/>
  <c r="N131" i="34"/>
  <c r="N128" i="34"/>
  <c r="N130" i="34"/>
  <c r="N134" i="34"/>
  <c r="N11" i="34"/>
  <c r="N14" i="34"/>
  <c r="N18" i="34"/>
  <c r="N22" i="34"/>
  <c r="N26" i="34"/>
  <c r="N31" i="34"/>
  <c r="N35" i="34"/>
  <c r="N39" i="34"/>
  <c r="N43" i="34"/>
  <c r="N47" i="34"/>
  <c r="N51" i="34"/>
  <c r="N53" i="34"/>
  <c r="N55" i="34"/>
  <c r="N15" i="34"/>
  <c r="N19" i="34"/>
  <c r="N23" i="34"/>
  <c r="N27" i="34"/>
  <c r="N32" i="34"/>
  <c r="N36" i="34"/>
  <c r="N40" i="34"/>
  <c r="N44" i="34"/>
  <c r="N48" i="34"/>
  <c r="N57" i="34"/>
  <c r="N59" i="34"/>
  <c r="N61" i="34"/>
  <c r="N63" i="34"/>
  <c r="N65" i="34"/>
  <c r="N67" i="34"/>
  <c r="N69" i="34"/>
  <c r="N73" i="34"/>
  <c r="N60" i="34"/>
  <c r="N62" i="34"/>
  <c r="N79" i="34"/>
  <c r="N83" i="34"/>
  <c r="N85" i="34"/>
  <c r="N87" i="34"/>
  <c r="N89" i="34"/>
  <c r="N93" i="34"/>
  <c r="N95" i="34"/>
  <c r="N97" i="34"/>
  <c r="N86" i="34"/>
  <c r="N88" i="34"/>
  <c r="N90" i="34"/>
  <c r="N92" i="34"/>
  <c r="N94" i="34"/>
  <c r="N96" i="34"/>
  <c r="N98" i="34"/>
  <c r="N100" i="34"/>
  <c r="N102" i="34"/>
  <c r="N104" i="34"/>
  <c r="N106" i="34"/>
  <c r="N108" i="34"/>
  <c r="N110" i="34"/>
  <c r="N103" i="34"/>
  <c r="N105" i="34"/>
  <c r="N107" i="34"/>
  <c r="N109" i="34"/>
  <c r="N113" i="34"/>
  <c r="N119" i="34"/>
  <c r="N122" i="34"/>
  <c r="N126" i="34"/>
  <c r="N121" i="34"/>
  <c r="N129" i="34"/>
  <c r="N133" i="34"/>
  <c r="N132" i="34"/>
  <c r="N136" i="34"/>
  <c r="N135" i="34"/>
  <c r="N137" i="34"/>
  <c r="N138" i="34"/>
  <c r="O135" i="34" l="1"/>
  <c r="O133" i="34"/>
  <c r="O130" i="34"/>
  <c r="O128" i="34"/>
  <c r="O125" i="34"/>
  <c r="O120" i="34"/>
  <c r="O118" i="34"/>
  <c r="O116" i="34"/>
  <c r="O114" i="34"/>
  <c r="O112" i="34"/>
  <c r="O109" i="34"/>
  <c r="O98" i="34"/>
  <c r="O96" i="34"/>
  <c r="O94" i="34"/>
  <c r="O92" i="34"/>
  <c r="O90" i="34"/>
  <c r="O82" i="34"/>
  <c r="O57" i="34"/>
  <c r="O76" i="34"/>
  <c r="O74" i="34"/>
  <c r="O72" i="34"/>
  <c r="O60" i="34"/>
  <c r="O48" i="34"/>
  <c r="O46" i="34"/>
  <c r="O44" i="34"/>
  <c r="O42" i="34"/>
  <c r="O40" i="34"/>
  <c r="O38" i="34"/>
  <c r="O36" i="34"/>
  <c r="O34" i="34"/>
  <c r="O32" i="34"/>
  <c r="O30" i="34"/>
  <c r="O27" i="34"/>
  <c r="O25" i="34"/>
  <c r="O23" i="34"/>
  <c r="O21" i="34"/>
  <c r="O19" i="34"/>
  <c r="O17" i="34"/>
  <c r="O15" i="34"/>
  <c r="O13" i="34"/>
  <c r="P9" i="34"/>
  <c r="O10" i="34"/>
  <c r="O8" i="34" s="1"/>
  <c r="O11" i="34"/>
  <c r="O12" i="34"/>
  <c r="O16" i="34"/>
  <c r="O20" i="34"/>
  <c r="O24" i="34"/>
  <c r="O29" i="34"/>
  <c r="O33" i="34"/>
  <c r="O37" i="34"/>
  <c r="O41" i="34"/>
  <c r="O45" i="34"/>
  <c r="O49" i="34"/>
  <c r="O50" i="34"/>
  <c r="O52" i="34"/>
  <c r="O54" i="34"/>
  <c r="O56" i="34"/>
  <c r="O51" i="34"/>
  <c r="O53" i="34"/>
  <c r="O55" i="34"/>
  <c r="O58" i="34"/>
  <c r="O62" i="34"/>
  <c r="O64" i="34"/>
  <c r="O66" i="34"/>
  <c r="O68" i="34"/>
  <c r="O63" i="34"/>
  <c r="O65" i="34"/>
  <c r="O67" i="34"/>
  <c r="O69" i="34"/>
  <c r="O71" i="34"/>
  <c r="O73" i="34"/>
  <c r="O75" i="34"/>
  <c r="O77" i="34"/>
  <c r="O78" i="34"/>
  <c r="O84" i="34"/>
  <c r="O86" i="34"/>
  <c r="O88" i="34"/>
  <c r="O79" i="34"/>
  <c r="O81" i="34"/>
  <c r="O83" i="34"/>
  <c r="O101" i="34"/>
  <c r="O103" i="34"/>
  <c r="O105" i="34"/>
  <c r="O107" i="34"/>
  <c r="O100" i="34"/>
  <c r="O111" i="34"/>
  <c r="O113" i="34"/>
  <c r="O115" i="34"/>
  <c r="O117" i="34"/>
  <c r="O119" i="34"/>
  <c r="O121" i="34"/>
  <c r="O122" i="34"/>
  <c r="O124" i="34"/>
  <c r="O126" i="34"/>
  <c r="O127" i="34"/>
  <c r="O129" i="34"/>
  <c r="O131" i="34"/>
  <c r="O132" i="34"/>
  <c r="O137" i="34"/>
  <c r="O14" i="34"/>
  <c r="O18" i="34"/>
  <c r="O22" i="34"/>
  <c r="O26" i="34"/>
  <c r="O31" i="34"/>
  <c r="O35" i="34"/>
  <c r="O39" i="34"/>
  <c r="O43" i="34"/>
  <c r="O47" i="34"/>
  <c r="O70" i="34"/>
  <c r="O59" i="34"/>
  <c r="O61" i="34"/>
  <c r="O80" i="34"/>
  <c r="O85" i="34"/>
  <c r="O87" i="34"/>
  <c r="O89" i="34"/>
  <c r="O91" i="34"/>
  <c r="O93" i="34"/>
  <c r="O95" i="34"/>
  <c r="O97" i="34"/>
  <c r="O99" i="34"/>
  <c r="O102" i="34"/>
  <c r="O104" i="34"/>
  <c r="O106" i="34"/>
  <c r="O108" i="34"/>
  <c r="O110" i="34"/>
  <c r="O123" i="34"/>
  <c r="O134" i="34"/>
  <c r="O136" i="34"/>
  <c r="O138" i="34"/>
  <c r="Q9" i="34" l="1"/>
  <c r="P22" i="34"/>
  <c r="P20" i="34"/>
  <c r="P18" i="34"/>
  <c r="P11" i="34"/>
  <c r="P12" i="34"/>
  <c r="P14" i="34"/>
  <c r="P16" i="34"/>
  <c r="P29" i="34"/>
  <c r="P31" i="34"/>
  <c r="P33" i="34"/>
  <c r="P35" i="34"/>
  <c r="P37" i="34"/>
  <c r="P39" i="34"/>
  <c r="P41" i="34"/>
  <c r="P43" i="34"/>
  <c r="P45" i="34"/>
  <c r="P47" i="34"/>
  <c r="P51" i="34"/>
  <c r="P53" i="34"/>
  <c r="P55" i="34"/>
  <c r="P15" i="34"/>
  <c r="P19" i="34"/>
  <c r="P23" i="34"/>
  <c r="P27" i="34"/>
  <c r="P32" i="34"/>
  <c r="P36" i="34"/>
  <c r="P40" i="34"/>
  <c r="P44" i="34"/>
  <c r="P48" i="34"/>
  <c r="P57" i="34"/>
  <c r="P59" i="34"/>
  <c r="P61" i="34"/>
  <c r="P63" i="34"/>
  <c r="P65" i="34"/>
  <c r="P67" i="34"/>
  <c r="P69" i="34"/>
  <c r="P73" i="34"/>
  <c r="P60" i="34"/>
  <c r="P62" i="34"/>
  <c r="P79" i="34"/>
  <c r="P83" i="34"/>
  <c r="P85" i="34"/>
  <c r="P87" i="34"/>
  <c r="P89" i="34"/>
  <c r="P93" i="34"/>
  <c r="P95" i="34"/>
  <c r="P97" i="34"/>
  <c r="P86" i="34"/>
  <c r="P88" i="34"/>
  <c r="P90" i="34"/>
  <c r="P92" i="34"/>
  <c r="P94" i="34"/>
  <c r="P96" i="34"/>
  <c r="P98" i="34"/>
  <c r="P100" i="34"/>
  <c r="P102" i="34"/>
  <c r="P104" i="34"/>
  <c r="P106" i="34"/>
  <c r="P108" i="34"/>
  <c r="P103" i="34"/>
  <c r="P105" i="34"/>
  <c r="P107" i="34"/>
  <c r="P109" i="34"/>
  <c r="P113" i="34"/>
  <c r="P119" i="34"/>
  <c r="P122" i="34"/>
  <c r="P126" i="34"/>
  <c r="P121" i="34"/>
  <c r="P129" i="34"/>
  <c r="P133" i="34"/>
  <c r="P132" i="34"/>
  <c r="P136" i="34"/>
  <c r="P135" i="34"/>
  <c r="P137" i="34"/>
  <c r="P138" i="34"/>
  <c r="P24" i="34"/>
  <c r="P26" i="34"/>
  <c r="P49" i="34"/>
  <c r="P10" i="34"/>
  <c r="P8" i="34" s="1"/>
  <c r="P13" i="34"/>
  <c r="P17" i="34"/>
  <c r="P21" i="34"/>
  <c r="P25" i="34"/>
  <c r="P30" i="34"/>
  <c r="P34" i="34"/>
  <c r="P38" i="34"/>
  <c r="P42" i="34"/>
  <c r="P46" i="34"/>
  <c r="P50" i="34"/>
  <c r="P52" i="34"/>
  <c r="P54" i="34"/>
  <c r="P56" i="34"/>
  <c r="P71" i="34"/>
  <c r="P75" i="34"/>
  <c r="P77" i="34"/>
  <c r="P58" i="34"/>
  <c r="P64" i="34"/>
  <c r="P66" i="34"/>
  <c r="P68" i="34"/>
  <c r="P70" i="34"/>
  <c r="P72" i="34"/>
  <c r="P74" i="34"/>
  <c r="P76" i="34"/>
  <c r="P81" i="34"/>
  <c r="P91" i="34"/>
  <c r="P99" i="34"/>
  <c r="P78" i="34"/>
  <c r="P80" i="34"/>
  <c r="P82" i="34"/>
  <c r="P84" i="34"/>
  <c r="P110" i="34"/>
  <c r="P101" i="34"/>
  <c r="P111" i="34"/>
  <c r="P115" i="34"/>
  <c r="P117" i="34"/>
  <c r="P112" i="34"/>
  <c r="P114" i="34"/>
  <c r="P116" i="34"/>
  <c r="P118" i="34"/>
  <c r="P120" i="34"/>
  <c r="P124" i="34"/>
  <c r="P123" i="34"/>
  <c r="P125" i="34"/>
  <c r="P127" i="34"/>
  <c r="P131" i="34"/>
  <c r="P128" i="34"/>
  <c r="P130" i="34"/>
  <c r="P134" i="34"/>
  <c r="Q135" i="34" l="1"/>
  <c r="Q133" i="34"/>
  <c r="Q130" i="34"/>
  <c r="Q128" i="34"/>
  <c r="Q125" i="34"/>
  <c r="Q120" i="34"/>
  <c r="Q118" i="34"/>
  <c r="Q116" i="34"/>
  <c r="Q114" i="34"/>
  <c r="Q112" i="34"/>
  <c r="Q109" i="34"/>
  <c r="Q98" i="34"/>
  <c r="Q96" i="34"/>
  <c r="Q94" i="34"/>
  <c r="Q92" i="34"/>
  <c r="Q90" i="34"/>
  <c r="Q82" i="34"/>
  <c r="Q57" i="34"/>
  <c r="Q76" i="34"/>
  <c r="Q74" i="34"/>
  <c r="Q72" i="34"/>
  <c r="Q60" i="34"/>
  <c r="Q48" i="34"/>
  <c r="Q46" i="34"/>
  <c r="Q44" i="34"/>
  <c r="Q42" i="34"/>
  <c r="Q40" i="34"/>
  <c r="Q38" i="34"/>
  <c r="Q36" i="34"/>
  <c r="Q34" i="34"/>
  <c r="Q32" i="34"/>
  <c r="Q30" i="34"/>
  <c r="Q27" i="34"/>
  <c r="Q25" i="34"/>
  <c r="Q23" i="34"/>
  <c r="Q21" i="34"/>
  <c r="Q19" i="34"/>
  <c r="Q17" i="34"/>
  <c r="Q15" i="34"/>
  <c r="Q13" i="34"/>
  <c r="R9" i="34"/>
  <c r="Q14" i="34"/>
  <c r="Q18" i="34"/>
  <c r="Q22" i="34"/>
  <c r="Q26" i="34"/>
  <c r="Q31" i="34"/>
  <c r="Q35" i="34"/>
  <c r="Q39" i="34"/>
  <c r="Q43" i="34"/>
  <c r="Q47" i="34"/>
  <c r="Q70" i="34"/>
  <c r="Q59" i="34"/>
  <c r="Q61" i="34"/>
  <c r="Q80" i="34"/>
  <c r="Q85" i="34"/>
  <c r="Q87" i="34"/>
  <c r="Q89" i="34"/>
  <c r="Q91" i="34"/>
  <c r="Q93" i="34"/>
  <c r="Q95" i="34"/>
  <c r="Q97" i="34"/>
  <c r="Q99" i="34"/>
  <c r="Q110" i="34"/>
  <c r="Q102" i="34"/>
  <c r="Q104" i="34"/>
  <c r="Q106" i="34"/>
  <c r="Q108" i="34"/>
  <c r="Q123" i="34"/>
  <c r="Q134" i="34"/>
  <c r="Q136" i="34"/>
  <c r="Q10" i="34"/>
  <c r="Q8" i="34" s="1"/>
  <c r="Q56" i="34"/>
  <c r="Q11" i="34"/>
  <c r="Q12" i="34"/>
  <c r="Q16" i="34"/>
  <c r="Q20" i="34"/>
  <c r="Q24" i="34"/>
  <c r="Q29" i="34"/>
  <c r="Q33" i="34"/>
  <c r="Q37" i="34"/>
  <c r="Q41" i="34"/>
  <c r="Q45" i="34"/>
  <c r="Q49" i="34"/>
  <c r="Q50" i="34"/>
  <c r="Q52" i="34"/>
  <c r="Q54" i="34"/>
  <c r="Q51" i="34"/>
  <c r="Q53" i="34"/>
  <c r="Q55" i="34"/>
  <c r="Q58" i="34"/>
  <c r="Q62" i="34"/>
  <c r="Q64" i="34"/>
  <c r="Q66" i="34"/>
  <c r="Q68" i="34"/>
  <c r="Q63" i="34"/>
  <c r="Q65" i="34"/>
  <c r="Q67" i="34"/>
  <c r="Q69" i="34"/>
  <c r="Q71" i="34"/>
  <c r="Q73" i="34"/>
  <c r="Q75" i="34"/>
  <c r="Q77" i="34"/>
  <c r="Q78" i="34"/>
  <c r="Q84" i="34"/>
  <c r="Q86" i="34"/>
  <c r="Q88" i="34"/>
  <c r="Q79" i="34"/>
  <c r="Q81" i="34"/>
  <c r="Q83" i="34"/>
  <c r="Q101" i="34"/>
  <c r="Q103" i="34"/>
  <c r="Q105" i="34"/>
  <c r="Q107" i="34"/>
  <c r="Q100" i="34"/>
  <c r="Q111" i="34"/>
  <c r="Q113" i="34"/>
  <c r="Q115" i="34"/>
  <c r="Q117" i="34"/>
  <c r="Q119" i="34"/>
  <c r="Q121" i="34"/>
  <c r="Q122" i="34"/>
  <c r="Q124" i="34"/>
  <c r="Q126" i="34"/>
  <c r="Q127" i="34"/>
  <c r="Q129" i="34"/>
  <c r="Q131" i="34"/>
  <c r="Q132" i="34"/>
  <c r="Q137" i="34"/>
  <c r="Q138" i="34"/>
  <c r="T138" i="34" l="1"/>
  <c r="T137" i="34"/>
  <c r="T135" i="34"/>
  <c r="T136" i="34"/>
  <c r="T134" i="34"/>
  <c r="T132" i="34"/>
  <c r="T133" i="34"/>
  <c r="T130" i="34"/>
  <c r="T128" i="34"/>
  <c r="T131" i="34"/>
  <c r="T129" i="34"/>
  <c r="T127" i="34"/>
  <c r="T125" i="34"/>
  <c r="T123" i="34"/>
  <c r="T121" i="34"/>
  <c r="T126" i="34"/>
  <c r="T124" i="34"/>
  <c r="T122" i="34"/>
  <c r="T120" i="34"/>
  <c r="T118" i="34"/>
  <c r="T116" i="34"/>
  <c r="T114" i="34"/>
  <c r="T112" i="34"/>
  <c r="T110" i="34"/>
  <c r="T119" i="34"/>
  <c r="T117" i="34"/>
  <c r="T115" i="34"/>
  <c r="T113" i="34"/>
  <c r="T111" i="34"/>
  <c r="T109" i="34"/>
  <c r="T107" i="34"/>
  <c r="T105" i="34"/>
  <c r="T103" i="34"/>
  <c r="T101" i="34"/>
  <c r="T108" i="34"/>
  <c r="T106" i="34"/>
  <c r="T104" i="34"/>
  <c r="T102" i="34"/>
  <c r="T100" i="34"/>
  <c r="T98" i="34"/>
  <c r="T96" i="34"/>
  <c r="T94" i="34"/>
  <c r="T92" i="34"/>
  <c r="T90" i="34"/>
  <c r="T88" i="34"/>
  <c r="T86" i="34"/>
  <c r="T84" i="34"/>
  <c r="T82" i="34"/>
  <c r="T80" i="34"/>
  <c r="T78" i="34"/>
  <c r="T99" i="34"/>
  <c r="T97" i="34"/>
  <c r="T95" i="34"/>
  <c r="T93" i="34"/>
  <c r="T91" i="34"/>
  <c r="T89" i="34"/>
  <c r="T87" i="34"/>
  <c r="T85" i="34"/>
  <c r="T83" i="34"/>
  <c r="T81" i="34"/>
  <c r="T79" i="34"/>
  <c r="T76" i="34"/>
  <c r="T74" i="34"/>
  <c r="T72" i="34"/>
  <c r="T70" i="34"/>
  <c r="T68" i="34"/>
  <c r="T66" i="34"/>
  <c r="T64" i="34"/>
  <c r="T62" i="34"/>
  <c r="T60" i="34"/>
  <c r="T58" i="34"/>
  <c r="T77" i="34"/>
  <c r="T75" i="34"/>
  <c r="T73" i="34"/>
  <c r="T71" i="34"/>
  <c r="T69" i="34"/>
  <c r="T67" i="34"/>
  <c r="T65" i="34"/>
  <c r="T63" i="34"/>
  <c r="T61" i="34"/>
  <c r="T59" i="34"/>
  <c r="T57" i="34"/>
  <c r="T54" i="34"/>
  <c r="T52" i="34"/>
  <c r="T50" i="34"/>
  <c r="T48" i="34"/>
  <c r="T46" i="34"/>
  <c r="T44" i="34"/>
  <c r="T42" i="34"/>
  <c r="T40" i="34"/>
  <c r="T38" i="34"/>
  <c r="T36" i="34"/>
  <c r="T34" i="34"/>
  <c r="T32" i="34"/>
  <c r="T30" i="34"/>
  <c r="T27" i="34"/>
  <c r="T25" i="34"/>
  <c r="T23" i="34"/>
  <c r="T21" i="34"/>
  <c r="T19" i="34"/>
  <c r="T17" i="34"/>
  <c r="T3" i="34" s="1"/>
  <c r="T15" i="34"/>
  <c r="T13" i="34"/>
  <c r="T56" i="34"/>
  <c r="T55" i="34"/>
  <c r="T53" i="34"/>
  <c r="T51" i="34"/>
  <c r="T10" i="34"/>
  <c r="U9" i="34"/>
  <c r="T49" i="34"/>
  <c r="T47" i="34"/>
  <c r="T45" i="34"/>
  <c r="T43" i="34"/>
  <c r="T41" i="34"/>
  <c r="T39" i="34"/>
  <c r="T37" i="34"/>
  <c r="T35" i="34"/>
  <c r="T33" i="34"/>
  <c r="T31" i="34"/>
  <c r="T1" i="34" s="1"/>
  <c r="T29" i="34"/>
  <c r="T26" i="34"/>
  <c r="T24" i="34"/>
  <c r="T22" i="34"/>
  <c r="T20" i="34"/>
  <c r="T18" i="34"/>
  <c r="T16" i="34"/>
  <c r="T14" i="34"/>
  <c r="T12" i="34"/>
  <c r="T4" i="34" s="1"/>
  <c r="T11" i="34"/>
  <c r="R10" i="34"/>
  <c r="R8" i="34" s="1"/>
  <c r="R14" i="34"/>
  <c r="R18" i="34"/>
  <c r="R22" i="34"/>
  <c r="R26" i="34"/>
  <c r="R31" i="34"/>
  <c r="R35" i="34"/>
  <c r="R39" i="34"/>
  <c r="R43" i="34"/>
  <c r="R47" i="34"/>
  <c r="R13" i="34"/>
  <c r="R17" i="34"/>
  <c r="R21" i="34"/>
  <c r="R25" i="34"/>
  <c r="R30" i="34"/>
  <c r="R34" i="34"/>
  <c r="R38" i="34"/>
  <c r="R42" i="34"/>
  <c r="R46" i="34"/>
  <c r="R50" i="34"/>
  <c r="R52" i="34"/>
  <c r="R54" i="34"/>
  <c r="R56" i="34"/>
  <c r="R71" i="34"/>
  <c r="R75" i="34"/>
  <c r="R77" i="34"/>
  <c r="R58" i="34"/>
  <c r="R64" i="34"/>
  <c r="R66" i="34"/>
  <c r="R68" i="34"/>
  <c r="R70" i="34"/>
  <c r="R72" i="34"/>
  <c r="R74" i="34"/>
  <c r="R76" i="34"/>
  <c r="R81" i="34"/>
  <c r="R91" i="34"/>
  <c r="R99" i="34"/>
  <c r="R78" i="34"/>
  <c r="R80" i="34"/>
  <c r="R82" i="34"/>
  <c r="R84" i="34"/>
  <c r="R110" i="34"/>
  <c r="R101" i="34"/>
  <c r="R111" i="34"/>
  <c r="R115" i="34"/>
  <c r="R117" i="34"/>
  <c r="R112" i="34"/>
  <c r="R114" i="34"/>
  <c r="R116" i="34"/>
  <c r="R118" i="34"/>
  <c r="R120" i="34"/>
  <c r="R124" i="34"/>
  <c r="R123" i="34"/>
  <c r="R125" i="34"/>
  <c r="R127" i="34"/>
  <c r="R131" i="34"/>
  <c r="R128" i="34"/>
  <c r="R130" i="34"/>
  <c r="R134" i="34"/>
  <c r="R11" i="34"/>
  <c r="R12" i="34"/>
  <c r="R16" i="34"/>
  <c r="R20" i="34"/>
  <c r="R24" i="34"/>
  <c r="R29" i="34"/>
  <c r="R33" i="34"/>
  <c r="R37" i="34"/>
  <c r="R41" i="34"/>
  <c r="R45" i="34"/>
  <c r="R49" i="34"/>
  <c r="R51" i="34"/>
  <c r="R53" i="34"/>
  <c r="R55" i="34"/>
  <c r="R15" i="34"/>
  <c r="R19" i="34"/>
  <c r="R23" i="34"/>
  <c r="R27" i="34"/>
  <c r="R32" i="34"/>
  <c r="R36" i="34"/>
  <c r="R40" i="34"/>
  <c r="R44" i="34"/>
  <c r="R48" i="34"/>
  <c r="R57" i="34"/>
  <c r="R59" i="34"/>
  <c r="R61" i="34"/>
  <c r="R63" i="34"/>
  <c r="R65" i="34"/>
  <c r="R67" i="34"/>
  <c r="R69" i="34"/>
  <c r="R73" i="34"/>
  <c r="R60" i="34"/>
  <c r="R62" i="34"/>
  <c r="R79" i="34"/>
  <c r="R83" i="34"/>
  <c r="R85" i="34"/>
  <c r="R87" i="34"/>
  <c r="R89" i="34"/>
  <c r="R93" i="34"/>
  <c r="R95" i="34"/>
  <c r="R97" i="34"/>
  <c r="R86" i="34"/>
  <c r="R88" i="34"/>
  <c r="R90" i="34"/>
  <c r="R92" i="34"/>
  <c r="R94" i="34"/>
  <c r="R96" i="34"/>
  <c r="R98" i="34"/>
  <c r="R100" i="34"/>
  <c r="R102" i="34"/>
  <c r="R104" i="34"/>
  <c r="R106" i="34"/>
  <c r="R108" i="34"/>
  <c r="R103" i="34"/>
  <c r="R105" i="34"/>
  <c r="R107" i="34"/>
  <c r="R109" i="34"/>
  <c r="R113" i="34"/>
  <c r="R119" i="34"/>
  <c r="R122" i="34"/>
  <c r="R126" i="34"/>
  <c r="R121" i="34"/>
  <c r="R129" i="34"/>
  <c r="R133" i="34"/>
  <c r="R132" i="34"/>
  <c r="R136" i="34"/>
  <c r="R135" i="34"/>
  <c r="R137" i="34"/>
  <c r="R138" i="34"/>
  <c r="T2" i="34" l="1"/>
  <c r="T8" i="34"/>
  <c r="U135" i="34"/>
  <c r="AG135" i="34" s="1"/>
  <c r="U133" i="34"/>
  <c r="AG133" i="34" s="1"/>
  <c r="U130" i="34"/>
  <c r="AG130" i="34" s="1"/>
  <c r="U128" i="34"/>
  <c r="AG128" i="34" s="1"/>
  <c r="U125" i="34"/>
  <c r="AG125" i="34" s="1"/>
  <c r="U120" i="34"/>
  <c r="AG120" i="34" s="1"/>
  <c r="U118" i="34"/>
  <c r="AG118" i="34" s="1"/>
  <c r="U116" i="34"/>
  <c r="AG116" i="34" s="1"/>
  <c r="U114" i="34"/>
  <c r="AG114" i="34" s="1"/>
  <c r="U112" i="34"/>
  <c r="AG112" i="34" s="1"/>
  <c r="U109" i="34"/>
  <c r="AG109" i="34" s="1"/>
  <c r="U98" i="34"/>
  <c r="AG98" i="34" s="1"/>
  <c r="U96" i="34"/>
  <c r="AG96" i="34" s="1"/>
  <c r="U94" i="34"/>
  <c r="AG94" i="34" s="1"/>
  <c r="U92" i="34"/>
  <c r="AG92" i="34" s="1"/>
  <c r="U90" i="34"/>
  <c r="AG90" i="34" s="1"/>
  <c r="U82" i="34"/>
  <c r="AG82" i="34" s="1"/>
  <c r="U57" i="34"/>
  <c r="AG57" i="34" s="1"/>
  <c r="U76" i="34"/>
  <c r="AG76" i="34" s="1"/>
  <c r="U74" i="34"/>
  <c r="AG74" i="34" s="1"/>
  <c r="U72" i="34"/>
  <c r="AG72" i="34" s="1"/>
  <c r="U48" i="34"/>
  <c r="AG48" i="34" s="1"/>
  <c r="U46" i="34"/>
  <c r="AG46" i="34" s="1"/>
  <c r="U44" i="34"/>
  <c r="AG44" i="34" s="1"/>
  <c r="U42" i="34"/>
  <c r="AG42" i="34" s="1"/>
  <c r="U40" i="34"/>
  <c r="AG40" i="34" s="1"/>
  <c r="U38" i="34"/>
  <c r="AG38" i="34" s="1"/>
  <c r="U36" i="34"/>
  <c r="AG36" i="34" s="1"/>
  <c r="U34" i="34"/>
  <c r="AG34" i="34" s="1"/>
  <c r="U32" i="34"/>
  <c r="AG32" i="34" s="1"/>
  <c r="U30" i="34"/>
  <c r="AG30" i="34" s="1"/>
  <c r="U27" i="34"/>
  <c r="AG27" i="34" s="1"/>
  <c r="U25" i="34"/>
  <c r="AG25" i="34" s="1"/>
  <c r="U23" i="34"/>
  <c r="AG23" i="34" s="1"/>
  <c r="U21" i="34"/>
  <c r="AG21" i="34" s="1"/>
  <c r="U19" i="34"/>
  <c r="AG19" i="34" s="1"/>
  <c r="U17" i="34"/>
  <c r="AG17" i="34" s="1"/>
  <c r="U15" i="34"/>
  <c r="AG15" i="34" s="1"/>
  <c r="U13" i="34"/>
  <c r="AG13" i="34" s="1"/>
  <c r="V9" i="34"/>
  <c r="U10" i="34"/>
  <c r="U11" i="34"/>
  <c r="AG11" i="34" s="1"/>
  <c r="U12" i="34"/>
  <c r="AG12" i="34" s="1"/>
  <c r="U16" i="34"/>
  <c r="AG16" i="34" s="1"/>
  <c r="U20" i="34"/>
  <c r="AG20" i="34" s="1"/>
  <c r="U24" i="34"/>
  <c r="AG24" i="34" s="1"/>
  <c r="U29" i="34"/>
  <c r="AG29" i="34" s="1"/>
  <c r="U33" i="34"/>
  <c r="AG33" i="34" s="1"/>
  <c r="U37" i="34"/>
  <c r="AG37" i="34" s="1"/>
  <c r="U41" i="34"/>
  <c r="AG41" i="34" s="1"/>
  <c r="U45" i="34"/>
  <c r="AG45" i="34" s="1"/>
  <c r="U49" i="34"/>
  <c r="AG49" i="34" s="1"/>
  <c r="U50" i="34"/>
  <c r="AG50" i="34" s="1"/>
  <c r="U52" i="34"/>
  <c r="AG52" i="34" s="1"/>
  <c r="U54" i="34"/>
  <c r="AG54" i="34" s="1"/>
  <c r="U51" i="34"/>
  <c r="AG51" i="34" s="1"/>
  <c r="U53" i="34"/>
  <c r="AG53" i="34" s="1"/>
  <c r="U55" i="34"/>
  <c r="AG55" i="34" s="1"/>
  <c r="U56" i="34"/>
  <c r="AG56" i="34" s="1"/>
  <c r="U58" i="34"/>
  <c r="AG58" i="34" s="1"/>
  <c r="U60" i="34"/>
  <c r="AG60" i="34" s="1"/>
  <c r="U62" i="34"/>
  <c r="AG62" i="34" s="1"/>
  <c r="U64" i="34"/>
  <c r="AG64" i="34" s="1"/>
  <c r="U66" i="34"/>
  <c r="AG66" i="34" s="1"/>
  <c r="U68" i="34"/>
  <c r="AG68" i="34" s="1"/>
  <c r="U63" i="34"/>
  <c r="AG63" i="34" s="1"/>
  <c r="U65" i="34"/>
  <c r="AG65" i="34" s="1"/>
  <c r="U67" i="34"/>
  <c r="AG67" i="34" s="1"/>
  <c r="U69" i="34"/>
  <c r="AG69" i="34" s="1"/>
  <c r="U71" i="34"/>
  <c r="AG71" i="34" s="1"/>
  <c r="U73" i="34"/>
  <c r="AG73" i="34" s="1"/>
  <c r="U75" i="34"/>
  <c r="AG75" i="34" s="1"/>
  <c r="U77" i="34"/>
  <c r="AG77" i="34" s="1"/>
  <c r="U78" i="34"/>
  <c r="AG78" i="34" s="1"/>
  <c r="U84" i="34"/>
  <c r="AG84" i="34" s="1"/>
  <c r="U86" i="34"/>
  <c r="AG86" i="34" s="1"/>
  <c r="U88" i="34"/>
  <c r="AG88" i="34" s="1"/>
  <c r="U79" i="34"/>
  <c r="AG79" i="34" s="1"/>
  <c r="U81" i="34"/>
  <c r="AG81" i="34" s="1"/>
  <c r="U83" i="34"/>
  <c r="AG83" i="34" s="1"/>
  <c r="U101" i="34"/>
  <c r="AG101" i="34" s="1"/>
  <c r="U103" i="34"/>
  <c r="AG103" i="34" s="1"/>
  <c r="U105" i="34"/>
  <c r="AG105" i="34" s="1"/>
  <c r="U107" i="34"/>
  <c r="AG107" i="34" s="1"/>
  <c r="U100" i="34"/>
  <c r="AG100" i="34" s="1"/>
  <c r="U111" i="34"/>
  <c r="AG111" i="34" s="1"/>
  <c r="U113" i="34"/>
  <c r="AG113" i="34" s="1"/>
  <c r="U115" i="34"/>
  <c r="AG115" i="34" s="1"/>
  <c r="U117" i="34"/>
  <c r="AG117" i="34" s="1"/>
  <c r="U119" i="34"/>
  <c r="AG119" i="34" s="1"/>
  <c r="U121" i="34"/>
  <c r="AG121" i="34" s="1"/>
  <c r="U122" i="34"/>
  <c r="AG122" i="34" s="1"/>
  <c r="U124" i="34"/>
  <c r="AG124" i="34" s="1"/>
  <c r="U126" i="34"/>
  <c r="AG126" i="34" s="1"/>
  <c r="U127" i="34"/>
  <c r="AG127" i="34" s="1"/>
  <c r="U129" i="34"/>
  <c r="AG129" i="34" s="1"/>
  <c r="U131" i="34"/>
  <c r="AG131" i="34" s="1"/>
  <c r="U132" i="34"/>
  <c r="AG132" i="34" s="1"/>
  <c r="U137" i="34"/>
  <c r="AG137" i="34" s="1"/>
  <c r="U138" i="34"/>
  <c r="AG138" i="34" s="1"/>
  <c r="U14" i="34"/>
  <c r="AG14" i="34" s="1"/>
  <c r="U18" i="34"/>
  <c r="AG18" i="34" s="1"/>
  <c r="U22" i="34"/>
  <c r="AG22" i="34" s="1"/>
  <c r="U26" i="34"/>
  <c r="AG26" i="34" s="1"/>
  <c r="U31" i="34"/>
  <c r="AG31" i="34" s="1"/>
  <c r="U35" i="34"/>
  <c r="AG35" i="34" s="1"/>
  <c r="U39" i="34"/>
  <c r="AG39" i="34" s="1"/>
  <c r="U43" i="34"/>
  <c r="AG43" i="34" s="1"/>
  <c r="U47" i="34"/>
  <c r="AG47" i="34" s="1"/>
  <c r="U70" i="34"/>
  <c r="AG70" i="34" s="1"/>
  <c r="U59" i="34"/>
  <c r="AG59" i="34" s="1"/>
  <c r="U61" i="34"/>
  <c r="AG61" i="34" s="1"/>
  <c r="U80" i="34"/>
  <c r="AG80" i="34" s="1"/>
  <c r="U85" i="34"/>
  <c r="AG85" i="34" s="1"/>
  <c r="U87" i="34"/>
  <c r="AG87" i="34" s="1"/>
  <c r="U89" i="34"/>
  <c r="AG89" i="34" s="1"/>
  <c r="U91" i="34"/>
  <c r="AG91" i="34" s="1"/>
  <c r="U93" i="34"/>
  <c r="AG93" i="34" s="1"/>
  <c r="U95" i="34"/>
  <c r="AG95" i="34" s="1"/>
  <c r="U97" i="34"/>
  <c r="AG97" i="34" s="1"/>
  <c r="U99" i="34"/>
  <c r="AG99" i="34" s="1"/>
  <c r="U110" i="34"/>
  <c r="AG110" i="34" s="1"/>
  <c r="U102" i="34"/>
  <c r="AG102" i="34" s="1"/>
  <c r="U104" i="34"/>
  <c r="AG104" i="34" s="1"/>
  <c r="U106" i="34"/>
  <c r="AG106" i="34" s="1"/>
  <c r="U108" i="34"/>
  <c r="AG108" i="34" s="1"/>
  <c r="U123" i="34"/>
  <c r="AG123" i="34" s="1"/>
  <c r="U134" i="34"/>
  <c r="AG134" i="34" s="1"/>
  <c r="U136" i="34"/>
  <c r="AG136" i="34" s="1"/>
  <c r="W9" i="34" l="1"/>
  <c r="V11" i="34"/>
  <c r="V12" i="34"/>
  <c r="V16" i="34"/>
  <c r="V20" i="34"/>
  <c r="V24" i="34"/>
  <c r="V29" i="34"/>
  <c r="V33" i="34"/>
  <c r="V37" i="34"/>
  <c r="V41" i="34"/>
  <c r="V45" i="34"/>
  <c r="V49" i="34"/>
  <c r="V51" i="34"/>
  <c r="V53" i="34"/>
  <c r="V55" i="34"/>
  <c r="V15" i="34"/>
  <c r="V19" i="34"/>
  <c r="V23" i="34"/>
  <c r="V27" i="34"/>
  <c r="V32" i="34"/>
  <c r="V36" i="34"/>
  <c r="V40" i="34"/>
  <c r="V44" i="34"/>
  <c r="V48" i="34"/>
  <c r="V56" i="34"/>
  <c r="V57" i="34"/>
  <c r="V59" i="34"/>
  <c r="V61" i="34"/>
  <c r="V63" i="34"/>
  <c r="V65" i="34"/>
  <c r="V67" i="34"/>
  <c r="V69" i="34"/>
  <c r="V73" i="34"/>
  <c r="V60" i="34"/>
  <c r="V62" i="34"/>
  <c r="V79" i="34"/>
  <c r="V83" i="34"/>
  <c r="V85" i="34"/>
  <c r="V87" i="34"/>
  <c r="V89" i="34"/>
  <c r="V93" i="34"/>
  <c r="V95" i="34"/>
  <c r="V97" i="34"/>
  <c r="V86" i="34"/>
  <c r="V88" i="34"/>
  <c r="V90" i="34"/>
  <c r="V92" i="34"/>
  <c r="V94" i="34"/>
  <c r="V96" i="34"/>
  <c r="V98" i="34"/>
  <c r="V100" i="34"/>
  <c r="V102" i="34"/>
  <c r="V104" i="34"/>
  <c r="V106" i="34"/>
  <c r="V108" i="34"/>
  <c r="V103" i="34"/>
  <c r="V105" i="34"/>
  <c r="V107" i="34"/>
  <c r="V109" i="34"/>
  <c r="V113" i="34"/>
  <c r="V119" i="34"/>
  <c r="V122" i="34"/>
  <c r="V126" i="34"/>
  <c r="V121" i="34"/>
  <c r="V129" i="34"/>
  <c r="V133" i="34"/>
  <c r="V132" i="34"/>
  <c r="V136" i="34"/>
  <c r="V135" i="34"/>
  <c r="V137" i="34"/>
  <c r="V138" i="34"/>
  <c r="V10" i="34"/>
  <c r="V8" i="34" s="1"/>
  <c r="V14" i="34"/>
  <c r="V18" i="34"/>
  <c r="V22" i="34"/>
  <c r="V26" i="34"/>
  <c r="V31" i="34"/>
  <c r="V35" i="34"/>
  <c r="V39" i="34"/>
  <c r="V43" i="34"/>
  <c r="V47" i="34"/>
  <c r="V13" i="34"/>
  <c r="V17" i="34"/>
  <c r="V21" i="34"/>
  <c r="V25" i="34"/>
  <c r="V30" i="34"/>
  <c r="V34" i="34"/>
  <c r="V38" i="34"/>
  <c r="V42" i="34"/>
  <c r="V46" i="34"/>
  <c r="V50" i="34"/>
  <c r="V52" i="34"/>
  <c r="V54" i="34"/>
  <c r="V71" i="34"/>
  <c r="V75" i="34"/>
  <c r="V77" i="34"/>
  <c r="V58" i="34"/>
  <c r="V64" i="34"/>
  <c r="V66" i="34"/>
  <c r="V68" i="34"/>
  <c r="V70" i="34"/>
  <c r="V72" i="34"/>
  <c r="V74" i="34"/>
  <c r="V76" i="34"/>
  <c r="V81" i="34"/>
  <c r="V91" i="34"/>
  <c r="V99" i="34"/>
  <c r="V78" i="34"/>
  <c r="V80" i="34"/>
  <c r="V82" i="34"/>
  <c r="V84" i="34"/>
  <c r="V110" i="34"/>
  <c r="V101" i="34"/>
  <c r="V111" i="34"/>
  <c r="V115" i="34"/>
  <c r="V117" i="34"/>
  <c r="V112" i="34"/>
  <c r="V114" i="34"/>
  <c r="V116" i="34"/>
  <c r="V118" i="34"/>
  <c r="V120" i="34"/>
  <c r="V124" i="34"/>
  <c r="V123" i="34"/>
  <c r="V125" i="34"/>
  <c r="V127" i="34"/>
  <c r="V131" i="34"/>
  <c r="V128" i="34"/>
  <c r="V130" i="34"/>
  <c r="V134" i="34"/>
  <c r="U8" i="34"/>
  <c r="AG10" i="34"/>
  <c r="AG8" i="34" s="1"/>
  <c r="W135" i="34" l="1"/>
  <c r="W133" i="34"/>
  <c r="W130" i="34"/>
  <c r="W128" i="34"/>
  <c r="W125" i="34"/>
  <c r="W120" i="34"/>
  <c r="W118" i="34"/>
  <c r="W116" i="34"/>
  <c r="W114" i="34"/>
  <c r="W112" i="34"/>
  <c r="W109" i="34"/>
  <c r="W98" i="34"/>
  <c r="W96" i="34"/>
  <c r="W94" i="34"/>
  <c r="W92" i="34"/>
  <c r="W90" i="34"/>
  <c r="W76" i="34"/>
  <c r="W74" i="34"/>
  <c r="W48" i="34"/>
  <c r="W46" i="34"/>
  <c r="W44" i="34"/>
  <c r="W42" i="34"/>
  <c r="W40" i="34"/>
  <c r="W38" i="34"/>
  <c r="W36" i="34"/>
  <c r="W34" i="34"/>
  <c r="W32" i="34"/>
  <c r="W30" i="34"/>
  <c r="W27" i="34"/>
  <c r="W25" i="34"/>
  <c r="W23" i="34"/>
  <c r="W21" i="34"/>
  <c r="W19" i="34"/>
  <c r="W17" i="34"/>
  <c r="W15" i="34"/>
  <c r="W13" i="34"/>
  <c r="X9" i="34"/>
  <c r="W14" i="34"/>
  <c r="W18" i="34"/>
  <c r="W22" i="34"/>
  <c r="W26" i="34"/>
  <c r="W31" i="34"/>
  <c r="W35" i="34"/>
  <c r="W39" i="34"/>
  <c r="W43" i="34"/>
  <c r="W47" i="34"/>
  <c r="W70" i="34"/>
  <c r="W59" i="34"/>
  <c r="W61" i="34"/>
  <c r="W80" i="34"/>
  <c r="W85" i="34"/>
  <c r="W87" i="34"/>
  <c r="W89" i="34"/>
  <c r="W91" i="34"/>
  <c r="W93" i="34"/>
  <c r="W95" i="34"/>
  <c r="W97" i="34"/>
  <c r="W99" i="34"/>
  <c r="W110" i="34"/>
  <c r="W102" i="34"/>
  <c r="W104" i="34"/>
  <c r="W106" i="34"/>
  <c r="W108" i="34"/>
  <c r="W123" i="34"/>
  <c r="W134" i="34"/>
  <c r="W136" i="34"/>
  <c r="W10" i="34"/>
  <c r="W8" i="34" s="1"/>
  <c r="W11" i="34"/>
  <c r="W12" i="34"/>
  <c r="W16" i="34"/>
  <c r="W20" i="34"/>
  <c r="W24" i="34"/>
  <c r="W29" i="34"/>
  <c r="W33" i="34"/>
  <c r="W37" i="34"/>
  <c r="W41" i="34"/>
  <c r="W45" i="34"/>
  <c r="W49" i="34"/>
  <c r="W50" i="34"/>
  <c r="W52" i="34"/>
  <c r="W54" i="34"/>
  <c r="W51" i="34"/>
  <c r="W53" i="34"/>
  <c r="W55" i="34"/>
  <c r="W56" i="34"/>
  <c r="W58" i="34"/>
  <c r="W60" i="34"/>
  <c r="W62" i="34"/>
  <c r="W64" i="34"/>
  <c r="W66" i="34"/>
  <c r="W68" i="34"/>
  <c r="W72" i="34"/>
  <c r="W57" i="34"/>
  <c r="W63" i="34"/>
  <c r="W65" i="34"/>
  <c r="W67" i="34"/>
  <c r="W69" i="34"/>
  <c r="W71" i="34"/>
  <c r="W73" i="34"/>
  <c r="W75" i="34"/>
  <c r="W77" i="34"/>
  <c r="W78" i="34"/>
  <c r="W82" i="34"/>
  <c r="W84" i="34"/>
  <c r="W86" i="34"/>
  <c r="W88" i="34"/>
  <c r="W79" i="34"/>
  <c r="W81" i="34"/>
  <c r="W83" i="34"/>
  <c r="W101" i="34"/>
  <c r="W103" i="34"/>
  <c r="W105" i="34"/>
  <c r="W107" i="34"/>
  <c r="W100" i="34"/>
  <c r="W111" i="34"/>
  <c r="W113" i="34"/>
  <c r="W115" i="34"/>
  <c r="W117" i="34"/>
  <c r="W119" i="34"/>
  <c r="W121" i="34"/>
  <c r="W122" i="34"/>
  <c r="W124" i="34"/>
  <c r="W126" i="34"/>
  <c r="W127" i="34"/>
  <c r="W129" i="34"/>
  <c r="W131" i="34"/>
  <c r="W132" i="34"/>
  <c r="W137" i="34"/>
  <c r="W138" i="34"/>
  <c r="Y9" i="34" l="1"/>
  <c r="X18" i="34"/>
  <c r="X22" i="34"/>
  <c r="X24" i="34"/>
  <c r="X26" i="34"/>
  <c r="X49" i="34"/>
  <c r="X10" i="34"/>
  <c r="X8" i="34" s="1"/>
  <c r="X13" i="34"/>
  <c r="X17" i="34"/>
  <c r="X21" i="34"/>
  <c r="X25" i="34"/>
  <c r="X30" i="34"/>
  <c r="X34" i="34"/>
  <c r="X38" i="34"/>
  <c r="X42" i="34"/>
  <c r="X46" i="34"/>
  <c r="X50" i="34"/>
  <c r="X52" i="34"/>
  <c r="X54" i="34"/>
  <c r="X71" i="34"/>
  <c r="X75" i="34"/>
  <c r="X77" i="34"/>
  <c r="X58" i="34"/>
  <c r="X64" i="34"/>
  <c r="X66" i="34"/>
  <c r="X68" i="34"/>
  <c r="X70" i="34"/>
  <c r="X72" i="34"/>
  <c r="X74" i="34"/>
  <c r="X76" i="34"/>
  <c r="X81" i="34"/>
  <c r="X91" i="34"/>
  <c r="X99" i="34"/>
  <c r="X78" i="34"/>
  <c r="X80" i="34"/>
  <c r="X82" i="34"/>
  <c r="X84" i="34"/>
  <c r="X110" i="34"/>
  <c r="X101" i="34"/>
  <c r="X111" i="34"/>
  <c r="X115" i="34"/>
  <c r="X117" i="34"/>
  <c r="X112" i="34"/>
  <c r="X114" i="34"/>
  <c r="X116" i="34"/>
  <c r="X118" i="34"/>
  <c r="X120" i="34"/>
  <c r="X124" i="34"/>
  <c r="X123" i="34"/>
  <c r="X125" i="34"/>
  <c r="X127" i="34"/>
  <c r="X131" i="34"/>
  <c r="X128" i="34"/>
  <c r="X130" i="34"/>
  <c r="X134" i="34"/>
  <c r="X11" i="34"/>
  <c r="X12" i="34"/>
  <c r="X14" i="34"/>
  <c r="X16" i="34"/>
  <c r="X20" i="34"/>
  <c r="X29" i="34"/>
  <c r="X31" i="34"/>
  <c r="X33" i="34"/>
  <c r="X35" i="34"/>
  <c r="X37" i="34"/>
  <c r="X39" i="34"/>
  <c r="X41" i="34"/>
  <c r="X43" i="34"/>
  <c r="X45" i="34"/>
  <c r="X47" i="34"/>
  <c r="X51" i="34"/>
  <c r="X53" i="34"/>
  <c r="X55" i="34"/>
  <c r="X15" i="34"/>
  <c r="X19" i="34"/>
  <c r="X23" i="34"/>
  <c r="X27" i="34"/>
  <c r="X32" i="34"/>
  <c r="X36" i="34"/>
  <c r="X40" i="34"/>
  <c r="X44" i="34"/>
  <c r="X48" i="34"/>
  <c r="X56" i="34"/>
  <c r="X57" i="34"/>
  <c r="X59" i="34"/>
  <c r="X61" i="34"/>
  <c r="X63" i="34"/>
  <c r="X65" i="34"/>
  <c r="X67" i="34"/>
  <c r="X69" i="34"/>
  <c r="X73" i="34"/>
  <c r="X60" i="34"/>
  <c r="X62" i="34"/>
  <c r="X79" i="34"/>
  <c r="X83" i="34"/>
  <c r="X85" i="34"/>
  <c r="X87" i="34"/>
  <c r="X89" i="34"/>
  <c r="X93" i="34"/>
  <c r="X95" i="34"/>
  <c r="X97" i="34"/>
  <c r="X86" i="34"/>
  <c r="X88" i="34"/>
  <c r="X90" i="34"/>
  <c r="X92" i="34"/>
  <c r="X94" i="34"/>
  <c r="X96" i="34"/>
  <c r="X98" i="34"/>
  <c r="X100" i="34"/>
  <c r="X102" i="34"/>
  <c r="X104" i="34"/>
  <c r="X106" i="34"/>
  <c r="X108" i="34"/>
  <c r="X103" i="34"/>
  <c r="X105" i="34"/>
  <c r="X107" i="34"/>
  <c r="X109" i="34"/>
  <c r="X113" i="34"/>
  <c r="X119" i="34"/>
  <c r="X122" i="34"/>
  <c r="X126" i="34"/>
  <c r="X121" i="34"/>
  <c r="X129" i="34"/>
  <c r="X133" i="34"/>
  <c r="X132" i="34"/>
  <c r="X136" i="34"/>
  <c r="X135" i="34"/>
  <c r="X137" i="34"/>
  <c r="X138" i="34"/>
  <c r="Y135" i="34" l="1"/>
  <c r="Y133" i="34"/>
  <c r="Y130" i="34"/>
  <c r="Y128" i="34"/>
  <c r="Y125" i="34"/>
  <c r="Y120" i="34"/>
  <c r="Y118" i="34"/>
  <c r="Y116" i="34"/>
  <c r="Y114" i="34"/>
  <c r="Y112" i="34"/>
  <c r="Y109" i="34"/>
  <c r="Y98" i="34"/>
  <c r="Y96" i="34"/>
  <c r="Y94" i="34"/>
  <c r="Y92" i="34"/>
  <c r="Y90" i="34"/>
  <c r="Y76" i="34"/>
  <c r="Y74" i="34"/>
  <c r="Y48" i="34"/>
  <c r="Y46" i="34"/>
  <c r="Y44" i="34"/>
  <c r="Y42" i="34"/>
  <c r="Y40" i="34"/>
  <c r="Y38" i="34"/>
  <c r="Y36" i="34"/>
  <c r="Y34" i="34"/>
  <c r="Y32" i="34"/>
  <c r="Y30" i="34"/>
  <c r="Y27" i="34"/>
  <c r="Y25" i="34"/>
  <c r="Y23" i="34"/>
  <c r="Y21" i="34"/>
  <c r="Y19" i="34"/>
  <c r="Y17" i="34"/>
  <c r="Y15" i="34"/>
  <c r="Y13" i="34"/>
  <c r="Z9" i="34"/>
  <c r="Y10" i="34"/>
  <c r="Y8" i="34" s="1"/>
  <c r="Y11" i="34"/>
  <c r="Y12" i="34"/>
  <c r="Y16" i="34"/>
  <c r="Y20" i="34"/>
  <c r="Y24" i="34"/>
  <c r="Y29" i="34"/>
  <c r="Y33" i="34"/>
  <c r="Y37" i="34"/>
  <c r="Y41" i="34"/>
  <c r="Y45" i="34"/>
  <c r="Y49" i="34"/>
  <c r="Y50" i="34"/>
  <c r="Y52" i="34"/>
  <c r="Y54" i="34"/>
  <c r="Y51" i="34"/>
  <c r="Y53" i="34"/>
  <c r="Y55" i="34"/>
  <c r="Y56" i="34"/>
  <c r="Y58" i="34"/>
  <c r="Y60" i="34"/>
  <c r="Y62" i="34"/>
  <c r="Y64" i="34"/>
  <c r="Y66" i="34"/>
  <c r="Y68" i="34"/>
  <c r="Y72" i="34"/>
  <c r="Y57" i="34"/>
  <c r="Y63" i="34"/>
  <c r="Y65" i="34"/>
  <c r="Y67" i="34"/>
  <c r="Y69" i="34"/>
  <c r="Y71" i="34"/>
  <c r="Y73" i="34"/>
  <c r="Y75" i="34"/>
  <c r="Y77" i="34"/>
  <c r="Y78" i="34"/>
  <c r="Y82" i="34"/>
  <c r="Y84" i="34"/>
  <c r="Y86" i="34"/>
  <c r="Y88" i="34"/>
  <c r="Y79" i="34"/>
  <c r="Y81" i="34"/>
  <c r="Y83" i="34"/>
  <c r="Y101" i="34"/>
  <c r="Y103" i="34"/>
  <c r="Y105" i="34"/>
  <c r="Y107" i="34"/>
  <c r="Y100" i="34"/>
  <c r="Y111" i="34"/>
  <c r="Y113" i="34"/>
  <c r="Y115" i="34"/>
  <c r="Y117" i="34"/>
  <c r="Y119" i="34"/>
  <c r="Y121" i="34"/>
  <c r="Y122" i="34"/>
  <c r="Y124" i="34"/>
  <c r="Y127" i="34"/>
  <c r="Y129" i="34"/>
  <c r="Y131" i="34"/>
  <c r="Y132" i="34"/>
  <c r="Y137" i="34"/>
  <c r="Y14" i="34"/>
  <c r="Y18" i="34"/>
  <c r="Y22" i="34"/>
  <c r="Y26" i="34"/>
  <c r="Y31" i="34"/>
  <c r="Y35" i="34"/>
  <c r="Y39" i="34"/>
  <c r="Y43" i="34"/>
  <c r="Y47" i="34"/>
  <c r="Y70" i="34"/>
  <c r="Y59" i="34"/>
  <c r="Y61" i="34"/>
  <c r="Y80" i="34"/>
  <c r="Y85" i="34"/>
  <c r="Y87" i="34"/>
  <c r="Y89" i="34"/>
  <c r="Y91" i="34"/>
  <c r="Y93" i="34"/>
  <c r="Y95" i="34"/>
  <c r="Y97" i="34"/>
  <c r="Y99" i="34"/>
  <c r="Y110" i="34"/>
  <c r="Y102" i="34"/>
  <c r="Y104" i="34"/>
  <c r="Y106" i="34"/>
  <c r="Y108" i="34"/>
  <c r="Y123" i="34"/>
  <c r="Y126" i="34"/>
  <c r="Y134" i="34"/>
  <c r="Y136" i="34"/>
  <c r="Y138" i="34"/>
  <c r="AA9" i="34" l="1"/>
  <c r="Z11" i="34"/>
  <c r="Z14" i="34"/>
  <c r="Z18" i="34"/>
  <c r="Z22" i="34"/>
  <c r="Z26" i="34"/>
  <c r="Z31" i="34"/>
  <c r="Z35" i="34"/>
  <c r="Z39" i="34"/>
  <c r="Z43" i="34"/>
  <c r="Z47" i="34"/>
  <c r="Z51" i="34"/>
  <c r="Z53" i="34"/>
  <c r="Z55" i="34"/>
  <c r="Z15" i="34"/>
  <c r="Z19" i="34"/>
  <c r="Z23" i="34"/>
  <c r="Z27" i="34"/>
  <c r="Z32" i="34"/>
  <c r="Z36" i="34"/>
  <c r="Z40" i="34"/>
  <c r="Z44" i="34"/>
  <c r="Z48" i="34"/>
  <c r="Z56" i="34"/>
  <c r="Z57" i="34"/>
  <c r="Z59" i="34"/>
  <c r="Z61" i="34"/>
  <c r="Z63" i="34"/>
  <c r="Z65" i="34"/>
  <c r="Z67" i="34"/>
  <c r="Z69" i="34"/>
  <c r="Z73" i="34"/>
  <c r="Z60" i="34"/>
  <c r="Z62" i="34"/>
  <c r="Z79" i="34"/>
  <c r="Z83" i="34"/>
  <c r="Z85" i="34"/>
  <c r="Z87" i="34"/>
  <c r="Z89" i="34"/>
  <c r="Z93" i="34"/>
  <c r="Z95" i="34"/>
  <c r="Z97" i="34"/>
  <c r="Z86" i="34"/>
  <c r="Z88" i="34"/>
  <c r="Z90" i="34"/>
  <c r="Z92" i="34"/>
  <c r="Z94" i="34"/>
  <c r="Z96" i="34"/>
  <c r="Z98" i="34"/>
  <c r="Z100" i="34"/>
  <c r="Z102" i="34"/>
  <c r="Z104" i="34"/>
  <c r="Z106" i="34"/>
  <c r="Z108" i="34"/>
  <c r="Z103" i="34"/>
  <c r="Z105" i="34"/>
  <c r="Z107" i="34"/>
  <c r="Z109" i="34"/>
  <c r="Z113" i="34"/>
  <c r="Z119" i="34"/>
  <c r="Z122" i="34"/>
  <c r="Z126" i="34"/>
  <c r="Z121" i="34"/>
  <c r="Z129" i="34"/>
  <c r="Z133" i="34"/>
  <c r="Z132" i="34"/>
  <c r="Z136" i="34"/>
  <c r="Z135" i="34"/>
  <c r="Z137" i="34"/>
  <c r="Z138" i="34"/>
  <c r="Z10" i="34"/>
  <c r="Z8" i="34" s="1"/>
  <c r="Z12" i="34"/>
  <c r="Z16" i="34"/>
  <c r="Z20" i="34"/>
  <c r="Z24" i="34"/>
  <c r="Z29" i="34"/>
  <c r="Z33" i="34"/>
  <c r="Z37" i="34"/>
  <c r="Z41" i="34"/>
  <c r="Z45" i="34"/>
  <c r="Z49" i="34"/>
  <c r="Z13" i="34"/>
  <c r="Z17" i="34"/>
  <c r="Z21" i="34"/>
  <c r="Z25" i="34"/>
  <c r="Z30" i="34"/>
  <c r="Z34" i="34"/>
  <c r="Z38" i="34"/>
  <c r="Z42" i="34"/>
  <c r="Z46" i="34"/>
  <c r="Z50" i="34"/>
  <c r="Z52" i="34"/>
  <c r="Z54" i="34"/>
  <c r="Z71" i="34"/>
  <c r="Z75" i="34"/>
  <c r="Z77" i="34"/>
  <c r="Z58" i="34"/>
  <c r="Z64" i="34"/>
  <c r="Z66" i="34"/>
  <c r="Z68" i="34"/>
  <c r="Z70" i="34"/>
  <c r="Z72" i="34"/>
  <c r="Z74" i="34"/>
  <c r="Z76" i="34"/>
  <c r="Z81" i="34"/>
  <c r="Z91" i="34"/>
  <c r="Z99" i="34"/>
  <c r="Z78" i="34"/>
  <c r="Z80" i="34"/>
  <c r="Z82" i="34"/>
  <c r="Z84" i="34"/>
  <c r="Z110" i="34"/>
  <c r="Z101" i="34"/>
  <c r="Z111" i="34"/>
  <c r="Z115" i="34"/>
  <c r="Z117" i="34"/>
  <c r="Z112" i="34"/>
  <c r="Z114" i="34"/>
  <c r="Z116" i="34"/>
  <c r="Z118" i="34"/>
  <c r="Z120" i="34"/>
  <c r="Z124" i="34"/>
  <c r="Z123" i="34"/>
  <c r="Z125" i="34"/>
  <c r="Z127" i="34"/>
  <c r="Z131" i="34"/>
  <c r="Z128" i="34"/>
  <c r="Z130" i="34"/>
  <c r="Z134" i="34"/>
  <c r="AA135" i="34" l="1"/>
  <c r="AA133" i="34"/>
  <c r="AA130" i="34"/>
  <c r="AA128" i="34"/>
  <c r="AA125" i="34"/>
  <c r="AA120" i="34"/>
  <c r="AA118" i="34"/>
  <c r="AA116" i="34"/>
  <c r="AA114" i="34"/>
  <c r="AA109" i="34"/>
  <c r="AA98" i="34"/>
  <c r="AA96" i="34"/>
  <c r="AA94" i="34"/>
  <c r="AA92" i="34"/>
  <c r="AA76" i="34"/>
  <c r="AA74" i="34"/>
  <c r="AA48" i="34"/>
  <c r="AA46" i="34"/>
  <c r="AA44" i="34"/>
  <c r="AA42" i="34"/>
  <c r="AA40" i="34"/>
  <c r="AA38" i="34"/>
  <c r="AA36" i="34"/>
  <c r="AA34" i="34"/>
  <c r="AA32" i="34"/>
  <c r="AA30" i="34"/>
  <c r="AA27" i="34"/>
  <c r="AA25" i="34"/>
  <c r="AA23" i="34"/>
  <c r="AA21" i="34"/>
  <c r="AA19" i="34"/>
  <c r="AA17" i="34"/>
  <c r="AA15" i="34"/>
  <c r="AA13" i="34"/>
  <c r="AB9" i="34"/>
  <c r="AA14" i="34"/>
  <c r="AA18" i="34"/>
  <c r="AA22" i="34"/>
  <c r="AA26" i="34"/>
  <c r="AA31" i="34"/>
  <c r="AA35" i="34"/>
  <c r="AA39" i="34"/>
  <c r="AA43" i="34"/>
  <c r="AA47" i="34"/>
  <c r="AA70" i="34"/>
  <c r="AA59" i="34"/>
  <c r="AA61" i="34"/>
  <c r="AA80" i="34"/>
  <c r="AA90" i="34"/>
  <c r="AA85" i="34"/>
  <c r="AA87" i="34"/>
  <c r="AA89" i="34"/>
  <c r="AA91" i="34"/>
  <c r="AA93" i="34"/>
  <c r="AA95" i="34"/>
  <c r="AA97" i="34"/>
  <c r="AA99" i="34"/>
  <c r="AA110" i="34"/>
  <c r="AA102" i="34"/>
  <c r="AA104" i="34"/>
  <c r="AA106" i="34"/>
  <c r="AA108" i="34"/>
  <c r="AA123" i="34"/>
  <c r="AA126" i="34"/>
  <c r="AA134" i="34"/>
  <c r="AA136" i="34"/>
  <c r="AA10" i="34"/>
  <c r="AA8" i="34" s="1"/>
  <c r="AA11" i="34"/>
  <c r="AA12" i="34"/>
  <c r="AA16" i="34"/>
  <c r="AA20" i="34"/>
  <c r="AA24" i="34"/>
  <c r="AA29" i="34"/>
  <c r="AA33" i="34"/>
  <c r="AA37" i="34"/>
  <c r="AA41" i="34"/>
  <c r="AA45" i="34"/>
  <c r="AA49" i="34"/>
  <c r="AA50" i="34"/>
  <c r="AA52" i="34"/>
  <c r="AA54" i="34"/>
  <c r="AA51" i="34"/>
  <c r="AA53" i="34"/>
  <c r="AA55" i="34"/>
  <c r="AA56" i="34"/>
  <c r="AA58" i="34"/>
  <c r="AA60" i="34"/>
  <c r="AA62" i="34"/>
  <c r="AA64" i="34"/>
  <c r="AA66" i="34"/>
  <c r="AA68" i="34"/>
  <c r="AA72" i="34"/>
  <c r="AA57" i="34"/>
  <c r="AA63" i="34"/>
  <c r="AA65" i="34"/>
  <c r="AA67" i="34"/>
  <c r="AA69" i="34"/>
  <c r="AA71" i="34"/>
  <c r="AA73" i="34"/>
  <c r="AA75" i="34"/>
  <c r="AA77" i="34"/>
  <c r="AA78" i="34"/>
  <c r="AA82" i="34"/>
  <c r="AA84" i="34"/>
  <c r="AA86" i="34"/>
  <c r="AA88" i="34"/>
  <c r="AA79" i="34"/>
  <c r="AA81" i="34"/>
  <c r="AA83" i="34"/>
  <c r="AA101" i="34"/>
  <c r="AA103" i="34"/>
  <c r="AA105" i="34"/>
  <c r="AA107" i="34"/>
  <c r="AA100" i="34"/>
  <c r="AA112" i="34"/>
  <c r="AA111" i="34"/>
  <c r="AA113" i="34"/>
  <c r="AA115" i="34"/>
  <c r="AA117" i="34"/>
  <c r="AA119" i="34"/>
  <c r="AA121" i="34"/>
  <c r="AA122" i="34"/>
  <c r="AA124" i="34"/>
  <c r="AA127" i="34"/>
  <c r="AA129" i="34"/>
  <c r="AA131" i="34"/>
  <c r="AA132" i="34"/>
  <c r="AA137" i="34"/>
  <c r="AA138" i="34"/>
  <c r="AC9" i="34" l="1"/>
  <c r="AB18" i="34"/>
  <c r="AB12" i="34"/>
  <c r="AB14" i="34"/>
  <c r="AB16" i="34"/>
  <c r="AB20" i="34"/>
  <c r="AB29" i="34"/>
  <c r="AB31" i="34"/>
  <c r="AB33" i="34"/>
  <c r="AB35" i="34"/>
  <c r="AB37" i="34"/>
  <c r="AB39" i="34"/>
  <c r="AB41" i="34"/>
  <c r="AB43" i="34"/>
  <c r="AB45" i="34"/>
  <c r="AB47" i="34"/>
  <c r="AB10" i="34"/>
  <c r="AB8" i="34" s="1"/>
  <c r="AB13" i="34"/>
  <c r="AB17" i="34"/>
  <c r="AB21" i="34"/>
  <c r="AB25" i="34"/>
  <c r="AB30" i="34"/>
  <c r="AB34" i="34"/>
  <c r="AB38" i="34"/>
  <c r="AB42" i="34"/>
  <c r="AB46" i="34"/>
  <c r="AB50" i="34"/>
  <c r="AB52" i="34"/>
  <c r="AB54" i="34"/>
  <c r="AB71" i="34"/>
  <c r="AB75" i="34"/>
  <c r="AB77" i="34"/>
  <c r="AB58" i="34"/>
  <c r="AB64" i="34"/>
  <c r="AB66" i="34"/>
  <c r="AB68" i="34"/>
  <c r="AB70" i="34"/>
  <c r="AB72" i="34"/>
  <c r="AB74" i="34"/>
  <c r="AB76" i="34"/>
  <c r="AB81" i="34"/>
  <c r="AB91" i="34"/>
  <c r="AB99" i="34"/>
  <c r="AB78" i="34"/>
  <c r="AB80" i="34"/>
  <c r="AB82" i="34"/>
  <c r="AB84" i="34"/>
  <c r="AB110" i="34"/>
  <c r="AB101" i="34"/>
  <c r="AB111" i="34"/>
  <c r="AB115" i="34"/>
  <c r="AB117" i="34"/>
  <c r="AB112" i="34"/>
  <c r="AB114" i="34"/>
  <c r="AB116" i="34"/>
  <c r="AB118" i="34"/>
  <c r="AB120" i="34"/>
  <c r="AB124" i="34"/>
  <c r="AB123" i="34"/>
  <c r="AB125" i="34"/>
  <c r="AB127" i="34"/>
  <c r="AB131" i="34"/>
  <c r="AB128" i="34"/>
  <c r="AB130" i="34"/>
  <c r="AB134" i="34"/>
  <c r="AB11" i="34"/>
  <c r="AB22" i="34"/>
  <c r="AB24" i="34"/>
  <c r="AB26" i="34"/>
  <c r="AB49" i="34"/>
  <c r="AB51" i="34"/>
  <c r="AB53" i="34"/>
  <c r="AB55" i="34"/>
  <c r="AB15" i="34"/>
  <c r="AB19" i="34"/>
  <c r="AB23" i="34"/>
  <c r="AB27" i="34"/>
  <c r="AB32" i="34"/>
  <c r="AB36" i="34"/>
  <c r="AB40" i="34"/>
  <c r="AB44" i="34"/>
  <c r="AB48" i="34"/>
  <c r="AB56" i="34"/>
  <c r="AB57" i="34"/>
  <c r="AB59" i="34"/>
  <c r="AB61" i="34"/>
  <c r="AB63" i="34"/>
  <c r="AB65" i="34"/>
  <c r="AB67" i="34"/>
  <c r="AB69" i="34"/>
  <c r="AB73" i="34"/>
  <c r="AB60" i="34"/>
  <c r="AB62" i="34"/>
  <c r="AB79" i="34"/>
  <c r="AB83" i="34"/>
  <c r="AB85" i="34"/>
  <c r="AB87" i="34"/>
  <c r="AB89" i="34"/>
  <c r="AB93" i="34"/>
  <c r="AB95" i="34"/>
  <c r="AB97" i="34"/>
  <c r="AB86" i="34"/>
  <c r="AB88" i="34"/>
  <c r="AB90" i="34"/>
  <c r="AB92" i="34"/>
  <c r="AB94" i="34"/>
  <c r="AB96" i="34"/>
  <c r="AB98" i="34"/>
  <c r="AB100" i="34"/>
  <c r="AB102" i="34"/>
  <c r="AB104" i="34"/>
  <c r="AB106" i="34"/>
  <c r="AB108" i="34"/>
  <c r="AB103" i="34"/>
  <c r="AB105" i="34"/>
  <c r="AB107" i="34"/>
  <c r="AB109" i="34"/>
  <c r="AB113" i="34"/>
  <c r="AB119" i="34"/>
  <c r="AB122" i="34"/>
  <c r="AB126" i="34"/>
  <c r="AB121" i="34"/>
  <c r="AB129" i="34"/>
  <c r="AB133" i="34"/>
  <c r="AB132" i="34"/>
  <c r="AB136" i="34"/>
  <c r="AB135" i="34"/>
  <c r="AB137" i="34"/>
  <c r="AB138" i="34"/>
  <c r="AC135" i="34" l="1"/>
  <c r="AC133" i="34"/>
  <c r="AC130" i="34"/>
  <c r="AC128" i="34"/>
  <c r="AC120" i="34"/>
  <c r="AC118" i="34"/>
  <c r="AC116" i="34"/>
  <c r="AC114" i="34"/>
  <c r="AC109" i="34"/>
  <c r="AC98" i="34"/>
  <c r="AC96" i="34"/>
  <c r="AC94" i="34"/>
  <c r="AC92" i="34"/>
  <c r="AC76" i="34"/>
  <c r="AC74" i="34"/>
  <c r="AC48" i="34"/>
  <c r="AC46" i="34"/>
  <c r="AC44" i="34"/>
  <c r="AC42" i="34"/>
  <c r="AC40" i="34"/>
  <c r="AC38" i="34"/>
  <c r="AC36" i="34"/>
  <c r="AC34" i="34"/>
  <c r="AC32" i="34"/>
  <c r="AC30" i="34"/>
  <c r="AC27" i="34"/>
  <c r="AC25" i="34"/>
  <c r="AC23" i="34"/>
  <c r="AC21" i="34"/>
  <c r="AC19" i="34"/>
  <c r="AC17" i="34"/>
  <c r="AC15" i="34"/>
  <c r="AC13" i="34"/>
  <c r="AD9" i="34"/>
  <c r="AC10" i="34"/>
  <c r="AC8" i="34" s="1"/>
  <c r="AC11" i="34"/>
  <c r="AC12" i="34"/>
  <c r="AC16" i="34"/>
  <c r="AC20" i="34"/>
  <c r="AC24" i="34"/>
  <c r="AC29" i="34"/>
  <c r="AC33" i="34"/>
  <c r="AC37" i="34"/>
  <c r="AC41" i="34"/>
  <c r="AC45" i="34"/>
  <c r="AC49" i="34"/>
  <c r="AC50" i="34"/>
  <c r="AC52" i="34"/>
  <c r="AC54" i="34"/>
  <c r="AC51" i="34"/>
  <c r="AC53" i="34"/>
  <c r="AC55" i="34"/>
  <c r="AC56" i="34"/>
  <c r="AC58" i="34"/>
  <c r="AC60" i="34"/>
  <c r="AC62" i="34"/>
  <c r="AC64" i="34"/>
  <c r="AC66" i="34"/>
  <c r="AC68" i="34"/>
  <c r="AC72" i="34"/>
  <c r="AC57" i="34"/>
  <c r="AC63" i="34"/>
  <c r="AC65" i="34"/>
  <c r="AC67" i="34"/>
  <c r="AC69" i="34"/>
  <c r="AC71" i="34"/>
  <c r="AC73" i="34"/>
  <c r="AC75" i="34"/>
  <c r="AC77" i="34"/>
  <c r="AC78" i="34"/>
  <c r="AC82" i="34"/>
  <c r="AC84" i="34"/>
  <c r="AC86" i="34"/>
  <c r="AC88" i="34"/>
  <c r="AC79" i="34"/>
  <c r="AC81" i="34"/>
  <c r="AC83" i="34"/>
  <c r="AC101" i="34"/>
  <c r="AC103" i="34"/>
  <c r="AC105" i="34"/>
  <c r="AC107" i="34"/>
  <c r="AC100" i="34"/>
  <c r="AC112" i="34"/>
  <c r="AC111" i="34"/>
  <c r="AC113" i="34"/>
  <c r="AC115" i="34"/>
  <c r="AC117" i="34"/>
  <c r="AC119" i="34"/>
  <c r="AC121" i="34"/>
  <c r="AC126" i="34"/>
  <c r="AC122" i="34"/>
  <c r="AC124" i="34"/>
  <c r="AC127" i="34"/>
  <c r="AC129" i="34"/>
  <c r="AC131" i="34"/>
  <c r="AC132" i="34"/>
  <c r="AC137" i="34"/>
  <c r="AC14" i="34"/>
  <c r="AC18" i="34"/>
  <c r="AC22" i="34"/>
  <c r="AC26" i="34"/>
  <c r="AC31" i="34"/>
  <c r="AC35" i="34"/>
  <c r="AC39" i="34"/>
  <c r="AC43" i="34"/>
  <c r="AC47" i="34"/>
  <c r="AC70" i="34"/>
  <c r="AC59" i="34"/>
  <c r="AC61" i="34"/>
  <c r="AC80" i="34"/>
  <c r="AC90" i="34"/>
  <c r="AC85" i="34"/>
  <c r="AC87" i="34"/>
  <c r="AC89" i="34"/>
  <c r="AC91" i="34"/>
  <c r="AC93" i="34"/>
  <c r="AC95" i="34"/>
  <c r="AC97" i="34"/>
  <c r="AC99" i="34"/>
  <c r="AC110" i="34"/>
  <c r="AC102" i="34"/>
  <c r="AC104" i="34"/>
  <c r="AC106" i="34"/>
  <c r="AC108" i="34"/>
  <c r="AC123" i="34"/>
  <c r="AC125" i="34"/>
  <c r="AC134" i="34"/>
  <c r="AC136" i="34"/>
  <c r="AC138" i="34"/>
  <c r="AE9" i="34" l="1"/>
  <c r="AD11" i="34"/>
  <c r="AD12" i="34"/>
  <c r="AD16" i="34"/>
  <c r="AD20" i="34"/>
  <c r="AD24" i="34"/>
  <c r="AD29" i="34"/>
  <c r="AD33" i="34"/>
  <c r="AD37" i="34"/>
  <c r="AD41" i="34"/>
  <c r="AD45" i="34"/>
  <c r="AD49" i="34"/>
  <c r="AD51" i="34"/>
  <c r="AD53" i="34"/>
  <c r="AD55" i="34"/>
  <c r="AD15" i="34"/>
  <c r="AD19" i="34"/>
  <c r="AD23" i="34"/>
  <c r="AD27" i="34"/>
  <c r="AD32" i="34"/>
  <c r="AD36" i="34"/>
  <c r="AD40" i="34"/>
  <c r="AD44" i="34"/>
  <c r="AD48" i="34"/>
  <c r="AD56" i="34"/>
  <c r="AD57" i="34"/>
  <c r="AD59" i="34"/>
  <c r="AD61" i="34"/>
  <c r="AD63" i="34"/>
  <c r="AD65" i="34"/>
  <c r="AD67" i="34"/>
  <c r="AD69" i="34"/>
  <c r="AD73" i="34"/>
  <c r="AD60" i="34"/>
  <c r="AD62" i="34"/>
  <c r="AD79" i="34"/>
  <c r="AD83" i="34"/>
  <c r="AD85" i="34"/>
  <c r="AD87" i="34"/>
  <c r="AD89" i="34"/>
  <c r="AD93" i="34"/>
  <c r="AD95" i="34"/>
  <c r="AD97" i="34"/>
  <c r="AD86" i="34"/>
  <c r="AD88" i="34"/>
  <c r="AD90" i="34"/>
  <c r="AD92" i="34"/>
  <c r="AD94" i="34"/>
  <c r="AD96" i="34"/>
  <c r="AD98" i="34"/>
  <c r="AD100" i="34"/>
  <c r="AD102" i="34"/>
  <c r="AD104" i="34"/>
  <c r="AD106" i="34"/>
  <c r="AD108" i="34"/>
  <c r="AD103" i="34"/>
  <c r="AD105" i="34"/>
  <c r="AD107" i="34"/>
  <c r="AD109" i="34"/>
  <c r="AD113" i="34"/>
  <c r="AD119" i="34"/>
  <c r="AD122" i="34"/>
  <c r="AD126" i="34"/>
  <c r="AD121" i="34"/>
  <c r="AD129" i="34"/>
  <c r="AD133" i="34"/>
  <c r="AD132" i="34"/>
  <c r="AD136" i="34"/>
  <c r="AD135" i="34"/>
  <c r="AD137" i="34"/>
  <c r="AD10" i="34"/>
  <c r="AD8" i="34" s="1"/>
  <c r="AD14" i="34"/>
  <c r="AD18" i="34"/>
  <c r="AD22" i="34"/>
  <c r="AD26" i="34"/>
  <c r="AD31" i="34"/>
  <c r="AD35" i="34"/>
  <c r="AD39" i="34"/>
  <c r="AD43" i="34"/>
  <c r="AD47" i="34"/>
  <c r="AD13" i="34"/>
  <c r="AD17" i="34"/>
  <c r="AD21" i="34"/>
  <c r="AD25" i="34"/>
  <c r="AD30" i="34"/>
  <c r="AD34" i="34"/>
  <c r="AD38" i="34"/>
  <c r="AD42" i="34"/>
  <c r="AD46" i="34"/>
  <c r="AD50" i="34"/>
  <c r="AD52" i="34"/>
  <c r="AD54" i="34"/>
  <c r="AD71" i="34"/>
  <c r="AD75" i="34"/>
  <c r="AD77" i="34"/>
  <c r="AD58" i="34"/>
  <c r="AD64" i="34"/>
  <c r="AD66" i="34"/>
  <c r="AD68" i="34"/>
  <c r="AD70" i="34"/>
  <c r="AD72" i="34"/>
  <c r="AD74" i="34"/>
  <c r="AD76" i="34"/>
  <c r="AD81" i="34"/>
  <c r="AD91" i="34"/>
  <c r="AD99" i="34"/>
  <c r="AD78" i="34"/>
  <c r="AD80" i="34"/>
  <c r="AD82" i="34"/>
  <c r="AD84" i="34"/>
  <c r="AD110" i="34"/>
  <c r="AD101" i="34"/>
  <c r="AD111" i="34"/>
  <c r="AD115" i="34"/>
  <c r="AD117" i="34"/>
  <c r="AD112" i="34"/>
  <c r="AD114" i="34"/>
  <c r="AD116" i="34"/>
  <c r="AD118" i="34"/>
  <c r="AD120" i="34"/>
  <c r="AD124" i="34"/>
  <c r="AD123" i="34"/>
  <c r="AD125" i="34"/>
  <c r="AD127" i="34"/>
  <c r="AD131" i="34"/>
  <c r="AD128" i="34"/>
  <c r="AD130" i="34"/>
  <c r="AD134" i="34"/>
  <c r="AD138" i="34"/>
  <c r="AE133" i="34" l="1"/>
  <c r="AE130" i="34"/>
  <c r="AE128" i="34"/>
  <c r="AE120" i="34"/>
  <c r="AE118" i="34"/>
  <c r="AE116" i="34"/>
  <c r="AE114" i="34"/>
  <c r="AE109" i="34"/>
  <c r="AE98" i="34"/>
  <c r="AE96" i="34"/>
  <c r="AE94" i="34"/>
  <c r="AE92" i="34"/>
  <c r="AE76" i="34"/>
  <c r="AE48" i="34"/>
  <c r="AE46" i="34"/>
  <c r="AE44" i="34"/>
  <c r="AE42" i="34"/>
  <c r="AE40" i="34"/>
  <c r="AE38" i="34"/>
  <c r="AE36" i="34"/>
  <c r="AE34" i="34"/>
  <c r="AE32" i="34"/>
  <c r="AE30" i="34"/>
  <c r="AE27" i="34"/>
  <c r="AE25" i="34"/>
  <c r="AE23" i="34"/>
  <c r="AE21" i="34"/>
  <c r="AE19" i="34"/>
  <c r="AE17" i="34"/>
  <c r="AE15" i="34"/>
  <c r="AE13" i="34"/>
  <c r="AF9" i="34"/>
  <c r="AE14" i="34"/>
  <c r="AE18" i="34"/>
  <c r="AE22" i="34"/>
  <c r="AE26" i="34"/>
  <c r="AE31" i="34"/>
  <c r="AE35" i="34"/>
  <c r="AE39" i="34"/>
  <c r="AE43" i="34"/>
  <c r="AE47" i="34"/>
  <c r="AE70" i="34"/>
  <c r="AE74" i="34"/>
  <c r="AE59" i="34"/>
  <c r="AE61" i="34"/>
  <c r="AE80" i="34"/>
  <c r="AE90" i="34"/>
  <c r="AE85" i="34"/>
  <c r="AE87" i="34"/>
  <c r="AE89" i="34"/>
  <c r="AE91" i="34"/>
  <c r="AE93" i="34"/>
  <c r="AE95" i="34"/>
  <c r="AE97" i="34"/>
  <c r="AE99" i="34"/>
  <c r="AE110" i="34"/>
  <c r="AE102" i="34"/>
  <c r="AE104" i="34"/>
  <c r="AE106" i="34"/>
  <c r="AE108" i="34"/>
  <c r="AE123" i="34"/>
  <c r="AE125" i="34"/>
  <c r="AE134" i="34"/>
  <c r="AE136" i="34"/>
  <c r="AE10" i="34"/>
  <c r="AE8" i="34" s="1"/>
  <c r="AE11" i="34"/>
  <c r="AE12" i="34"/>
  <c r="AE16" i="34"/>
  <c r="AE20" i="34"/>
  <c r="AE24" i="34"/>
  <c r="AE29" i="34"/>
  <c r="AE33" i="34"/>
  <c r="AE37" i="34"/>
  <c r="AE41" i="34"/>
  <c r="AE45" i="34"/>
  <c r="AE49" i="34"/>
  <c r="AE50" i="34"/>
  <c r="AE52" i="34"/>
  <c r="AE54" i="34"/>
  <c r="AE51" i="34"/>
  <c r="AE53" i="34"/>
  <c r="AE55" i="34"/>
  <c r="AE56" i="34"/>
  <c r="AE58" i="34"/>
  <c r="AE60" i="34"/>
  <c r="AE62" i="34"/>
  <c r="AE64" i="34"/>
  <c r="AE66" i="34"/>
  <c r="AE68" i="34"/>
  <c r="AE72" i="34"/>
  <c r="AE57" i="34"/>
  <c r="AE63" i="34"/>
  <c r="AE65" i="34"/>
  <c r="AE67" i="34"/>
  <c r="AE69" i="34"/>
  <c r="AE71" i="34"/>
  <c r="AE73" i="34"/>
  <c r="AE75" i="34"/>
  <c r="AE77" i="34"/>
  <c r="AE78" i="34"/>
  <c r="AE82" i="34"/>
  <c r="AE84" i="34"/>
  <c r="AE86" i="34"/>
  <c r="AE88" i="34"/>
  <c r="AE79" i="34"/>
  <c r="AE81" i="34"/>
  <c r="AE83" i="34"/>
  <c r="AE101" i="34"/>
  <c r="AE103" i="34"/>
  <c r="AE105" i="34"/>
  <c r="AE107" i="34"/>
  <c r="AE100" i="34"/>
  <c r="AE112" i="34"/>
  <c r="AE111" i="34"/>
  <c r="AE113" i="34"/>
  <c r="AE115" i="34"/>
  <c r="AE117" i="34"/>
  <c r="AE119" i="34"/>
  <c r="AE121" i="34"/>
  <c r="AE122" i="34"/>
  <c r="AE124" i="34"/>
  <c r="AE126" i="34"/>
  <c r="AE127" i="34"/>
  <c r="AE129" i="34"/>
  <c r="AE131" i="34"/>
  <c r="AE132" i="34"/>
  <c r="AE135" i="34"/>
  <c r="AE137" i="34"/>
  <c r="AE138" i="34"/>
  <c r="AH138" i="34" l="1"/>
  <c r="AH137" i="34"/>
  <c r="AH135" i="34"/>
  <c r="AH136" i="34"/>
  <c r="AH134" i="34"/>
  <c r="AH132" i="34"/>
  <c r="AH133" i="34"/>
  <c r="AH130" i="34"/>
  <c r="AH128" i="34"/>
  <c r="AH126" i="34"/>
  <c r="AH131" i="34"/>
  <c r="AH129" i="34"/>
  <c r="AH127" i="34"/>
  <c r="AH125" i="34"/>
  <c r="AH123" i="34"/>
  <c r="AH121" i="34"/>
  <c r="AH124" i="34"/>
  <c r="AH122" i="34"/>
  <c r="AH120" i="34"/>
  <c r="AH118" i="34"/>
  <c r="AH116" i="34"/>
  <c r="AH114" i="34"/>
  <c r="AH112" i="34"/>
  <c r="AH110" i="34"/>
  <c r="AH119" i="34"/>
  <c r="AH117" i="34"/>
  <c r="AH115" i="34"/>
  <c r="AH113" i="34"/>
  <c r="AH111" i="34"/>
  <c r="AH109" i="34"/>
  <c r="AH107" i="34"/>
  <c r="AH105" i="34"/>
  <c r="AH103" i="34"/>
  <c r="AH101" i="34"/>
  <c r="AH108" i="34"/>
  <c r="AH106" i="34"/>
  <c r="AH104" i="34"/>
  <c r="AH102" i="34"/>
  <c r="AH100" i="34"/>
  <c r="AH98" i="34"/>
  <c r="AH96" i="34"/>
  <c r="AH94" i="34"/>
  <c r="AH92" i="34"/>
  <c r="AH90" i="34"/>
  <c r="AH88" i="34"/>
  <c r="AH86" i="34"/>
  <c r="AH84" i="34"/>
  <c r="AH82" i="34"/>
  <c r="AH80" i="34"/>
  <c r="AH78" i="34"/>
  <c r="AH99" i="34"/>
  <c r="AH97" i="34"/>
  <c r="AH95" i="34"/>
  <c r="AH93" i="34"/>
  <c r="AH91" i="34"/>
  <c r="AH89" i="34"/>
  <c r="AH87" i="34"/>
  <c r="AH85" i="34"/>
  <c r="AH83" i="34"/>
  <c r="AH81" i="34"/>
  <c r="AH79" i="34"/>
  <c r="AH76" i="34"/>
  <c r="AH74" i="34"/>
  <c r="AH72" i="34"/>
  <c r="AH70" i="34"/>
  <c r="AH68" i="34"/>
  <c r="AH66" i="34"/>
  <c r="AH64" i="34"/>
  <c r="AH62" i="34"/>
  <c r="AH60" i="34"/>
  <c r="AH58" i="34"/>
  <c r="AH56" i="34"/>
  <c r="AH77" i="34"/>
  <c r="AH75" i="34"/>
  <c r="AH73" i="34"/>
  <c r="AH71" i="34"/>
  <c r="AH69" i="34"/>
  <c r="AH67" i="34"/>
  <c r="AH65" i="34"/>
  <c r="AH63" i="34"/>
  <c r="AH61" i="34"/>
  <c r="AH59" i="34"/>
  <c r="AH57" i="34"/>
  <c r="AH54" i="34"/>
  <c r="AH52" i="34"/>
  <c r="AH50" i="34"/>
  <c r="AH48" i="34"/>
  <c r="AH46" i="34"/>
  <c r="AH44" i="34"/>
  <c r="AH42" i="34"/>
  <c r="AH40" i="34"/>
  <c r="AH38" i="34"/>
  <c r="AH36" i="34"/>
  <c r="AH34" i="34"/>
  <c r="AH32" i="34"/>
  <c r="AH30" i="34"/>
  <c r="AH27" i="34"/>
  <c r="AH25" i="34"/>
  <c r="AH23" i="34"/>
  <c r="AH21" i="34"/>
  <c r="AH19" i="34"/>
  <c r="AH17" i="34"/>
  <c r="AH3" i="34" s="1"/>
  <c r="AH15" i="34"/>
  <c r="AH13" i="34"/>
  <c r="AH55" i="34"/>
  <c r="AH53" i="34"/>
  <c r="AH51" i="34"/>
  <c r="AH49" i="34"/>
  <c r="AH47" i="34"/>
  <c r="AH45" i="34"/>
  <c r="AH43" i="34"/>
  <c r="AH41" i="34"/>
  <c r="AH39" i="34"/>
  <c r="AH37" i="34"/>
  <c r="AH35" i="34"/>
  <c r="AH33" i="34"/>
  <c r="AH31" i="34"/>
  <c r="AH1" i="34" s="1"/>
  <c r="AH29" i="34"/>
  <c r="AH26" i="34"/>
  <c r="AH24" i="34"/>
  <c r="AH22" i="34"/>
  <c r="AH20" i="34"/>
  <c r="AH18" i="34"/>
  <c r="AH16" i="34"/>
  <c r="AH14" i="34"/>
  <c r="AH12" i="34"/>
  <c r="AH4" i="34" s="1"/>
  <c r="AH10" i="34"/>
  <c r="AI9" i="34"/>
  <c r="AH11" i="34"/>
  <c r="AF18" i="34"/>
  <c r="AF22" i="34"/>
  <c r="AF24" i="34"/>
  <c r="AF26" i="34"/>
  <c r="AF49" i="34"/>
  <c r="AF10" i="34"/>
  <c r="AF8" i="34" s="1"/>
  <c r="AF13" i="34"/>
  <c r="AF17" i="34"/>
  <c r="AF21" i="34"/>
  <c r="AF25" i="34"/>
  <c r="AF30" i="34"/>
  <c r="AF34" i="34"/>
  <c r="AF38" i="34"/>
  <c r="AF42" i="34"/>
  <c r="AF46" i="34"/>
  <c r="AF50" i="34"/>
  <c r="AF52" i="34"/>
  <c r="AF54" i="34"/>
  <c r="AF71" i="34"/>
  <c r="AF75" i="34"/>
  <c r="AF77" i="34"/>
  <c r="AF58" i="34"/>
  <c r="AF64" i="34"/>
  <c r="AF66" i="34"/>
  <c r="AF68" i="34"/>
  <c r="AF70" i="34"/>
  <c r="AF72" i="34"/>
  <c r="AF74" i="34"/>
  <c r="AF76" i="34"/>
  <c r="AF81" i="34"/>
  <c r="AF91" i="34"/>
  <c r="AF99" i="34"/>
  <c r="AF78" i="34"/>
  <c r="AF80" i="34"/>
  <c r="AF82" i="34"/>
  <c r="AF84" i="34"/>
  <c r="AF110" i="34"/>
  <c r="AF101" i="34"/>
  <c r="AF111" i="34"/>
  <c r="AF115" i="34"/>
  <c r="AF117" i="34"/>
  <c r="AF112" i="34"/>
  <c r="AF114" i="34"/>
  <c r="AF116" i="34"/>
  <c r="AF118" i="34"/>
  <c r="AF120" i="34"/>
  <c r="AF124" i="34"/>
  <c r="AF123" i="34"/>
  <c r="AF125" i="34"/>
  <c r="AF127" i="34"/>
  <c r="AF131" i="34"/>
  <c r="AF128" i="34"/>
  <c r="AF130" i="34"/>
  <c r="AF134" i="34"/>
  <c r="AF11" i="34"/>
  <c r="AF12" i="34"/>
  <c r="AF14" i="34"/>
  <c r="AF16" i="34"/>
  <c r="AF20" i="34"/>
  <c r="AF29" i="34"/>
  <c r="AF31" i="34"/>
  <c r="AF33" i="34"/>
  <c r="AF35" i="34"/>
  <c r="AF37" i="34"/>
  <c r="AF39" i="34"/>
  <c r="AF41" i="34"/>
  <c r="AF43" i="34"/>
  <c r="AF45" i="34"/>
  <c r="AF47" i="34"/>
  <c r="AF51" i="34"/>
  <c r="AF53" i="34"/>
  <c r="AF55" i="34"/>
  <c r="AF15" i="34"/>
  <c r="AF19" i="34"/>
  <c r="AF23" i="34"/>
  <c r="AF27" i="34"/>
  <c r="AF32" i="34"/>
  <c r="AF36" i="34"/>
  <c r="AF40" i="34"/>
  <c r="AF44" i="34"/>
  <c r="AF48" i="34"/>
  <c r="AF56" i="34"/>
  <c r="AF57" i="34"/>
  <c r="AF59" i="34"/>
  <c r="AF61" i="34"/>
  <c r="AF63" i="34"/>
  <c r="AF65" i="34"/>
  <c r="AF67" i="34"/>
  <c r="AF69" i="34"/>
  <c r="AF73" i="34"/>
  <c r="AF60" i="34"/>
  <c r="AF62" i="34"/>
  <c r="AF79" i="34"/>
  <c r="AF83" i="34"/>
  <c r="AF85" i="34"/>
  <c r="AF87" i="34"/>
  <c r="AF89" i="34"/>
  <c r="AF93" i="34"/>
  <c r="AF95" i="34"/>
  <c r="AF97" i="34"/>
  <c r="AF86" i="34"/>
  <c r="AF88" i="34"/>
  <c r="AF90" i="34"/>
  <c r="AF92" i="34"/>
  <c r="AF94" i="34"/>
  <c r="AF96" i="34"/>
  <c r="AF98" i="34"/>
  <c r="AF100" i="34"/>
  <c r="AF102" i="34"/>
  <c r="AF104" i="34"/>
  <c r="AF106" i="34"/>
  <c r="AF108" i="34"/>
  <c r="AF103" i="34"/>
  <c r="AF105" i="34"/>
  <c r="AF107" i="34"/>
  <c r="AF109" i="34"/>
  <c r="AF113" i="34"/>
  <c r="AF119" i="34"/>
  <c r="AF122" i="34"/>
  <c r="AF126" i="34"/>
  <c r="AF121" i="34"/>
  <c r="AF129" i="34"/>
  <c r="AF133" i="34"/>
  <c r="AF132" i="34"/>
  <c r="AF136" i="34"/>
  <c r="AF135" i="34"/>
  <c r="AF137" i="34"/>
  <c r="AF138" i="34"/>
  <c r="AI133" i="34" l="1"/>
  <c r="AU133" i="34" s="1"/>
  <c r="AI130" i="34"/>
  <c r="AU130" i="34" s="1"/>
  <c r="AI128" i="34"/>
  <c r="AU128" i="34" s="1"/>
  <c r="AI120" i="34"/>
  <c r="AU120" i="34" s="1"/>
  <c r="AI118" i="34"/>
  <c r="AU118" i="34" s="1"/>
  <c r="AI116" i="34"/>
  <c r="AU116" i="34" s="1"/>
  <c r="AI114" i="34"/>
  <c r="AU114" i="34" s="1"/>
  <c r="AI109" i="34"/>
  <c r="AU109" i="34" s="1"/>
  <c r="AI98" i="34"/>
  <c r="AU98" i="34" s="1"/>
  <c r="AI96" i="34"/>
  <c r="AU96" i="34" s="1"/>
  <c r="AI94" i="34"/>
  <c r="AU94" i="34" s="1"/>
  <c r="AI92" i="34"/>
  <c r="AU92" i="34" s="1"/>
  <c r="AI76" i="34"/>
  <c r="AU76" i="34" s="1"/>
  <c r="AI48" i="34"/>
  <c r="AU48" i="34" s="1"/>
  <c r="AI46" i="34"/>
  <c r="AU46" i="34" s="1"/>
  <c r="AI44" i="34"/>
  <c r="AU44" i="34" s="1"/>
  <c r="AI42" i="34"/>
  <c r="AU42" i="34" s="1"/>
  <c r="AI40" i="34"/>
  <c r="AU40" i="34" s="1"/>
  <c r="AI38" i="34"/>
  <c r="AU38" i="34" s="1"/>
  <c r="AI36" i="34"/>
  <c r="AU36" i="34" s="1"/>
  <c r="AI34" i="34"/>
  <c r="AU34" i="34" s="1"/>
  <c r="AI32" i="34"/>
  <c r="AU32" i="34" s="1"/>
  <c r="AI30" i="34"/>
  <c r="AU30" i="34" s="1"/>
  <c r="AI27" i="34"/>
  <c r="AU27" i="34" s="1"/>
  <c r="AI25" i="34"/>
  <c r="AU25" i="34" s="1"/>
  <c r="AI23" i="34"/>
  <c r="AU23" i="34" s="1"/>
  <c r="AI21" i="34"/>
  <c r="AU21" i="34" s="1"/>
  <c r="AI19" i="34"/>
  <c r="AU19" i="34" s="1"/>
  <c r="AI17" i="34"/>
  <c r="AU17" i="34" s="1"/>
  <c r="AI15" i="34"/>
  <c r="AU15" i="34" s="1"/>
  <c r="AI13" i="34"/>
  <c r="AU13" i="34" s="1"/>
  <c r="AJ9" i="34"/>
  <c r="AI10" i="34"/>
  <c r="AI11" i="34"/>
  <c r="AU11" i="34" s="1"/>
  <c r="AI12" i="34"/>
  <c r="AU12" i="34" s="1"/>
  <c r="AI16" i="34"/>
  <c r="AU16" i="34" s="1"/>
  <c r="AI20" i="34"/>
  <c r="AU20" i="34" s="1"/>
  <c r="AI24" i="34"/>
  <c r="AU24" i="34" s="1"/>
  <c r="AI29" i="34"/>
  <c r="AU29" i="34" s="1"/>
  <c r="AI33" i="34"/>
  <c r="AU33" i="34" s="1"/>
  <c r="AI37" i="34"/>
  <c r="AU37" i="34" s="1"/>
  <c r="AI41" i="34"/>
  <c r="AU41" i="34" s="1"/>
  <c r="AI45" i="34"/>
  <c r="AU45" i="34" s="1"/>
  <c r="AI49" i="34"/>
  <c r="AU49" i="34" s="1"/>
  <c r="AI50" i="34"/>
  <c r="AU50" i="34" s="1"/>
  <c r="AI52" i="34"/>
  <c r="AU52" i="34" s="1"/>
  <c r="AI54" i="34"/>
  <c r="AU54" i="34" s="1"/>
  <c r="AI51" i="34"/>
  <c r="AU51" i="34" s="1"/>
  <c r="AI53" i="34"/>
  <c r="AU53" i="34" s="1"/>
  <c r="AI56" i="34"/>
  <c r="AU56" i="34" s="1"/>
  <c r="AI58" i="34"/>
  <c r="AU58" i="34" s="1"/>
  <c r="AI60" i="34"/>
  <c r="AU60" i="34" s="1"/>
  <c r="AI62" i="34"/>
  <c r="AU62" i="34" s="1"/>
  <c r="AI64" i="34"/>
  <c r="AU64" i="34" s="1"/>
  <c r="AI66" i="34"/>
  <c r="AU66" i="34" s="1"/>
  <c r="AI68" i="34"/>
  <c r="AU68" i="34" s="1"/>
  <c r="AI72" i="34"/>
  <c r="AU72" i="34" s="1"/>
  <c r="AI57" i="34"/>
  <c r="AU57" i="34" s="1"/>
  <c r="AI63" i="34"/>
  <c r="AU63" i="34" s="1"/>
  <c r="AI65" i="34"/>
  <c r="AU65" i="34" s="1"/>
  <c r="AI67" i="34"/>
  <c r="AU67" i="34" s="1"/>
  <c r="AI69" i="34"/>
  <c r="AU69" i="34" s="1"/>
  <c r="AI71" i="34"/>
  <c r="AU71" i="34" s="1"/>
  <c r="AI73" i="34"/>
  <c r="AU73" i="34" s="1"/>
  <c r="AI75" i="34"/>
  <c r="AU75" i="34" s="1"/>
  <c r="AI77" i="34"/>
  <c r="AU77" i="34" s="1"/>
  <c r="AI78" i="34"/>
  <c r="AU78" i="34" s="1"/>
  <c r="AI82" i="34"/>
  <c r="AU82" i="34" s="1"/>
  <c r="AI84" i="34"/>
  <c r="AU84" i="34" s="1"/>
  <c r="AI86" i="34"/>
  <c r="AU86" i="34" s="1"/>
  <c r="AI88" i="34"/>
  <c r="AU88" i="34" s="1"/>
  <c r="AI79" i="34"/>
  <c r="AU79" i="34" s="1"/>
  <c r="AI81" i="34"/>
  <c r="AU81" i="34" s="1"/>
  <c r="AI83" i="34"/>
  <c r="AU83" i="34" s="1"/>
  <c r="AI101" i="34"/>
  <c r="AU101" i="34" s="1"/>
  <c r="AI103" i="34"/>
  <c r="AU103" i="34" s="1"/>
  <c r="AI105" i="34"/>
  <c r="AU105" i="34" s="1"/>
  <c r="AI107" i="34"/>
  <c r="AU107" i="34" s="1"/>
  <c r="AI100" i="34"/>
  <c r="AU100" i="34" s="1"/>
  <c r="AI112" i="34"/>
  <c r="AU112" i="34" s="1"/>
  <c r="AI111" i="34"/>
  <c r="AU111" i="34" s="1"/>
  <c r="AI113" i="34"/>
  <c r="AU113" i="34" s="1"/>
  <c r="AI115" i="34"/>
  <c r="AU115" i="34" s="1"/>
  <c r="AI117" i="34"/>
  <c r="AU117" i="34" s="1"/>
  <c r="AI119" i="34"/>
  <c r="AU119" i="34" s="1"/>
  <c r="AI121" i="34"/>
  <c r="AU121" i="34" s="1"/>
  <c r="AI122" i="34"/>
  <c r="AU122" i="34" s="1"/>
  <c r="AI124" i="34"/>
  <c r="AU124" i="34" s="1"/>
  <c r="AI126" i="34"/>
  <c r="AU126" i="34" s="1"/>
  <c r="AI127" i="34"/>
  <c r="AU127" i="34" s="1"/>
  <c r="AI129" i="34"/>
  <c r="AU129" i="34" s="1"/>
  <c r="AI131" i="34"/>
  <c r="AU131" i="34" s="1"/>
  <c r="AI132" i="34"/>
  <c r="AU132" i="34" s="1"/>
  <c r="AI135" i="34"/>
  <c r="AU135" i="34" s="1"/>
  <c r="AI137" i="34"/>
  <c r="AU137" i="34" s="1"/>
  <c r="AI138" i="34"/>
  <c r="AU138" i="34" s="1"/>
  <c r="AI14" i="34"/>
  <c r="AU14" i="34" s="1"/>
  <c r="AI18" i="34"/>
  <c r="AU18" i="34" s="1"/>
  <c r="AI22" i="34"/>
  <c r="AU22" i="34" s="1"/>
  <c r="AI26" i="34"/>
  <c r="AU26" i="34" s="1"/>
  <c r="AI31" i="34"/>
  <c r="AU31" i="34" s="1"/>
  <c r="AI35" i="34"/>
  <c r="AU35" i="34" s="1"/>
  <c r="AI39" i="34"/>
  <c r="AU39" i="34" s="1"/>
  <c r="AI43" i="34"/>
  <c r="AU43" i="34" s="1"/>
  <c r="AI47" i="34"/>
  <c r="AU47" i="34" s="1"/>
  <c r="AI70" i="34"/>
  <c r="AU70" i="34" s="1"/>
  <c r="AI74" i="34"/>
  <c r="AU74" i="34" s="1"/>
  <c r="AI61" i="34"/>
  <c r="AU61" i="34" s="1"/>
  <c r="AI80" i="34"/>
  <c r="AU80" i="34" s="1"/>
  <c r="AI90" i="34"/>
  <c r="AU90" i="34" s="1"/>
  <c r="AI85" i="34"/>
  <c r="AU85" i="34" s="1"/>
  <c r="AI87" i="34"/>
  <c r="AU87" i="34" s="1"/>
  <c r="AI89" i="34"/>
  <c r="AU89" i="34" s="1"/>
  <c r="AI91" i="34"/>
  <c r="AU91" i="34" s="1"/>
  <c r="AI93" i="34"/>
  <c r="AU93" i="34" s="1"/>
  <c r="AI95" i="34"/>
  <c r="AU95" i="34" s="1"/>
  <c r="AI97" i="34"/>
  <c r="AU97" i="34" s="1"/>
  <c r="AI99" i="34"/>
  <c r="AU99" i="34" s="1"/>
  <c r="AI110" i="34"/>
  <c r="AU110" i="34" s="1"/>
  <c r="AI102" i="34"/>
  <c r="AU102" i="34" s="1"/>
  <c r="AI104" i="34"/>
  <c r="AU104" i="34" s="1"/>
  <c r="AI106" i="34"/>
  <c r="AU106" i="34" s="1"/>
  <c r="AI108" i="34"/>
  <c r="AU108" i="34" s="1"/>
  <c r="AI123" i="34"/>
  <c r="AU123" i="34" s="1"/>
  <c r="AI125" i="34"/>
  <c r="AU125" i="34" s="1"/>
  <c r="AI134" i="34"/>
  <c r="AU134" i="34" s="1"/>
  <c r="AI136" i="34"/>
  <c r="AU136" i="34" s="1"/>
  <c r="AH8" i="34"/>
  <c r="AH2" i="34"/>
  <c r="AK9" i="34" l="1"/>
  <c r="AJ11" i="34"/>
  <c r="AJ12" i="34"/>
  <c r="AJ14" i="34"/>
  <c r="AJ16" i="34"/>
  <c r="AJ20" i="34"/>
  <c r="AJ29" i="34"/>
  <c r="AJ31" i="34"/>
  <c r="AJ33" i="34"/>
  <c r="AJ35" i="34"/>
  <c r="AJ37" i="34"/>
  <c r="AJ39" i="34"/>
  <c r="AJ41" i="34"/>
  <c r="AJ43" i="34"/>
  <c r="AJ45" i="34"/>
  <c r="AJ47" i="34"/>
  <c r="AJ51" i="34"/>
  <c r="AJ53" i="34"/>
  <c r="AJ15" i="34"/>
  <c r="AJ19" i="34"/>
  <c r="AJ23" i="34"/>
  <c r="AJ27" i="34"/>
  <c r="AJ32" i="34"/>
  <c r="AJ36" i="34"/>
  <c r="AJ40" i="34"/>
  <c r="AJ44" i="34"/>
  <c r="AJ48" i="34"/>
  <c r="AJ56" i="34"/>
  <c r="AJ57" i="34"/>
  <c r="AJ61" i="34"/>
  <c r="AJ63" i="34"/>
  <c r="AJ65" i="34"/>
  <c r="AJ67" i="34"/>
  <c r="AJ69" i="34"/>
  <c r="AJ73" i="34"/>
  <c r="AJ60" i="34"/>
  <c r="AJ62" i="34"/>
  <c r="AJ79" i="34"/>
  <c r="AJ83" i="34"/>
  <c r="AJ85" i="34"/>
  <c r="AJ87" i="34"/>
  <c r="AJ89" i="34"/>
  <c r="AJ93" i="34"/>
  <c r="AJ95" i="34"/>
  <c r="AJ97" i="34"/>
  <c r="AJ86" i="34"/>
  <c r="AJ88" i="34"/>
  <c r="AJ90" i="34"/>
  <c r="AJ92" i="34"/>
  <c r="AJ94" i="34"/>
  <c r="AJ96" i="34"/>
  <c r="AJ98" i="34"/>
  <c r="AJ100" i="34"/>
  <c r="AJ102" i="34"/>
  <c r="AJ104" i="34"/>
  <c r="AJ106" i="34"/>
  <c r="AJ108" i="34"/>
  <c r="AJ103" i="34"/>
  <c r="AJ105" i="34"/>
  <c r="AJ107" i="34"/>
  <c r="AJ109" i="34"/>
  <c r="AJ113" i="34"/>
  <c r="AJ119" i="34"/>
  <c r="AJ122" i="34"/>
  <c r="AJ126" i="34"/>
  <c r="AJ121" i="34"/>
  <c r="AJ129" i="34"/>
  <c r="AJ133" i="34"/>
  <c r="AJ132" i="34"/>
  <c r="AJ136" i="34"/>
  <c r="AJ135" i="34"/>
  <c r="AJ137" i="34"/>
  <c r="AJ138" i="34"/>
  <c r="AJ18" i="34"/>
  <c r="AJ22" i="34"/>
  <c r="AJ24" i="34"/>
  <c r="AJ26" i="34"/>
  <c r="AJ49" i="34"/>
  <c r="AJ10" i="34"/>
  <c r="AJ8" i="34" s="1"/>
  <c r="AJ13" i="34"/>
  <c r="AJ17" i="34"/>
  <c r="AJ21" i="34"/>
  <c r="AJ25" i="34"/>
  <c r="AJ30" i="34"/>
  <c r="AJ34" i="34"/>
  <c r="AJ38" i="34"/>
  <c r="AJ42" i="34"/>
  <c r="AJ46" i="34"/>
  <c r="AJ50" i="34"/>
  <c r="AJ52" i="34"/>
  <c r="AJ54" i="34"/>
  <c r="AJ71" i="34"/>
  <c r="AJ75" i="34"/>
  <c r="AJ77" i="34"/>
  <c r="AJ58" i="34"/>
  <c r="AJ64" i="34"/>
  <c r="AJ66" i="34"/>
  <c r="AJ68" i="34"/>
  <c r="AJ70" i="34"/>
  <c r="AJ72" i="34"/>
  <c r="AJ74" i="34"/>
  <c r="AJ76" i="34"/>
  <c r="AJ81" i="34"/>
  <c r="AJ91" i="34"/>
  <c r="AJ99" i="34"/>
  <c r="AJ78" i="34"/>
  <c r="AJ80" i="34"/>
  <c r="AJ82" i="34"/>
  <c r="AJ84" i="34"/>
  <c r="AJ110" i="34"/>
  <c r="AJ101" i="34"/>
  <c r="AJ111" i="34"/>
  <c r="AJ115" i="34"/>
  <c r="AJ117" i="34"/>
  <c r="AJ112" i="34"/>
  <c r="AJ114" i="34"/>
  <c r="AJ116" i="34"/>
  <c r="AJ118" i="34"/>
  <c r="AJ120" i="34"/>
  <c r="AJ124" i="34"/>
  <c r="AJ123" i="34"/>
  <c r="AJ125" i="34"/>
  <c r="AJ127" i="34"/>
  <c r="AJ131" i="34"/>
  <c r="AJ128" i="34"/>
  <c r="AJ130" i="34"/>
  <c r="AJ134" i="34"/>
  <c r="AI8" i="34"/>
  <c r="AU10" i="34"/>
  <c r="AU8" i="34" s="1"/>
  <c r="AK133" i="34" l="1"/>
  <c r="AK130" i="34"/>
  <c r="AK128" i="34"/>
  <c r="AK120" i="34"/>
  <c r="AK118" i="34"/>
  <c r="AK116" i="34"/>
  <c r="AK109" i="34"/>
  <c r="AK98" i="34"/>
  <c r="AK96" i="34"/>
  <c r="AK94" i="34"/>
  <c r="AK92" i="34"/>
  <c r="AK76" i="34"/>
  <c r="AK48" i="34"/>
  <c r="AK46" i="34"/>
  <c r="AK44" i="34"/>
  <c r="AK42" i="34"/>
  <c r="AK40" i="34"/>
  <c r="AK38" i="34"/>
  <c r="AK36" i="34"/>
  <c r="AK34" i="34"/>
  <c r="AK32" i="34"/>
  <c r="AK30" i="34"/>
  <c r="AK27" i="34"/>
  <c r="AK25" i="34"/>
  <c r="AK23" i="34"/>
  <c r="AK21" i="34"/>
  <c r="AK19" i="34"/>
  <c r="AK17" i="34"/>
  <c r="AK15" i="34"/>
  <c r="AK13" i="34"/>
  <c r="AL9" i="34"/>
  <c r="AK14" i="34"/>
  <c r="AK18" i="34"/>
  <c r="AK22" i="34"/>
  <c r="AK26" i="34"/>
  <c r="AK31" i="34"/>
  <c r="AK35" i="34"/>
  <c r="AK39" i="34"/>
  <c r="AK43" i="34"/>
  <c r="AK47" i="34"/>
  <c r="AK70" i="34"/>
  <c r="AK74" i="34"/>
  <c r="AK61" i="34"/>
  <c r="AK80" i="34"/>
  <c r="AK90" i="34"/>
  <c r="AK85" i="34"/>
  <c r="AK87" i="34"/>
  <c r="AK89" i="34"/>
  <c r="AK91" i="34"/>
  <c r="AK93" i="34"/>
  <c r="AK95" i="34"/>
  <c r="AK97" i="34"/>
  <c r="AK99" i="34"/>
  <c r="AK110" i="34"/>
  <c r="AK102" i="34"/>
  <c r="AK104" i="34"/>
  <c r="AK106" i="34"/>
  <c r="AK108" i="34"/>
  <c r="AK114" i="34"/>
  <c r="AK123" i="34"/>
  <c r="AK125" i="34"/>
  <c r="AK134" i="34"/>
  <c r="AK136" i="34"/>
  <c r="AK10" i="34"/>
  <c r="AK8" i="34" s="1"/>
  <c r="AK11" i="34"/>
  <c r="AK12" i="34"/>
  <c r="AK16" i="34"/>
  <c r="AK20" i="34"/>
  <c r="AK24" i="34"/>
  <c r="AK29" i="34"/>
  <c r="AK33" i="34"/>
  <c r="AK37" i="34"/>
  <c r="AK41" i="34"/>
  <c r="AK45" i="34"/>
  <c r="AK49" i="34"/>
  <c r="AK50" i="34"/>
  <c r="AK52" i="34"/>
  <c r="AK54" i="34"/>
  <c r="AK51" i="34"/>
  <c r="AK53" i="34"/>
  <c r="AK56" i="34"/>
  <c r="AK58" i="34"/>
  <c r="AK60" i="34"/>
  <c r="AK62" i="34"/>
  <c r="AK64" i="34"/>
  <c r="AK66" i="34"/>
  <c r="AK68" i="34"/>
  <c r="AK72" i="34"/>
  <c r="AK57" i="34"/>
  <c r="AK63" i="34"/>
  <c r="AK65" i="34"/>
  <c r="AK67" i="34"/>
  <c r="AK69" i="34"/>
  <c r="AK71" i="34"/>
  <c r="AK73" i="34"/>
  <c r="AK75" i="34"/>
  <c r="AK77" i="34"/>
  <c r="AK78" i="34"/>
  <c r="AK82" i="34"/>
  <c r="AK84" i="34"/>
  <c r="AK86" i="34"/>
  <c r="AK88" i="34"/>
  <c r="AK79" i="34"/>
  <c r="AK81" i="34"/>
  <c r="AK83" i="34"/>
  <c r="AK101" i="34"/>
  <c r="AK103" i="34"/>
  <c r="AK105" i="34"/>
  <c r="AK107" i="34"/>
  <c r="AK100" i="34"/>
  <c r="AK112" i="34"/>
  <c r="AK111" i="34"/>
  <c r="AK113" i="34"/>
  <c r="AK115" i="34"/>
  <c r="AK117" i="34"/>
  <c r="AK119" i="34"/>
  <c r="AK121" i="34"/>
  <c r="AK126" i="34"/>
  <c r="AK122" i="34"/>
  <c r="AK124" i="34"/>
  <c r="AK127" i="34"/>
  <c r="AK129" i="34"/>
  <c r="AK131" i="34"/>
  <c r="AK132" i="34"/>
  <c r="AK135" i="34"/>
  <c r="AK137" i="34"/>
  <c r="AK138" i="34"/>
  <c r="AM9" i="34" l="1"/>
  <c r="AL10" i="34"/>
  <c r="AL8" i="34" s="1"/>
  <c r="AL14" i="34"/>
  <c r="AL18" i="34"/>
  <c r="AL22" i="34"/>
  <c r="AL26" i="34"/>
  <c r="AL31" i="34"/>
  <c r="AL35" i="34"/>
  <c r="AL39" i="34"/>
  <c r="AL43" i="34"/>
  <c r="AL47" i="34"/>
  <c r="AL13" i="34"/>
  <c r="AL17" i="34"/>
  <c r="AL21" i="34"/>
  <c r="AL25" i="34"/>
  <c r="AL30" i="34"/>
  <c r="AL34" i="34"/>
  <c r="AL38" i="34"/>
  <c r="AL42" i="34"/>
  <c r="AL46" i="34"/>
  <c r="AL50" i="34"/>
  <c r="AL52" i="34"/>
  <c r="AL54" i="34"/>
  <c r="AL71" i="34"/>
  <c r="AL75" i="34"/>
  <c r="AL77" i="34"/>
  <c r="AL58" i="34"/>
  <c r="AL64" i="34"/>
  <c r="AL66" i="34"/>
  <c r="AL68" i="34"/>
  <c r="AL70" i="34"/>
  <c r="AL72" i="34"/>
  <c r="AL74" i="34"/>
  <c r="AL76" i="34"/>
  <c r="AL81" i="34"/>
  <c r="AL91" i="34"/>
  <c r="AL99" i="34"/>
  <c r="AL78" i="34"/>
  <c r="AL80" i="34"/>
  <c r="AL82" i="34"/>
  <c r="AL84" i="34"/>
  <c r="AL110" i="34"/>
  <c r="AL101" i="34"/>
  <c r="AL111" i="34"/>
  <c r="AL115" i="34"/>
  <c r="AL117" i="34"/>
  <c r="AL112" i="34"/>
  <c r="AL114" i="34"/>
  <c r="AL116" i="34"/>
  <c r="AL118" i="34"/>
  <c r="AL120" i="34"/>
  <c r="AL124" i="34"/>
  <c r="AL123" i="34"/>
  <c r="AL125" i="34"/>
  <c r="AL127" i="34"/>
  <c r="AL131" i="34"/>
  <c r="AL128" i="34"/>
  <c r="AL130" i="34"/>
  <c r="AL134" i="34"/>
  <c r="AL11" i="34"/>
  <c r="AL12" i="34"/>
  <c r="AL16" i="34"/>
  <c r="AL20" i="34"/>
  <c r="AL24" i="34"/>
  <c r="AL29" i="34"/>
  <c r="AL33" i="34"/>
  <c r="AL37" i="34"/>
  <c r="AL41" i="34"/>
  <c r="AL45" i="34"/>
  <c r="AL49" i="34"/>
  <c r="AL51" i="34"/>
  <c r="AL53" i="34"/>
  <c r="AL15" i="34"/>
  <c r="AL19" i="34"/>
  <c r="AL23" i="34"/>
  <c r="AL27" i="34"/>
  <c r="AL32" i="34"/>
  <c r="AL36" i="34"/>
  <c r="AL40" i="34"/>
  <c r="AL44" i="34"/>
  <c r="AL48" i="34"/>
  <c r="AL56" i="34"/>
  <c r="AL57" i="34"/>
  <c r="AL61" i="34"/>
  <c r="AL63" i="34"/>
  <c r="AL65" i="34"/>
  <c r="AL67" i="34"/>
  <c r="AL69" i="34"/>
  <c r="AL73" i="34"/>
  <c r="AL60" i="34"/>
  <c r="AL62" i="34"/>
  <c r="AL79" i="34"/>
  <c r="AL83" i="34"/>
  <c r="AL85" i="34"/>
  <c r="AL87" i="34"/>
  <c r="AL89" i="34"/>
  <c r="AL93" i="34"/>
  <c r="AL95" i="34"/>
  <c r="AL97" i="34"/>
  <c r="AL86" i="34"/>
  <c r="AL88" i="34"/>
  <c r="AL90" i="34"/>
  <c r="AL92" i="34"/>
  <c r="AL94" i="34"/>
  <c r="AL96" i="34"/>
  <c r="AL98" i="34"/>
  <c r="AL100" i="34"/>
  <c r="AL102" i="34"/>
  <c r="AL104" i="34"/>
  <c r="AL106" i="34"/>
  <c r="AL108" i="34"/>
  <c r="AL103" i="34"/>
  <c r="AL105" i="34"/>
  <c r="AL107" i="34"/>
  <c r="AL109" i="34"/>
  <c r="AL113" i="34"/>
  <c r="AL119" i="34"/>
  <c r="AL122" i="34"/>
  <c r="AL126" i="34"/>
  <c r="AL121" i="34"/>
  <c r="AL129" i="34"/>
  <c r="AL133" i="34"/>
  <c r="AL132" i="34"/>
  <c r="AL136" i="34"/>
  <c r="AL135" i="34"/>
  <c r="AL137" i="34"/>
  <c r="AL138" i="34"/>
  <c r="AM133" i="34" l="1"/>
  <c r="AM130" i="34"/>
  <c r="AM128" i="34"/>
  <c r="AM120" i="34"/>
  <c r="AM118" i="34"/>
  <c r="AM116" i="34"/>
  <c r="AM109" i="34"/>
  <c r="AM98" i="34"/>
  <c r="AM96" i="34"/>
  <c r="AM94" i="34"/>
  <c r="AM92" i="34"/>
  <c r="AM76" i="34"/>
  <c r="AM48" i="34"/>
  <c r="AM46" i="34"/>
  <c r="AM44" i="34"/>
  <c r="AM42" i="34"/>
  <c r="AM40" i="34"/>
  <c r="AM38" i="34"/>
  <c r="AM36" i="34"/>
  <c r="AM34" i="34"/>
  <c r="AM32" i="34"/>
  <c r="AM30" i="34"/>
  <c r="AM27" i="34"/>
  <c r="AM25" i="34"/>
  <c r="AM23" i="34"/>
  <c r="AM21" i="34"/>
  <c r="AM19" i="34"/>
  <c r="AM17" i="34"/>
  <c r="AM15" i="34"/>
  <c r="AM13" i="34"/>
  <c r="AN9" i="34"/>
  <c r="AM10" i="34"/>
  <c r="AM8" i="34" s="1"/>
  <c r="AM11" i="34"/>
  <c r="AM12" i="34"/>
  <c r="AM16" i="34"/>
  <c r="AM20" i="34"/>
  <c r="AM24" i="34"/>
  <c r="AM29" i="34"/>
  <c r="AM33" i="34"/>
  <c r="AM37" i="34"/>
  <c r="AM41" i="34"/>
  <c r="AM45" i="34"/>
  <c r="AM49" i="34"/>
  <c r="AM50" i="34"/>
  <c r="AM52" i="34"/>
  <c r="AM54" i="34"/>
  <c r="AM51" i="34"/>
  <c r="AM53" i="34"/>
  <c r="AM56" i="34"/>
  <c r="AM58" i="34"/>
  <c r="AM60" i="34"/>
  <c r="AM62" i="34"/>
  <c r="AM64" i="34"/>
  <c r="AM66" i="34"/>
  <c r="AM68" i="34"/>
  <c r="AM72" i="34"/>
  <c r="AM57" i="34"/>
  <c r="AM63" i="34"/>
  <c r="AM65" i="34"/>
  <c r="AM67" i="34"/>
  <c r="AM69" i="34"/>
  <c r="AM71" i="34"/>
  <c r="AM73" i="34"/>
  <c r="AM75" i="34"/>
  <c r="AM77" i="34"/>
  <c r="AM78" i="34"/>
  <c r="AM82" i="34"/>
  <c r="AM84" i="34"/>
  <c r="AM86" i="34"/>
  <c r="AM88" i="34"/>
  <c r="AM79" i="34"/>
  <c r="AM81" i="34"/>
  <c r="AM83" i="34"/>
  <c r="AM101" i="34"/>
  <c r="AM103" i="34"/>
  <c r="AM105" i="34"/>
  <c r="AM107" i="34"/>
  <c r="AM100" i="34"/>
  <c r="AM112" i="34"/>
  <c r="AM111" i="34"/>
  <c r="AM113" i="34"/>
  <c r="AM115" i="34"/>
  <c r="AM117" i="34"/>
  <c r="AM119" i="34"/>
  <c r="AM121" i="34"/>
  <c r="AM122" i="34"/>
  <c r="AM124" i="34"/>
  <c r="AM131" i="34"/>
  <c r="AM127" i="34"/>
  <c r="AM129" i="34"/>
  <c r="AM132" i="34"/>
  <c r="AM135" i="34"/>
  <c r="AM137" i="34"/>
  <c r="AM14" i="34"/>
  <c r="AM18" i="34"/>
  <c r="AM22" i="34"/>
  <c r="AM26" i="34"/>
  <c r="AM31" i="34"/>
  <c r="AM35" i="34"/>
  <c r="AM39" i="34"/>
  <c r="AM43" i="34"/>
  <c r="AM47" i="34"/>
  <c r="AM70" i="34"/>
  <c r="AM74" i="34"/>
  <c r="AM61" i="34"/>
  <c r="AM80" i="34"/>
  <c r="AM90" i="34"/>
  <c r="AM85" i="34"/>
  <c r="AM87" i="34"/>
  <c r="AM89" i="34"/>
  <c r="AM91" i="34"/>
  <c r="AM93" i="34"/>
  <c r="AM95" i="34"/>
  <c r="AM97" i="34"/>
  <c r="AM99" i="34"/>
  <c r="AM110" i="34"/>
  <c r="AM102" i="34"/>
  <c r="AM104" i="34"/>
  <c r="AM106" i="34"/>
  <c r="AM108" i="34"/>
  <c r="AM114" i="34"/>
  <c r="AM123" i="34"/>
  <c r="AM125" i="34"/>
  <c r="AM126" i="34"/>
  <c r="AM134" i="34"/>
  <c r="AM136" i="34"/>
  <c r="AM138" i="34"/>
  <c r="AO9" i="34" l="1"/>
  <c r="AN11" i="34"/>
  <c r="AN18" i="34"/>
  <c r="AN22" i="34"/>
  <c r="AN24" i="34"/>
  <c r="AN26" i="34"/>
  <c r="AN49" i="34"/>
  <c r="AN51" i="34"/>
  <c r="AN53" i="34"/>
  <c r="AN15" i="34"/>
  <c r="AN19" i="34"/>
  <c r="AN23" i="34"/>
  <c r="AN27" i="34"/>
  <c r="AN32" i="34"/>
  <c r="AN36" i="34"/>
  <c r="AN40" i="34"/>
  <c r="AN44" i="34"/>
  <c r="AN48" i="34"/>
  <c r="AN56" i="34"/>
  <c r="AN57" i="34"/>
  <c r="AN61" i="34"/>
  <c r="AN63" i="34"/>
  <c r="AN65" i="34"/>
  <c r="AN67" i="34"/>
  <c r="AN69" i="34"/>
  <c r="AN73" i="34"/>
  <c r="AN60" i="34"/>
  <c r="AN62" i="34"/>
  <c r="AN79" i="34"/>
  <c r="AN83" i="34"/>
  <c r="AN85" i="34"/>
  <c r="AN87" i="34"/>
  <c r="AN89" i="34"/>
  <c r="AN93" i="34"/>
  <c r="AN95" i="34"/>
  <c r="AN97" i="34"/>
  <c r="AN86" i="34"/>
  <c r="AN88" i="34"/>
  <c r="AN90" i="34"/>
  <c r="AN92" i="34"/>
  <c r="AN94" i="34"/>
  <c r="AN96" i="34"/>
  <c r="AN98" i="34"/>
  <c r="AN100" i="34"/>
  <c r="AN102" i="34"/>
  <c r="AN104" i="34"/>
  <c r="AN106" i="34"/>
  <c r="AN108" i="34"/>
  <c r="AN103" i="34"/>
  <c r="AN105" i="34"/>
  <c r="AN107" i="34"/>
  <c r="AN109" i="34"/>
  <c r="AN113" i="34"/>
  <c r="AN119" i="34"/>
  <c r="AN122" i="34"/>
  <c r="AN126" i="34"/>
  <c r="AN121" i="34"/>
  <c r="AN129" i="34"/>
  <c r="AN133" i="34"/>
  <c r="AN132" i="34"/>
  <c r="AN136" i="34"/>
  <c r="AN135" i="34"/>
  <c r="AN137" i="34"/>
  <c r="AN12" i="34"/>
  <c r="AN14" i="34"/>
  <c r="AN16" i="34"/>
  <c r="AN20" i="34"/>
  <c r="AN29" i="34"/>
  <c r="AN31" i="34"/>
  <c r="AN33" i="34"/>
  <c r="AN35" i="34"/>
  <c r="AN37" i="34"/>
  <c r="AN39" i="34"/>
  <c r="AN41" i="34"/>
  <c r="AN43" i="34"/>
  <c r="AN45" i="34"/>
  <c r="AN47" i="34"/>
  <c r="AN10" i="34"/>
  <c r="AN8" i="34" s="1"/>
  <c r="AN13" i="34"/>
  <c r="AN17" i="34"/>
  <c r="AN21" i="34"/>
  <c r="AN25" i="34"/>
  <c r="AN30" i="34"/>
  <c r="AN34" i="34"/>
  <c r="AN38" i="34"/>
  <c r="AN42" i="34"/>
  <c r="AN46" i="34"/>
  <c r="AN50" i="34"/>
  <c r="AN52" i="34"/>
  <c r="AN54" i="34"/>
  <c r="AN71" i="34"/>
  <c r="AN75" i="34"/>
  <c r="AN77" i="34"/>
  <c r="AN58" i="34"/>
  <c r="AN64" i="34"/>
  <c r="AN66" i="34"/>
  <c r="AN68" i="34"/>
  <c r="AN70" i="34"/>
  <c r="AN72" i="34"/>
  <c r="AN74" i="34"/>
  <c r="AN76" i="34"/>
  <c r="AN81" i="34"/>
  <c r="AN91" i="34"/>
  <c r="AN99" i="34"/>
  <c r="AN78" i="34"/>
  <c r="AN80" i="34"/>
  <c r="AN82" i="34"/>
  <c r="AN84" i="34"/>
  <c r="AN110" i="34"/>
  <c r="AN101" i="34"/>
  <c r="AN111" i="34"/>
  <c r="AN115" i="34"/>
  <c r="AN117" i="34"/>
  <c r="AN112" i="34"/>
  <c r="AN114" i="34"/>
  <c r="AN116" i="34"/>
  <c r="AN118" i="34"/>
  <c r="AN120" i="34"/>
  <c r="AN124" i="34"/>
  <c r="AN123" i="34"/>
  <c r="AN125" i="34"/>
  <c r="AN127" i="34"/>
  <c r="AN131" i="34"/>
  <c r="AN128" i="34"/>
  <c r="AN130" i="34"/>
  <c r="AN134" i="34"/>
  <c r="AN138" i="34"/>
  <c r="AO133" i="34" l="1"/>
  <c r="AO130" i="34"/>
  <c r="AO128" i="34"/>
  <c r="AO118" i="34"/>
  <c r="AO116" i="34"/>
  <c r="AO109" i="34"/>
  <c r="AO98" i="34"/>
  <c r="AO96" i="34"/>
  <c r="AO94" i="34"/>
  <c r="AO92" i="34"/>
  <c r="AO76" i="34"/>
  <c r="AO48" i="34"/>
  <c r="AO46" i="34"/>
  <c r="AO44" i="34"/>
  <c r="AO42" i="34"/>
  <c r="AO40" i="34"/>
  <c r="AO38" i="34"/>
  <c r="AO36" i="34"/>
  <c r="AO34" i="34"/>
  <c r="AO32" i="34"/>
  <c r="AO30" i="34"/>
  <c r="AO27" i="34"/>
  <c r="AO25" i="34"/>
  <c r="AO23" i="34"/>
  <c r="AO21" i="34"/>
  <c r="AO19" i="34"/>
  <c r="AO17" i="34"/>
  <c r="AO15" i="34"/>
  <c r="AO13" i="34"/>
  <c r="AP9" i="34"/>
  <c r="AO14" i="34"/>
  <c r="AO18" i="34"/>
  <c r="AO22" i="34"/>
  <c r="AO26" i="34"/>
  <c r="AO31" i="34"/>
  <c r="AO35" i="34"/>
  <c r="AO39" i="34"/>
  <c r="AO43" i="34"/>
  <c r="AO47" i="34"/>
  <c r="AO70" i="34"/>
  <c r="AO74" i="34"/>
  <c r="AO61" i="34"/>
  <c r="AO80" i="34"/>
  <c r="AO90" i="34"/>
  <c r="AO85" i="34"/>
  <c r="AO87" i="34"/>
  <c r="AO89" i="34"/>
  <c r="AO91" i="34"/>
  <c r="AO93" i="34"/>
  <c r="AO95" i="34"/>
  <c r="AO97" i="34"/>
  <c r="AO99" i="34"/>
  <c r="AO110" i="34"/>
  <c r="AO102" i="34"/>
  <c r="AO104" i="34"/>
  <c r="AO106" i="34"/>
  <c r="AO108" i="34"/>
  <c r="AO114" i="34"/>
  <c r="AO120" i="34"/>
  <c r="AO123" i="34"/>
  <c r="AO125" i="34"/>
  <c r="AO126" i="34"/>
  <c r="AO131" i="34"/>
  <c r="AO134" i="34"/>
  <c r="AO136" i="34"/>
  <c r="AO10" i="34"/>
  <c r="AO8" i="34" s="1"/>
  <c r="AO11" i="34"/>
  <c r="AO12" i="34"/>
  <c r="AO16" i="34"/>
  <c r="AO20" i="34"/>
  <c r="AO24" i="34"/>
  <c r="AO29" i="34"/>
  <c r="AO33" i="34"/>
  <c r="AO37" i="34"/>
  <c r="AO41" i="34"/>
  <c r="AO45" i="34"/>
  <c r="AO49" i="34"/>
  <c r="AO50" i="34"/>
  <c r="AO52" i="34"/>
  <c r="AO54" i="34"/>
  <c r="AO51" i="34"/>
  <c r="AO53" i="34"/>
  <c r="AO56" i="34"/>
  <c r="AO58" i="34"/>
  <c r="AO60" i="34"/>
  <c r="AO62" i="34"/>
  <c r="AO64" i="34"/>
  <c r="AO66" i="34"/>
  <c r="AO68" i="34"/>
  <c r="AO72" i="34"/>
  <c r="AO57" i="34"/>
  <c r="AO63" i="34"/>
  <c r="AO65" i="34"/>
  <c r="AO67" i="34"/>
  <c r="AO69" i="34"/>
  <c r="AO71" i="34"/>
  <c r="AO73" i="34"/>
  <c r="AO75" i="34"/>
  <c r="AO77" i="34"/>
  <c r="AO78" i="34"/>
  <c r="AO82" i="34"/>
  <c r="AO84" i="34"/>
  <c r="AO86" i="34"/>
  <c r="AO88" i="34"/>
  <c r="AO79" i="34"/>
  <c r="AO81" i="34"/>
  <c r="AO83" i="34"/>
  <c r="AO101" i="34"/>
  <c r="AO103" i="34"/>
  <c r="AO105" i="34"/>
  <c r="AO107" i="34"/>
  <c r="AO100" i="34"/>
  <c r="AO112" i="34"/>
  <c r="AO111" i="34"/>
  <c r="AO113" i="34"/>
  <c r="AO115" i="34"/>
  <c r="AO117" i="34"/>
  <c r="AO119" i="34"/>
  <c r="AO121" i="34"/>
  <c r="AO122" i="34"/>
  <c r="AO124" i="34"/>
  <c r="AO127" i="34"/>
  <c r="AO129" i="34"/>
  <c r="AO132" i="34"/>
  <c r="AO135" i="34"/>
  <c r="AO137" i="34"/>
  <c r="AO138" i="34"/>
  <c r="AQ9" i="34" l="1"/>
  <c r="AP10" i="34"/>
  <c r="AP8" i="34" s="1"/>
  <c r="AP12" i="34"/>
  <c r="AP16" i="34"/>
  <c r="AP20" i="34"/>
  <c r="AP24" i="34"/>
  <c r="AP29" i="34"/>
  <c r="AP33" i="34"/>
  <c r="AP37" i="34"/>
  <c r="AP41" i="34"/>
  <c r="AP45" i="34"/>
  <c r="AP49" i="34"/>
  <c r="AP13" i="34"/>
  <c r="AP17" i="34"/>
  <c r="AP21" i="34"/>
  <c r="AP25" i="34"/>
  <c r="AP30" i="34"/>
  <c r="AP34" i="34"/>
  <c r="AP38" i="34"/>
  <c r="AP42" i="34"/>
  <c r="AP46" i="34"/>
  <c r="AP50" i="34"/>
  <c r="AP52" i="34"/>
  <c r="AP54" i="34"/>
  <c r="AP71" i="34"/>
  <c r="AP75" i="34"/>
  <c r="AP77" i="34"/>
  <c r="AP58" i="34"/>
  <c r="AP64" i="34"/>
  <c r="AP66" i="34"/>
  <c r="AP68" i="34"/>
  <c r="AP70" i="34"/>
  <c r="AP72" i="34"/>
  <c r="AP74" i="34"/>
  <c r="AP76" i="34"/>
  <c r="AP81" i="34"/>
  <c r="AP91" i="34"/>
  <c r="AP99" i="34"/>
  <c r="AP78" i="34"/>
  <c r="AP80" i="34"/>
  <c r="AP82" i="34"/>
  <c r="AP84" i="34"/>
  <c r="AP110" i="34"/>
  <c r="AP101" i="34"/>
  <c r="AP111" i="34"/>
  <c r="AP115" i="34"/>
  <c r="AP117" i="34"/>
  <c r="AP112" i="34"/>
  <c r="AP114" i="34"/>
  <c r="AP116" i="34"/>
  <c r="AP118" i="34"/>
  <c r="AP120" i="34"/>
  <c r="AP124" i="34"/>
  <c r="AP123" i="34"/>
  <c r="AP125" i="34"/>
  <c r="AP127" i="34"/>
  <c r="AP131" i="34"/>
  <c r="AP128" i="34"/>
  <c r="AP130" i="34"/>
  <c r="AP134" i="34"/>
  <c r="AP11" i="34"/>
  <c r="AP14" i="34"/>
  <c r="AP18" i="34"/>
  <c r="AP22" i="34"/>
  <c r="AP26" i="34"/>
  <c r="AP31" i="34"/>
  <c r="AP35" i="34"/>
  <c r="AP39" i="34"/>
  <c r="AP43" i="34"/>
  <c r="AP47" i="34"/>
  <c r="AP51" i="34"/>
  <c r="AP53" i="34"/>
  <c r="AP15" i="34"/>
  <c r="AP19" i="34"/>
  <c r="AP23" i="34"/>
  <c r="AP27" i="34"/>
  <c r="AP32" i="34"/>
  <c r="AP36" i="34"/>
  <c r="AP40" i="34"/>
  <c r="AP44" i="34"/>
  <c r="AP48" i="34"/>
  <c r="AP56" i="34"/>
  <c r="AP57" i="34"/>
  <c r="AP61" i="34"/>
  <c r="AP63" i="34"/>
  <c r="AP65" i="34"/>
  <c r="AP67" i="34"/>
  <c r="AP69" i="34"/>
  <c r="AP73" i="34"/>
  <c r="AP60" i="34"/>
  <c r="AP62" i="34"/>
  <c r="AP79" i="34"/>
  <c r="AP83" i="34"/>
  <c r="AP85" i="34"/>
  <c r="AP87" i="34"/>
  <c r="AP89" i="34"/>
  <c r="AP93" i="34"/>
  <c r="AP95" i="34"/>
  <c r="AP97" i="34"/>
  <c r="AP86" i="34"/>
  <c r="AP88" i="34"/>
  <c r="AP90" i="34"/>
  <c r="AP92" i="34"/>
  <c r="AP94" i="34"/>
  <c r="AP96" i="34"/>
  <c r="AP98" i="34"/>
  <c r="AP100" i="34"/>
  <c r="AP102" i="34"/>
  <c r="AP104" i="34"/>
  <c r="AP106" i="34"/>
  <c r="AP108" i="34"/>
  <c r="AP103" i="34"/>
  <c r="AP105" i="34"/>
  <c r="AP107" i="34"/>
  <c r="AP109" i="34"/>
  <c r="AP113" i="34"/>
  <c r="AP119" i="34"/>
  <c r="AP122" i="34"/>
  <c r="AP126" i="34"/>
  <c r="AP121" i="34"/>
  <c r="AP129" i="34"/>
  <c r="AP133" i="34"/>
  <c r="AP132" i="34"/>
  <c r="AP136" i="34"/>
  <c r="AP135" i="34"/>
  <c r="AP137" i="34"/>
  <c r="AP138" i="34"/>
  <c r="AQ133" i="34" l="1"/>
  <c r="AQ130" i="34"/>
  <c r="AQ128" i="34"/>
  <c r="AQ118" i="34"/>
  <c r="AQ116" i="34"/>
  <c r="AQ98" i="34"/>
  <c r="AQ96" i="34"/>
  <c r="AQ94" i="34"/>
  <c r="AQ92" i="34"/>
  <c r="AQ76" i="34"/>
  <c r="AQ48" i="34"/>
  <c r="AQ46" i="34"/>
  <c r="AQ44" i="34"/>
  <c r="AQ42" i="34"/>
  <c r="AQ40" i="34"/>
  <c r="AQ38" i="34"/>
  <c r="AQ36" i="34"/>
  <c r="AQ34" i="34"/>
  <c r="AQ32" i="34"/>
  <c r="AQ30" i="34"/>
  <c r="AQ27" i="34"/>
  <c r="AQ25" i="34"/>
  <c r="AQ23" i="34"/>
  <c r="AQ21" i="34"/>
  <c r="AQ19" i="34"/>
  <c r="AQ17" i="34"/>
  <c r="AQ15" i="34"/>
  <c r="AQ13" i="34"/>
  <c r="AR9" i="34"/>
  <c r="AQ10" i="34"/>
  <c r="AQ8" i="34" s="1"/>
  <c r="AQ11" i="34"/>
  <c r="AQ12" i="34"/>
  <c r="AQ16" i="34"/>
  <c r="AQ20" i="34"/>
  <c r="AQ24" i="34"/>
  <c r="AQ29" i="34"/>
  <c r="AQ33" i="34"/>
  <c r="AQ37" i="34"/>
  <c r="AQ41" i="34"/>
  <c r="AQ45" i="34"/>
  <c r="AQ49" i="34"/>
  <c r="AQ50" i="34"/>
  <c r="AQ52" i="34"/>
  <c r="AQ54" i="34"/>
  <c r="AQ51" i="34"/>
  <c r="AQ53" i="34"/>
  <c r="AQ56" i="34"/>
  <c r="AQ58" i="34"/>
  <c r="AQ60" i="34"/>
  <c r="AQ62" i="34"/>
  <c r="AQ64" i="34"/>
  <c r="AQ66" i="34"/>
  <c r="AQ68" i="34"/>
  <c r="AQ72" i="34"/>
  <c r="AQ57" i="34"/>
  <c r="AQ63" i="34"/>
  <c r="AQ65" i="34"/>
  <c r="AQ67" i="34"/>
  <c r="AQ69" i="34"/>
  <c r="AQ71" i="34"/>
  <c r="AQ73" i="34"/>
  <c r="AQ75" i="34"/>
  <c r="AQ77" i="34"/>
  <c r="AQ78" i="34"/>
  <c r="AQ82" i="34"/>
  <c r="AQ84" i="34"/>
  <c r="AQ86" i="34"/>
  <c r="AQ88" i="34"/>
  <c r="AQ79" i="34"/>
  <c r="AQ81" i="34"/>
  <c r="AQ83" i="34"/>
  <c r="AQ101" i="34"/>
  <c r="AQ103" i="34"/>
  <c r="AQ105" i="34"/>
  <c r="AQ107" i="34"/>
  <c r="AQ109" i="34"/>
  <c r="AQ100" i="34"/>
  <c r="AQ112" i="34"/>
  <c r="AQ111" i="34"/>
  <c r="AQ113" i="34"/>
  <c r="AQ115" i="34"/>
  <c r="AQ117" i="34"/>
  <c r="AQ119" i="34"/>
  <c r="AQ121" i="34"/>
  <c r="AQ122" i="34"/>
  <c r="AQ124" i="34"/>
  <c r="AQ126" i="34"/>
  <c r="AQ127" i="34"/>
  <c r="AQ129" i="34"/>
  <c r="AQ132" i="34"/>
  <c r="AQ135" i="34"/>
  <c r="AQ137" i="34"/>
  <c r="AQ138" i="34"/>
  <c r="AQ14" i="34"/>
  <c r="AQ18" i="34"/>
  <c r="AQ22" i="34"/>
  <c r="AQ26" i="34"/>
  <c r="AQ31" i="34"/>
  <c r="AQ35" i="34"/>
  <c r="AQ39" i="34"/>
  <c r="AQ43" i="34"/>
  <c r="AQ47" i="34"/>
  <c r="AQ70" i="34"/>
  <c r="AQ74" i="34"/>
  <c r="AQ61" i="34"/>
  <c r="AQ80" i="34"/>
  <c r="AQ90" i="34"/>
  <c r="AQ85" i="34"/>
  <c r="AQ87" i="34"/>
  <c r="AQ89" i="34"/>
  <c r="AQ91" i="34"/>
  <c r="AQ93" i="34"/>
  <c r="AQ95" i="34"/>
  <c r="AQ97" i="34"/>
  <c r="AQ99" i="34"/>
  <c r="AQ110" i="34"/>
  <c r="AQ102" i="34"/>
  <c r="AQ104" i="34"/>
  <c r="AQ106" i="34"/>
  <c r="AQ108" i="34"/>
  <c r="AQ114" i="34"/>
  <c r="AQ120" i="34"/>
  <c r="AQ123" i="34"/>
  <c r="AQ125" i="34"/>
  <c r="AQ131" i="34"/>
  <c r="AQ134" i="34"/>
  <c r="AQ136" i="34"/>
  <c r="AS9" i="34" l="1"/>
  <c r="AR11" i="34"/>
  <c r="AR12" i="34"/>
  <c r="AR14" i="34"/>
  <c r="AR16" i="34"/>
  <c r="AR20" i="34"/>
  <c r="AR29" i="34"/>
  <c r="AR31" i="34"/>
  <c r="AR33" i="34"/>
  <c r="AR35" i="34"/>
  <c r="AR37" i="34"/>
  <c r="AR39" i="34"/>
  <c r="AR41" i="34"/>
  <c r="AR43" i="34"/>
  <c r="AR45" i="34"/>
  <c r="AR47" i="34"/>
  <c r="AR51" i="34"/>
  <c r="AR53" i="34"/>
  <c r="AR15" i="34"/>
  <c r="AR19" i="34"/>
  <c r="AR23" i="34"/>
  <c r="AR27" i="34"/>
  <c r="AR32" i="34"/>
  <c r="AR36" i="34"/>
  <c r="AR40" i="34"/>
  <c r="AR44" i="34"/>
  <c r="AR48" i="34"/>
  <c r="AR56" i="34"/>
  <c r="AR57" i="34"/>
  <c r="AR61" i="34"/>
  <c r="AR63" i="34"/>
  <c r="AR65" i="34"/>
  <c r="AR67" i="34"/>
  <c r="AR69" i="34"/>
  <c r="AR73" i="34"/>
  <c r="AR60" i="34"/>
  <c r="AR62" i="34"/>
  <c r="AR79" i="34"/>
  <c r="AR83" i="34"/>
  <c r="AR85" i="34"/>
  <c r="AR87" i="34"/>
  <c r="AR89" i="34"/>
  <c r="AR93" i="34"/>
  <c r="AR95" i="34"/>
  <c r="AR97" i="34"/>
  <c r="AR86" i="34"/>
  <c r="AR88" i="34"/>
  <c r="AR90" i="34"/>
  <c r="AR92" i="34"/>
  <c r="AR94" i="34"/>
  <c r="AR96" i="34"/>
  <c r="AR98" i="34"/>
  <c r="AR100" i="34"/>
  <c r="AR102" i="34"/>
  <c r="AR104" i="34"/>
  <c r="AR106" i="34"/>
  <c r="AR108" i="34"/>
  <c r="AR103" i="34"/>
  <c r="AR105" i="34"/>
  <c r="AR107" i="34"/>
  <c r="AR109" i="34"/>
  <c r="AR113" i="34"/>
  <c r="AR119" i="34"/>
  <c r="AR122" i="34"/>
  <c r="AR126" i="34"/>
  <c r="AR121" i="34"/>
  <c r="AR129" i="34"/>
  <c r="AR133" i="34"/>
  <c r="AR132" i="34"/>
  <c r="AR136" i="34"/>
  <c r="AR135" i="34"/>
  <c r="AR137" i="34"/>
  <c r="AR138" i="34"/>
  <c r="AR18" i="34"/>
  <c r="AR22" i="34"/>
  <c r="AR24" i="34"/>
  <c r="AR26" i="34"/>
  <c r="AR49" i="34"/>
  <c r="AR10" i="34"/>
  <c r="AR8" i="34" s="1"/>
  <c r="AR13" i="34"/>
  <c r="AR17" i="34"/>
  <c r="AR21" i="34"/>
  <c r="AR25" i="34"/>
  <c r="AR30" i="34"/>
  <c r="AR34" i="34"/>
  <c r="AR38" i="34"/>
  <c r="AR42" i="34"/>
  <c r="AR46" i="34"/>
  <c r="AR50" i="34"/>
  <c r="AR52" i="34"/>
  <c r="AR54" i="34"/>
  <c r="AR71" i="34"/>
  <c r="AR75" i="34"/>
  <c r="AR77" i="34"/>
  <c r="AR58" i="34"/>
  <c r="AR64" i="34"/>
  <c r="AR66" i="34"/>
  <c r="AR68" i="34"/>
  <c r="AR70" i="34"/>
  <c r="AR72" i="34"/>
  <c r="AR74" i="34"/>
  <c r="AR76" i="34"/>
  <c r="AR81" i="34"/>
  <c r="AR91" i="34"/>
  <c r="AR99" i="34"/>
  <c r="AR78" i="34"/>
  <c r="AR80" i="34"/>
  <c r="AR82" i="34"/>
  <c r="AR84" i="34"/>
  <c r="AR110" i="34"/>
  <c r="AR101" i="34"/>
  <c r="AR111" i="34"/>
  <c r="AR115" i="34"/>
  <c r="AR117" i="34"/>
  <c r="AR112" i="34"/>
  <c r="AR114" i="34"/>
  <c r="AR116" i="34"/>
  <c r="AR118" i="34"/>
  <c r="AR120" i="34"/>
  <c r="AR124" i="34"/>
  <c r="AR123" i="34"/>
  <c r="AR125" i="34"/>
  <c r="AR127" i="34"/>
  <c r="AR131" i="34"/>
  <c r="AR128" i="34"/>
  <c r="AR130" i="34"/>
  <c r="AR134" i="34"/>
  <c r="AS133" i="34" l="1"/>
  <c r="AS130" i="34"/>
  <c r="AS128" i="34"/>
  <c r="AS118" i="34"/>
  <c r="AS116" i="34"/>
  <c r="AS98" i="34"/>
  <c r="AS96" i="34"/>
  <c r="AS94" i="34"/>
  <c r="AS76" i="34"/>
  <c r="AS48" i="34"/>
  <c r="AS46" i="34"/>
  <c r="AS44" i="34"/>
  <c r="AS42" i="34"/>
  <c r="AS40" i="34"/>
  <c r="AS38" i="34"/>
  <c r="AS36" i="34"/>
  <c r="AS34" i="34"/>
  <c r="AS32" i="34"/>
  <c r="AS30" i="34"/>
  <c r="AS27" i="34"/>
  <c r="AS25" i="34"/>
  <c r="AS23" i="34"/>
  <c r="AS21" i="34"/>
  <c r="AS19" i="34"/>
  <c r="AS17" i="34"/>
  <c r="AS15" i="34"/>
  <c r="AS13" i="34"/>
  <c r="AT9" i="34"/>
  <c r="AS14" i="34"/>
  <c r="AS18" i="34"/>
  <c r="AS22" i="34"/>
  <c r="AS26" i="34"/>
  <c r="AS31" i="34"/>
  <c r="AS35" i="34"/>
  <c r="AS39" i="34"/>
  <c r="AS43" i="34"/>
  <c r="AS47" i="34"/>
  <c r="AS70" i="34"/>
  <c r="AS74" i="34"/>
  <c r="AS61" i="34"/>
  <c r="AS80" i="34"/>
  <c r="AS90" i="34"/>
  <c r="AS85" i="34"/>
  <c r="AS87" i="34"/>
  <c r="AS89" i="34"/>
  <c r="AS91" i="34"/>
  <c r="AS93" i="34"/>
  <c r="AS95" i="34"/>
  <c r="AS97" i="34"/>
  <c r="AS99" i="34"/>
  <c r="AS110" i="34"/>
  <c r="AS102" i="34"/>
  <c r="AS104" i="34"/>
  <c r="AS106" i="34"/>
  <c r="AS108" i="34"/>
  <c r="AS114" i="34"/>
  <c r="AS120" i="34"/>
  <c r="AS123" i="34"/>
  <c r="AS125" i="34"/>
  <c r="AS134" i="34"/>
  <c r="AS136" i="34"/>
  <c r="AS10" i="34"/>
  <c r="AS8" i="34" s="1"/>
  <c r="AS11" i="34"/>
  <c r="AS12" i="34"/>
  <c r="AS16" i="34"/>
  <c r="AS20" i="34"/>
  <c r="AS24" i="34"/>
  <c r="AS29" i="34"/>
  <c r="AS33" i="34"/>
  <c r="AS37" i="34"/>
  <c r="AS41" i="34"/>
  <c r="AS45" i="34"/>
  <c r="AS49" i="34"/>
  <c r="AS50" i="34"/>
  <c r="AS52" i="34"/>
  <c r="AS54" i="34"/>
  <c r="AS51" i="34"/>
  <c r="AS53" i="34"/>
  <c r="AS56" i="34"/>
  <c r="AS58" i="34"/>
  <c r="AS60" i="34"/>
  <c r="AS62" i="34"/>
  <c r="AS64" i="34"/>
  <c r="AS66" i="34"/>
  <c r="AS68" i="34"/>
  <c r="AS72" i="34"/>
  <c r="AS57" i="34"/>
  <c r="AS63" i="34"/>
  <c r="AS65" i="34"/>
  <c r="AS67" i="34"/>
  <c r="AS69" i="34"/>
  <c r="AS71" i="34"/>
  <c r="AS73" i="34"/>
  <c r="AS75" i="34"/>
  <c r="AS77" i="34"/>
  <c r="AS78" i="34"/>
  <c r="AS82" i="34"/>
  <c r="AS84" i="34"/>
  <c r="AS86" i="34"/>
  <c r="AS88" i="34"/>
  <c r="AS92" i="34"/>
  <c r="AS79" i="34"/>
  <c r="AS81" i="34"/>
  <c r="AS83" i="34"/>
  <c r="AS101" i="34"/>
  <c r="AS103" i="34"/>
  <c r="AS105" i="34"/>
  <c r="AS107" i="34"/>
  <c r="AS109" i="34"/>
  <c r="AS100" i="34"/>
  <c r="AS112" i="34"/>
  <c r="AS111" i="34"/>
  <c r="AS113" i="34"/>
  <c r="AS115" i="34"/>
  <c r="AS117" i="34"/>
  <c r="AS119" i="34"/>
  <c r="AS121" i="34"/>
  <c r="AS126" i="34"/>
  <c r="AS122" i="34"/>
  <c r="AS124" i="34"/>
  <c r="AS127" i="34"/>
  <c r="AS129" i="34"/>
  <c r="AS131" i="34"/>
  <c r="AS132" i="34"/>
  <c r="AS135" i="34"/>
  <c r="AS137" i="34"/>
  <c r="AS138" i="34"/>
  <c r="AV138" i="34" l="1"/>
  <c r="AV137" i="34"/>
  <c r="AV135" i="34"/>
  <c r="AV136" i="34"/>
  <c r="AV134" i="34"/>
  <c r="AV132" i="34"/>
  <c r="AV133" i="34"/>
  <c r="AV131" i="34"/>
  <c r="AV130" i="34"/>
  <c r="AV128" i="34"/>
  <c r="AV126" i="34"/>
  <c r="AV129" i="34"/>
  <c r="AV127" i="34"/>
  <c r="AV125" i="34"/>
  <c r="AV123" i="34"/>
  <c r="AV121" i="34"/>
  <c r="AV124" i="34"/>
  <c r="AV122" i="34"/>
  <c r="AV120" i="34"/>
  <c r="AV118" i="34"/>
  <c r="AV116" i="34"/>
  <c r="AV114" i="34"/>
  <c r="AV112" i="34"/>
  <c r="AV110" i="34"/>
  <c r="AV119" i="34"/>
  <c r="AV117" i="34"/>
  <c r="AV115" i="34"/>
  <c r="AV113" i="34"/>
  <c r="AV111" i="34"/>
  <c r="AV109" i="34"/>
  <c r="AV107" i="34"/>
  <c r="AV105" i="34"/>
  <c r="AV103" i="34"/>
  <c r="AV101" i="34"/>
  <c r="AV99" i="34"/>
  <c r="AV108" i="34"/>
  <c r="AV106" i="34"/>
  <c r="AV104" i="34"/>
  <c r="AV102" i="34"/>
  <c r="AV100" i="34"/>
  <c r="AV98" i="34"/>
  <c r="AV96" i="34"/>
  <c r="AV94" i="34"/>
  <c r="AV92" i="34"/>
  <c r="AV90" i="34"/>
  <c r="AV88" i="34"/>
  <c r="AV86" i="34"/>
  <c r="AV84" i="34"/>
  <c r="AV82" i="34"/>
  <c r="AV80" i="34"/>
  <c r="AV78" i="34"/>
  <c r="AV97" i="34"/>
  <c r="AV95" i="34"/>
  <c r="AV93" i="34"/>
  <c r="AV91" i="34"/>
  <c r="AV89" i="34"/>
  <c r="AV87" i="34"/>
  <c r="AV85" i="34"/>
  <c r="AV83" i="34"/>
  <c r="AV81" i="34"/>
  <c r="AV79" i="34"/>
  <c r="AV76" i="34"/>
  <c r="AV74" i="34"/>
  <c r="AV72" i="34"/>
  <c r="AV70" i="34"/>
  <c r="AV68" i="34"/>
  <c r="AV66" i="34"/>
  <c r="AV64" i="34"/>
  <c r="AV62" i="34"/>
  <c r="AV60" i="34"/>
  <c r="AV58" i="34"/>
  <c r="AV56" i="34"/>
  <c r="AV77" i="34"/>
  <c r="AV75" i="34"/>
  <c r="AV73" i="34"/>
  <c r="AV71" i="34"/>
  <c r="AV69" i="34"/>
  <c r="AV67" i="34"/>
  <c r="AV65" i="34"/>
  <c r="AV63" i="34"/>
  <c r="AV61" i="34"/>
  <c r="AV59" i="34"/>
  <c r="AV57" i="34"/>
  <c r="AV54" i="34"/>
  <c r="AV52" i="34"/>
  <c r="AV50" i="34"/>
  <c r="AV48" i="34"/>
  <c r="AV46" i="34"/>
  <c r="AV44" i="34"/>
  <c r="AV42" i="34"/>
  <c r="AV40" i="34"/>
  <c r="AV38" i="34"/>
  <c r="AV36" i="34"/>
  <c r="AV34" i="34"/>
  <c r="AV32" i="34"/>
  <c r="AV30" i="34"/>
  <c r="AV27" i="34"/>
  <c r="AV25" i="34"/>
  <c r="AV23" i="34"/>
  <c r="AV21" i="34"/>
  <c r="AV19" i="34"/>
  <c r="AV17" i="34"/>
  <c r="AV3" i="34" s="1"/>
  <c r="AV15" i="34"/>
  <c r="AV13" i="34"/>
  <c r="AV55" i="34"/>
  <c r="AV53" i="34"/>
  <c r="AV51" i="34"/>
  <c r="AV10" i="34"/>
  <c r="AW9" i="34"/>
  <c r="AV49" i="34"/>
  <c r="AV47" i="34"/>
  <c r="AV45" i="34"/>
  <c r="AV43" i="34"/>
  <c r="AV41" i="34"/>
  <c r="AV39" i="34"/>
  <c r="AV37" i="34"/>
  <c r="AV35" i="34"/>
  <c r="AV33" i="34"/>
  <c r="AV31" i="34"/>
  <c r="AV1" i="34" s="1"/>
  <c r="AV29" i="34"/>
  <c r="AV26" i="34"/>
  <c r="AV24" i="34"/>
  <c r="AV22" i="34"/>
  <c r="AV20" i="34"/>
  <c r="AV18" i="34"/>
  <c r="AV16" i="34"/>
  <c r="AV14" i="34"/>
  <c r="AV12" i="34"/>
  <c r="AV4" i="34" s="1"/>
  <c r="AV11" i="34"/>
  <c r="AT10" i="34"/>
  <c r="AT8" i="34" s="1"/>
  <c r="AT14" i="34"/>
  <c r="AT18" i="34"/>
  <c r="AT22" i="34"/>
  <c r="AT26" i="34"/>
  <c r="AT31" i="34"/>
  <c r="AT35" i="34"/>
  <c r="AT39" i="34"/>
  <c r="AT43" i="34"/>
  <c r="AT47" i="34"/>
  <c r="AT13" i="34"/>
  <c r="AT17" i="34"/>
  <c r="AT21" i="34"/>
  <c r="AT25" i="34"/>
  <c r="AT30" i="34"/>
  <c r="AT34" i="34"/>
  <c r="AT38" i="34"/>
  <c r="AT42" i="34"/>
  <c r="AT46" i="34"/>
  <c r="AT50" i="34"/>
  <c r="AT52" i="34"/>
  <c r="AT54" i="34"/>
  <c r="AT71" i="34"/>
  <c r="AT75" i="34"/>
  <c r="AT77" i="34"/>
  <c r="AT58" i="34"/>
  <c r="AT64" i="34"/>
  <c r="AT66" i="34"/>
  <c r="AT68" i="34"/>
  <c r="AT70" i="34"/>
  <c r="AT72" i="34"/>
  <c r="AT74" i="34"/>
  <c r="AT76" i="34"/>
  <c r="AT81" i="34"/>
  <c r="AT91" i="34"/>
  <c r="AT99" i="34"/>
  <c r="AT78" i="34"/>
  <c r="AT80" i="34"/>
  <c r="AT82" i="34"/>
  <c r="AT84" i="34"/>
  <c r="AT110" i="34"/>
  <c r="AT101" i="34"/>
  <c r="AT111" i="34"/>
  <c r="AT115" i="34"/>
  <c r="AT117" i="34"/>
  <c r="AT112" i="34"/>
  <c r="AT114" i="34"/>
  <c r="AT116" i="34"/>
  <c r="AT118" i="34"/>
  <c r="AT120" i="34"/>
  <c r="AT124" i="34"/>
  <c r="AT123" i="34"/>
  <c r="AT125" i="34"/>
  <c r="AT127" i="34"/>
  <c r="AT131" i="34"/>
  <c r="AT128" i="34"/>
  <c r="AT130" i="34"/>
  <c r="AT134" i="34"/>
  <c r="AT11" i="34"/>
  <c r="AT12" i="34"/>
  <c r="AT16" i="34"/>
  <c r="AT20" i="34"/>
  <c r="AT24" i="34"/>
  <c r="AT29" i="34"/>
  <c r="AT33" i="34"/>
  <c r="AT37" i="34"/>
  <c r="AT41" i="34"/>
  <c r="AT45" i="34"/>
  <c r="AT49" i="34"/>
  <c r="AT51" i="34"/>
  <c r="AT53" i="34"/>
  <c r="AT15" i="34"/>
  <c r="AT19" i="34"/>
  <c r="AT23" i="34"/>
  <c r="AT27" i="34"/>
  <c r="AT32" i="34"/>
  <c r="AT36" i="34"/>
  <c r="AT40" i="34"/>
  <c r="AT44" i="34"/>
  <c r="AT48" i="34"/>
  <c r="AT56" i="34"/>
  <c r="AT57" i="34"/>
  <c r="AT61" i="34"/>
  <c r="AT63" i="34"/>
  <c r="AT65" i="34"/>
  <c r="AT67" i="34"/>
  <c r="AT69" i="34"/>
  <c r="AT73" i="34"/>
  <c r="AT60" i="34"/>
  <c r="AT62" i="34"/>
  <c r="AT79" i="34"/>
  <c r="AT83" i="34"/>
  <c r="AT85" i="34"/>
  <c r="AT87" i="34"/>
  <c r="AT89" i="34"/>
  <c r="AT93" i="34"/>
  <c r="AT95" i="34"/>
  <c r="AT97" i="34"/>
  <c r="AT86" i="34"/>
  <c r="AT88" i="34"/>
  <c r="AT90" i="34"/>
  <c r="AT92" i="34"/>
  <c r="AT94" i="34"/>
  <c r="AT96" i="34"/>
  <c r="AT98" i="34"/>
  <c r="AT100" i="34"/>
  <c r="AT102" i="34"/>
  <c r="AT104" i="34"/>
  <c r="AT106" i="34"/>
  <c r="AT108" i="34"/>
  <c r="AT103" i="34"/>
  <c r="AT105" i="34"/>
  <c r="AT107" i="34"/>
  <c r="AT109" i="34"/>
  <c r="AT113" i="34"/>
  <c r="AT119" i="34"/>
  <c r="AT122" i="34"/>
  <c r="AT126" i="34"/>
  <c r="AT121" i="34"/>
  <c r="AT129" i="34"/>
  <c r="AT133" i="34"/>
  <c r="AT132" i="34"/>
  <c r="AT136" i="34"/>
  <c r="AT135" i="34"/>
  <c r="AT137" i="34"/>
  <c r="AT138" i="34"/>
  <c r="AV2" i="34" l="1"/>
  <c r="AV8" i="34"/>
  <c r="AW133" i="34"/>
  <c r="BI133" i="34" s="1"/>
  <c r="AW130" i="34"/>
  <c r="BI130" i="34" s="1"/>
  <c r="AW128" i="34"/>
  <c r="BI128" i="34" s="1"/>
  <c r="AW118" i="34"/>
  <c r="BI118" i="34" s="1"/>
  <c r="AW98" i="34"/>
  <c r="BI98" i="34" s="1"/>
  <c r="AW96" i="34"/>
  <c r="BI96" i="34" s="1"/>
  <c r="AW94" i="34"/>
  <c r="BI94" i="34" s="1"/>
  <c r="AW76" i="34"/>
  <c r="BI76" i="34" s="1"/>
  <c r="AW48" i="34"/>
  <c r="BI48" i="34" s="1"/>
  <c r="AW46" i="34"/>
  <c r="BI46" i="34" s="1"/>
  <c r="AW44" i="34"/>
  <c r="BI44" i="34" s="1"/>
  <c r="AW42" i="34"/>
  <c r="BI42" i="34" s="1"/>
  <c r="AW40" i="34"/>
  <c r="BI40" i="34" s="1"/>
  <c r="AW38" i="34"/>
  <c r="BI38" i="34" s="1"/>
  <c r="AW36" i="34"/>
  <c r="BI36" i="34" s="1"/>
  <c r="AW34" i="34"/>
  <c r="BI34" i="34" s="1"/>
  <c r="AW32" i="34"/>
  <c r="BI32" i="34" s="1"/>
  <c r="AW30" i="34"/>
  <c r="BI30" i="34" s="1"/>
  <c r="AW27" i="34"/>
  <c r="BI27" i="34" s="1"/>
  <c r="AW25" i="34"/>
  <c r="BI25" i="34" s="1"/>
  <c r="AW23" i="34"/>
  <c r="BI23" i="34" s="1"/>
  <c r="AW21" i="34"/>
  <c r="BI21" i="34" s="1"/>
  <c r="AW19" i="34"/>
  <c r="BI19" i="34" s="1"/>
  <c r="AW17" i="34"/>
  <c r="BI17" i="34" s="1"/>
  <c r="AW15" i="34"/>
  <c r="BI15" i="34" s="1"/>
  <c r="AW13" i="34"/>
  <c r="BI13" i="34" s="1"/>
  <c r="AX9" i="34"/>
  <c r="AW10" i="34"/>
  <c r="AW11" i="34"/>
  <c r="BI11" i="34" s="1"/>
  <c r="AW12" i="34"/>
  <c r="BI12" i="34" s="1"/>
  <c r="AW16" i="34"/>
  <c r="BI16" i="34" s="1"/>
  <c r="AW20" i="34"/>
  <c r="BI20" i="34" s="1"/>
  <c r="AW24" i="34"/>
  <c r="BI24" i="34" s="1"/>
  <c r="AW29" i="34"/>
  <c r="BI29" i="34" s="1"/>
  <c r="AW33" i="34"/>
  <c r="BI33" i="34" s="1"/>
  <c r="AW37" i="34"/>
  <c r="BI37" i="34" s="1"/>
  <c r="AW41" i="34"/>
  <c r="BI41" i="34" s="1"/>
  <c r="AW45" i="34"/>
  <c r="BI45" i="34" s="1"/>
  <c r="AW49" i="34"/>
  <c r="BI49" i="34" s="1"/>
  <c r="AW50" i="34"/>
  <c r="BI50" i="34" s="1"/>
  <c r="AW52" i="34"/>
  <c r="BI52" i="34" s="1"/>
  <c r="AW54" i="34"/>
  <c r="BI54" i="34" s="1"/>
  <c r="AW51" i="34"/>
  <c r="BI51" i="34" s="1"/>
  <c r="AW53" i="34"/>
  <c r="BI53" i="34" s="1"/>
  <c r="AW55" i="34"/>
  <c r="AW56" i="34"/>
  <c r="BI56" i="34" s="1"/>
  <c r="AW58" i="34"/>
  <c r="BI58" i="34" s="1"/>
  <c r="AW60" i="34"/>
  <c r="BI60" i="34" s="1"/>
  <c r="AW62" i="34"/>
  <c r="BI62" i="34" s="1"/>
  <c r="AW64" i="34"/>
  <c r="BI64" i="34" s="1"/>
  <c r="AW66" i="34"/>
  <c r="BI66" i="34" s="1"/>
  <c r="AW68" i="34"/>
  <c r="BI68" i="34" s="1"/>
  <c r="AW72" i="34"/>
  <c r="BI72" i="34" s="1"/>
  <c r="AW57" i="34"/>
  <c r="BI57" i="34" s="1"/>
  <c r="AW63" i="34"/>
  <c r="BI63" i="34" s="1"/>
  <c r="AW65" i="34"/>
  <c r="BI65" i="34" s="1"/>
  <c r="AW67" i="34"/>
  <c r="BI67" i="34" s="1"/>
  <c r="AW69" i="34"/>
  <c r="BI69" i="34" s="1"/>
  <c r="AW71" i="34"/>
  <c r="BI71" i="34" s="1"/>
  <c r="AW73" i="34"/>
  <c r="BI73" i="34" s="1"/>
  <c r="AW75" i="34"/>
  <c r="BI75" i="34" s="1"/>
  <c r="AW77" i="34"/>
  <c r="BI77" i="34" s="1"/>
  <c r="AW78" i="34"/>
  <c r="BI78" i="34" s="1"/>
  <c r="AW82" i="34"/>
  <c r="BI82" i="34" s="1"/>
  <c r="AW84" i="34"/>
  <c r="BI84" i="34" s="1"/>
  <c r="AW86" i="34"/>
  <c r="BI86" i="34" s="1"/>
  <c r="AW88" i="34"/>
  <c r="BI88" i="34" s="1"/>
  <c r="AW92" i="34"/>
  <c r="BI92" i="34" s="1"/>
  <c r="AW99" i="34"/>
  <c r="BI99" i="34" s="1"/>
  <c r="AW79" i="34"/>
  <c r="BI79" i="34" s="1"/>
  <c r="AW81" i="34"/>
  <c r="BI81" i="34" s="1"/>
  <c r="AW83" i="34"/>
  <c r="BI83" i="34" s="1"/>
  <c r="AW101" i="34"/>
  <c r="BI101" i="34" s="1"/>
  <c r="AW103" i="34"/>
  <c r="BI103" i="34" s="1"/>
  <c r="AW105" i="34"/>
  <c r="BI105" i="34" s="1"/>
  <c r="AW107" i="34"/>
  <c r="BI107" i="34" s="1"/>
  <c r="AW109" i="34"/>
  <c r="BI109" i="34" s="1"/>
  <c r="AW100" i="34"/>
  <c r="BI100" i="34" s="1"/>
  <c r="AW112" i="34"/>
  <c r="BI112" i="34" s="1"/>
  <c r="AW111" i="34"/>
  <c r="BI111" i="34" s="1"/>
  <c r="AW113" i="34"/>
  <c r="BI113" i="34" s="1"/>
  <c r="AW115" i="34"/>
  <c r="BI115" i="34" s="1"/>
  <c r="AW117" i="34"/>
  <c r="BI117" i="34" s="1"/>
  <c r="AW119" i="34"/>
  <c r="BI119" i="34" s="1"/>
  <c r="AW121" i="34"/>
  <c r="BI121" i="34" s="1"/>
  <c r="AW126" i="34"/>
  <c r="BI126" i="34" s="1"/>
  <c r="AW122" i="34"/>
  <c r="BI122" i="34" s="1"/>
  <c r="AW124" i="34"/>
  <c r="BI124" i="34" s="1"/>
  <c r="AW127" i="34"/>
  <c r="BI127" i="34" s="1"/>
  <c r="AW129" i="34"/>
  <c r="BI129" i="34" s="1"/>
  <c r="AW131" i="34"/>
  <c r="BI131" i="34" s="1"/>
  <c r="AW132" i="34"/>
  <c r="BI132" i="34" s="1"/>
  <c r="AW135" i="34"/>
  <c r="BI135" i="34" s="1"/>
  <c r="AW137" i="34"/>
  <c r="BI137" i="34" s="1"/>
  <c r="AW14" i="34"/>
  <c r="BI14" i="34" s="1"/>
  <c r="AW18" i="34"/>
  <c r="BI18" i="34" s="1"/>
  <c r="AW22" i="34"/>
  <c r="BI22" i="34" s="1"/>
  <c r="AW26" i="34"/>
  <c r="BI26" i="34" s="1"/>
  <c r="AW31" i="34"/>
  <c r="BI31" i="34" s="1"/>
  <c r="AW35" i="34"/>
  <c r="BI35" i="34" s="1"/>
  <c r="AW39" i="34"/>
  <c r="BI39" i="34" s="1"/>
  <c r="AW43" i="34"/>
  <c r="BI43" i="34" s="1"/>
  <c r="AW47" i="34"/>
  <c r="BI47" i="34" s="1"/>
  <c r="AW70" i="34"/>
  <c r="BI70" i="34" s="1"/>
  <c r="AW74" i="34"/>
  <c r="BI74" i="34" s="1"/>
  <c r="AW59" i="34"/>
  <c r="AW61" i="34"/>
  <c r="BI61" i="34" s="1"/>
  <c r="AW80" i="34"/>
  <c r="BI80" i="34" s="1"/>
  <c r="AW90" i="34"/>
  <c r="BI90" i="34" s="1"/>
  <c r="AW85" i="34"/>
  <c r="BI85" i="34" s="1"/>
  <c r="AW87" i="34"/>
  <c r="BI87" i="34" s="1"/>
  <c r="AW89" i="34"/>
  <c r="BI89" i="34" s="1"/>
  <c r="AW91" i="34"/>
  <c r="BI91" i="34" s="1"/>
  <c r="AW93" i="34"/>
  <c r="BI93" i="34" s="1"/>
  <c r="AW95" i="34"/>
  <c r="BI95" i="34" s="1"/>
  <c r="AW97" i="34"/>
  <c r="BI97" i="34" s="1"/>
  <c r="AW110" i="34"/>
  <c r="BI110" i="34" s="1"/>
  <c r="AW102" i="34"/>
  <c r="BI102" i="34" s="1"/>
  <c r="AW104" i="34"/>
  <c r="BI104" i="34" s="1"/>
  <c r="AW106" i="34"/>
  <c r="BI106" i="34" s="1"/>
  <c r="AW108" i="34"/>
  <c r="BI108" i="34" s="1"/>
  <c r="AW114" i="34"/>
  <c r="BI114" i="34" s="1"/>
  <c r="AW116" i="34"/>
  <c r="BI116" i="34" s="1"/>
  <c r="AW120" i="34"/>
  <c r="BI120" i="34" s="1"/>
  <c r="AW123" i="34"/>
  <c r="BI123" i="34" s="1"/>
  <c r="AW125" i="34"/>
  <c r="BI125" i="34" s="1"/>
  <c r="AW134" i="34"/>
  <c r="BI134" i="34" s="1"/>
  <c r="AW136" i="34"/>
  <c r="BI136" i="34" s="1"/>
  <c r="AW138" i="34"/>
  <c r="BI138" i="34" s="1"/>
  <c r="AW8" i="34" l="1"/>
  <c r="BI10" i="34"/>
  <c r="BI8" i="34" s="1"/>
  <c r="AY9" i="34"/>
  <c r="AX11" i="34"/>
  <c r="AX12" i="34"/>
  <c r="AX16" i="34"/>
  <c r="AX20" i="34"/>
  <c r="AX24" i="34"/>
  <c r="AX29" i="34"/>
  <c r="AX33" i="34"/>
  <c r="AX37" i="34"/>
  <c r="AX41" i="34"/>
  <c r="AX45" i="34"/>
  <c r="AX49" i="34"/>
  <c r="AX51" i="34"/>
  <c r="AX53" i="34"/>
  <c r="AX55" i="34"/>
  <c r="AX15" i="34"/>
  <c r="AX19" i="34"/>
  <c r="AX23" i="34"/>
  <c r="AX27" i="34"/>
  <c r="AX32" i="34"/>
  <c r="AX36" i="34"/>
  <c r="AX40" i="34"/>
  <c r="AX44" i="34"/>
  <c r="AX48" i="34"/>
  <c r="AX56" i="34"/>
  <c r="AX57" i="34"/>
  <c r="AX59" i="34"/>
  <c r="AX61" i="34"/>
  <c r="AX63" i="34"/>
  <c r="AX65" i="34"/>
  <c r="AX67" i="34"/>
  <c r="AX69" i="34"/>
  <c r="AX73" i="34"/>
  <c r="AX60" i="34"/>
  <c r="AX62" i="34"/>
  <c r="AX79" i="34"/>
  <c r="AX83" i="34"/>
  <c r="AX85" i="34"/>
  <c r="AX87" i="34"/>
  <c r="AX89" i="34"/>
  <c r="AX93" i="34"/>
  <c r="AX95" i="34"/>
  <c r="AX97" i="34"/>
  <c r="AX86" i="34"/>
  <c r="AX88" i="34"/>
  <c r="AX90" i="34"/>
  <c r="AX92" i="34"/>
  <c r="AX94" i="34"/>
  <c r="AX96" i="34"/>
  <c r="AX98" i="34"/>
  <c r="AX100" i="34"/>
  <c r="AX102" i="34"/>
  <c r="AX104" i="34"/>
  <c r="AX106" i="34"/>
  <c r="AX108" i="34"/>
  <c r="AX103" i="34"/>
  <c r="AX105" i="34"/>
  <c r="AX107" i="34"/>
  <c r="AX109" i="34"/>
  <c r="AX113" i="34"/>
  <c r="AX119" i="34"/>
  <c r="AX122" i="34"/>
  <c r="AX126" i="34"/>
  <c r="AX121" i="34"/>
  <c r="AX129" i="34"/>
  <c r="AX133" i="34"/>
  <c r="AX132" i="34"/>
  <c r="AX136" i="34"/>
  <c r="AX135" i="34"/>
  <c r="AX137" i="34"/>
  <c r="AX10" i="34"/>
  <c r="AX8" i="34" s="1"/>
  <c r="AX14" i="34"/>
  <c r="AX18" i="34"/>
  <c r="AX22" i="34"/>
  <c r="AX26" i="34"/>
  <c r="AX31" i="34"/>
  <c r="AX35" i="34"/>
  <c r="AX39" i="34"/>
  <c r="AX43" i="34"/>
  <c r="AX47" i="34"/>
  <c r="AX13" i="34"/>
  <c r="AX17" i="34"/>
  <c r="AX21" i="34"/>
  <c r="AX25" i="34"/>
  <c r="AX30" i="34"/>
  <c r="AX34" i="34"/>
  <c r="AX38" i="34"/>
  <c r="AX42" i="34"/>
  <c r="AX46" i="34"/>
  <c r="AX50" i="34"/>
  <c r="AX52" i="34"/>
  <c r="AX54" i="34"/>
  <c r="AX71" i="34"/>
  <c r="AX75" i="34"/>
  <c r="AX77" i="34"/>
  <c r="AX58" i="34"/>
  <c r="AX64" i="34"/>
  <c r="AX66" i="34"/>
  <c r="AX68" i="34"/>
  <c r="AX70" i="34"/>
  <c r="AX72" i="34"/>
  <c r="AX74" i="34"/>
  <c r="AX76" i="34"/>
  <c r="AX81" i="34"/>
  <c r="AX91" i="34"/>
  <c r="AX99" i="34"/>
  <c r="AX78" i="34"/>
  <c r="AX80" i="34"/>
  <c r="AX82" i="34"/>
  <c r="AX84" i="34"/>
  <c r="AX110" i="34"/>
  <c r="AX101" i="34"/>
  <c r="AX111" i="34"/>
  <c r="AX115" i="34"/>
  <c r="AX117" i="34"/>
  <c r="AX112" i="34"/>
  <c r="AX114" i="34"/>
  <c r="AX116" i="34"/>
  <c r="AX118" i="34"/>
  <c r="AX120" i="34"/>
  <c r="AX124" i="34"/>
  <c r="AX123" i="34"/>
  <c r="AX125" i="34"/>
  <c r="AX127" i="34"/>
  <c r="AX131" i="34"/>
  <c r="AX128" i="34"/>
  <c r="AX130" i="34"/>
  <c r="AX134" i="34"/>
  <c r="AX138" i="34"/>
  <c r="AY133" i="34" l="1"/>
  <c r="AY130" i="34"/>
  <c r="AY98" i="34"/>
  <c r="AY96" i="34"/>
  <c r="AY94" i="34"/>
  <c r="AY76" i="34"/>
  <c r="AY48" i="34"/>
  <c r="AY46" i="34"/>
  <c r="AY44" i="34"/>
  <c r="AY42" i="34"/>
  <c r="AY40" i="34"/>
  <c r="AY38" i="34"/>
  <c r="AY36" i="34"/>
  <c r="AY34" i="34"/>
  <c r="AY32" i="34"/>
  <c r="AY30" i="34"/>
  <c r="AY27" i="34"/>
  <c r="AY25" i="34"/>
  <c r="AY23" i="34"/>
  <c r="AY21" i="34"/>
  <c r="AY19" i="34"/>
  <c r="AY17" i="34"/>
  <c r="AY15" i="34"/>
  <c r="AY13" i="34"/>
  <c r="AZ9" i="34"/>
  <c r="AY14" i="34"/>
  <c r="AY18" i="34"/>
  <c r="AY22" i="34"/>
  <c r="AY26" i="34"/>
  <c r="AY31" i="34"/>
  <c r="AY35" i="34"/>
  <c r="AY39" i="34"/>
  <c r="AY43" i="34"/>
  <c r="AY47" i="34"/>
  <c r="AY70" i="34"/>
  <c r="AY74" i="34"/>
  <c r="AY59" i="34"/>
  <c r="AY61" i="34"/>
  <c r="AY80" i="34"/>
  <c r="AY90" i="34"/>
  <c r="AY85" i="34"/>
  <c r="AY87" i="34"/>
  <c r="AY89" i="34"/>
  <c r="AY91" i="34"/>
  <c r="AY93" i="34"/>
  <c r="AY95" i="34"/>
  <c r="AY97" i="34"/>
  <c r="AY110" i="34"/>
  <c r="AY102" i="34"/>
  <c r="AY104" i="34"/>
  <c r="AY106" i="34"/>
  <c r="AY108" i="34"/>
  <c r="AY114" i="34"/>
  <c r="AY116" i="34"/>
  <c r="AY120" i="34"/>
  <c r="AY123" i="34"/>
  <c r="AY125" i="34"/>
  <c r="AY131" i="34"/>
  <c r="AY134" i="34"/>
  <c r="AY136" i="34"/>
  <c r="AY10" i="34"/>
  <c r="AY8" i="34" s="1"/>
  <c r="AY11" i="34"/>
  <c r="AY12" i="34"/>
  <c r="AY16" i="34"/>
  <c r="AY20" i="34"/>
  <c r="AY24" i="34"/>
  <c r="AY29" i="34"/>
  <c r="AY33" i="34"/>
  <c r="AY37" i="34"/>
  <c r="AY41" i="34"/>
  <c r="AY45" i="34"/>
  <c r="AY49" i="34"/>
  <c r="AY50" i="34"/>
  <c r="AY52" i="34"/>
  <c r="AY54" i="34"/>
  <c r="AY51" i="34"/>
  <c r="AY53" i="34"/>
  <c r="AY55" i="34"/>
  <c r="AY56" i="34"/>
  <c r="AY58" i="34"/>
  <c r="AY60" i="34"/>
  <c r="AY62" i="34"/>
  <c r="AY64" i="34"/>
  <c r="AY66" i="34"/>
  <c r="AY68" i="34"/>
  <c r="AY72" i="34"/>
  <c r="AY57" i="34"/>
  <c r="AY63" i="34"/>
  <c r="AY65" i="34"/>
  <c r="AY67" i="34"/>
  <c r="AY69" i="34"/>
  <c r="AY71" i="34"/>
  <c r="AY73" i="34"/>
  <c r="AY75" i="34"/>
  <c r="AY77" i="34"/>
  <c r="AY78" i="34"/>
  <c r="AY82" i="34"/>
  <c r="AY84" i="34"/>
  <c r="AY86" i="34"/>
  <c r="AY88" i="34"/>
  <c r="AY92" i="34"/>
  <c r="AY99" i="34"/>
  <c r="AY79" i="34"/>
  <c r="AY81" i="34"/>
  <c r="AY83" i="34"/>
  <c r="AY101" i="34"/>
  <c r="AY103" i="34"/>
  <c r="AY105" i="34"/>
  <c r="AY107" i="34"/>
  <c r="AY109" i="34"/>
  <c r="AY100" i="34"/>
  <c r="AY112" i="34"/>
  <c r="AY118" i="34"/>
  <c r="AY111" i="34"/>
  <c r="AY113" i="34"/>
  <c r="AY115" i="34"/>
  <c r="AY117" i="34"/>
  <c r="AY119" i="34"/>
  <c r="AY121" i="34"/>
  <c r="AY122" i="34"/>
  <c r="AY124" i="34"/>
  <c r="AY126" i="34"/>
  <c r="AY128" i="34"/>
  <c r="AY127" i="34"/>
  <c r="AY129" i="34"/>
  <c r="AY132" i="34"/>
  <c r="AY135" i="34"/>
  <c r="AY137" i="34"/>
  <c r="AY138" i="34"/>
  <c r="BA9" i="34" l="1"/>
  <c r="AZ18" i="34"/>
  <c r="AZ22" i="34"/>
  <c r="AZ24" i="34"/>
  <c r="AZ26" i="34"/>
  <c r="AZ49" i="34"/>
  <c r="AZ10" i="34"/>
  <c r="AZ8" i="34" s="1"/>
  <c r="AZ13" i="34"/>
  <c r="AZ17" i="34"/>
  <c r="AZ21" i="34"/>
  <c r="AZ25" i="34"/>
  <c r="AZ30" i="34"/>
  <c r="AZ34" i="34"/>
  <c r="AZ38" i="34"/>
  <c r="AZ42" i="34"/>
  <c r="AZ46" i="34"/>
  <c r="AZ50" i="34"/>
  <c r="AZ52" i="34"/>
  <c r="AZ54" i="34"/>
  <c r="AZ71" i="34"/>
  <c r="AZ75" i="34"/>
  <c r="AZ77" i="34"/>
  <c r="AZ58" i="34"/>
  <c r="AZ64" i="34"/>
  <c r="AZ66" i="34"/>
  <c r="AZ68" i="34"/>
  <c r="AZ70" i="34"/>
  <c r="AZ72" i="34"/>
  <c r="AZ74" i="34"/>
  <c r="AZ76" i="34"/>
  <c r="AZ81" i="34"/>
  <c r="AZ91" i="34"/>
  <c r="AZ99" i="34"/>
  <c r="AZ78" i="34"/>
  <c r="AZ80" i="34"/>
  <c r="AZ82" i="34"/>
  <c r="AZ84" i="34"/>
  <c r="AZ110" i="34"/>
  <c r="AZ101" i="34"/>
  <c r="AZ111" i="34"/>
  <c r="AZ115" i="34"/>
  <c r="AZ117" i="34"/>
  <c r="AZ112" i="34"/>
  <c r="AZ114" i="34"/>
  <c r="AZ116" i="34"/>
  <c r="AZ118" i="34"/>
  <c r="AZ120" i="34"/>
  <c r="AZ124" i="34"/>
  <c r="AZ123" i="34"/>
  <c r="AZ125" i="34"/>
  <c r="AZ127" i="34"/>
  <c r="AZ131" i="34"/>
  <c r="AZ128" i="34"/>
  <c r="AZ130" i="34"/>
  <c r="AZ134" i="34"/>
  <c r="AZ11" i="34"/>
  <c r="AZ12" i="34"/>
  <c r="AZ14" i="34"/>
  <c r="AZ16" i="34"/>
  <c r="AZ20" i="34"/>
  <c r="AZ29" i="34"/>
  <c r="AZ31" i="34"/>
  <c r="AZ33" i="34"/>
  <c r="AZ35" i="34"/>
  <c r="AZ37" i="34"/>
  <c r="AZ39" i="34"/>
  <c r="AZ41" i="34"/>
  <c r="AZ43" i="34"/>
  <c r="AZ45" i="34"/>
  <c r="AZ47" i="34"/>
  <c r="AZ51" i="34"/>
  <c r="AZ53" i="34"/>
  <c r="AZ55" i="34"/>
  <c r="AZ15" i="34"/>
  <c r="AZ19" i="34"/>
  <c r="AZ23" i="34"/>
  <c r="AZ27" i="34"/>
  <c r="AZ32" i="34"/>
  <c r="AZ36" i="34"/>
  <c r="AZ40" i="34"/>
  <c r="AZ44" i="34"/>
  <c r="AZ48" i="34"/>
  <c r="AZ56" i="34"/>
  <c r="AZ57" i="34"/>
  <c r="AZ59" i="34"/>
  <c r="AZ61" i="34"/>
  <c r="AZ63" i="34"/>
  <c r="AZ65" i="34"/>
  <c r="AZ67" i="34"/>
  <c r="AZ69" i="34"/>
  <c r="AZ73" i="34"/>
  <c r="AZ60" i="34"/>
  <c r="AZ62" i="34"/>
  <c r="AZ79" i="34"/>
  <c r="AZ83" i="34"/>
  <c r="AZ85" i="34"/>
  <c r="AZ87" i="34"/>
  <c r="AZ89" i="34"/>
  <c r="AZ93" i="34"/>
  <c r="AZ95" i="34"/>
  <c r="AZ97" i="34"/>
  <c r="AZ86" i="34"/>
  <c r="AZ88" i="34"/>
  <c r="AZ90" i="34"/>
  <c r="AZ92" i="34"/>
  <c r="AZ94" i="34"/>
  <c r="AZ96" i="34"/>
  <c r="AZ98" i="34"/>
  <c r="AZ100" i="34"/>
  <c r="AZ102" i="34"/>
  <c r="AZ104" i="34"/>
  <c r="AZ106" i="34"/>
  <c r="AZ108" i="34"/>
  <c r="AZ103" i="34"/>
  <c r="AZ105" i="34"/>
  <c r="AZ107" i="34"/>
  <c r="AZ109" i="34"/>
  <c r="AZ113" i="34"/>
  <c r="AZ119" i="34"/>
  <c r="AZ122" i="34"/>
  <c r="AZ126" i="34"/>
  <c r="AZ121" i="34"/>
  <c r="AZ129" i="34"/>
  <c r="AZ133" i="34"/>
  <c r="AZ132" i="34"/>
  <c r="AZ136" i="34"/>
  <c r="AZ135" i="34"/>
  <c r="AZ137" i="34"/>
  <c r="AZ138" i="34"/>
  <c r="BA133" i="34" l="1"/>
  <c r="BA130" i="34"/>
  <c r="BA98" i="34"/>
  <c r="BA96" i="34"/>
  <c r="BA94" i="34"/>
  <c r="BA76" i="34"/>
  <c r="BA48" i="34"/>
  <c r="BA46" i="34"/>
  <c r="BA44" i="34"/>
  <c r="BA42" i="34"/>
  <c r="BA40" i="34"/>
  <c r="BA38" i="34"/>
  <c r="BA36" i="34"/>
  <c r="BA34" i="34"/>
  <c r="BA32" i="34"/>
  <c r="BA30" i="34"/>
  <c r="BA27" i="34"/>
  <c r="BA25" i="34"/>
  <c r="BA23" i="34"/>
  <c r="BA21" i="34"/>
  <c r="BA19" i="34"/>
  <c r="BA17" i="34"/>
  <c r="BA15" i="34"/>
  <c r="BA13" i="34"/>
  <c r="BB9" i="34"/>
  <c r="BA10" i="34"/>
  <c r="BA8" i="34" s="1"/>
  <c r="BA11" i="34"/>
  <c r="BA12" i="34"/>
  <c r="BA16" i="34"/>
  <c r="BA20" i="34"/>
  <c r="BA24" i="34"/>
  <c r="BA29" i="34"/>
  <c r="BA33" i="34"/>
  <c r="BA37" i="34"/>
  <c r="BA41" i="34"/>
  <c r="BA45" i="34"/>
  <c r="BA49" i="34"/>
  <c r="BA50" i="34"/>
  <c r="BA52" i="34"/>
  <c r="BA54" i="34"/>
  <c r="BA51" i="34"/>
  <c r="BA53" i="34"/>
  <c r="BA55" i="34"/>
  <c r="BA56" i="34"/>
  <c r="BA58" i="34"/>
  <c r="BA60" i="34"/>
  <c r="BA62" i="34"/>
  <c r="BA64" i="34"/>
  <c r="BA66" i="34"/>
  <c r="BA68" i="34"/>
  <c r="BA72" i="34"/>
  <c r="BA57" i="34"/>
  <c r="BA63" i="34"/>
  <c r="BA65" i="34"/>
  <c r="BA67" i="34"/>
  <c r="BA69" i="34"/>
  <c r="BA71" i="34"/>
  <c r="BA73" i="34"/>
  <c r="BA75" i="34"/>
  <c r="BA77" i="34"/>
  <c r="BA78" i="34"/>
  <c r="BA82" i="34"/>
  <c r="BA84" i="34"/>
  <c r="BA86" i="34"/>
  <c r="BA88" i="34"/>
  <c r="BA92" i="34"/>
  <c r="BA99" i="34"/>
  <c r="BA79" i="34"/>
  <c r="BA81" i="34"/>
  <c r="BA83" i="34"/>
  <c r="BA101" i="34"/>
  <c r="BA103" i="34"/>
  <c r="BA105" i="34"/>
  <c r="BA107" i="34"/>
  <c r="BA109" i="34"/>
  <c r="BA100" i="34"/>
  <c r="BA112" i="34"/>
  <c r="BA118" i="34"/>
  <c r="BA111" i="34"/>
  <c r="BA113" i="34"/>
  <c r="BA115" i="34"/>
  <c r="BA117" i="34"/>
  <c r="BA119" i="34"/>
  <c r="BA121" i="34"/>
  <c r="BA122" i="34"/>
  <c r="BA124" i="34"/>
  <c r="BA128" i="34"/>
  <c r="BA127" i="34"/>
  <c r="BA129" i="34"/>
  <c r="BA132" i="34"/>
  <c r="BA135" i="34"/>
  <c r="BA137" i="34"/>
  <c r="BA14" i="34"/>
  <c r="BA18" i="34"/>
  <c r="BA22" i="34"/>
  <c r="BA26" i="34"/>
  <c r="BA31" i="34"/>
  <c r="BA35" i="34"/>
  <c r="BA39" i="34"/>
  <c r="BA43" i="34"/>
  <c r="BA47" i="34"/>
  <c r="BA70" i="34"/>
  <c r="BA74" i="34"/>
  <c r="BA59" i="34"/>
  <c r="BA61" i="34"/>
  <c r="BA80" i="34"/>
  <c r="BA90" i="34"/>
  <c r="BA85" i="34"/>
  <c r="BA87" i="34"/>
  <c r="BA89" i="34"/>
  <c r="BA91" i="34"/>
  <c r="BA93" i="34"/>
  <c r="BA95" i="34"/>
  <c r="BA97" i="34"/>
  <c r="BA110" i="34"/>
  <c r="BA102" i="34"/>
  <c r="BA104" i="34"/>
  <c r="BA106" i="34"/>
  <c r="BA108" i="34"/>
  <c r="BA114" i="34"/>
  <c r="BA116" i="34"/>
  <c r="BA120" i="34"/>
  <c r="BA123" i="34"/>
  <c r="BA125" i="34"/>
  <c r="BA126" i="34"/>
  <c r="BA131" i="34"/>
  <c r="BA134" i="34"/>
  <c r="BA136" i="34"/>
  <c r="BA138" i="34"/>
  <c r="BC9" i="34" l="1"/>
  <c r="BB11" i="34"/>
  <c r="BB14" i="34"/>
  <c r="BB18" i="34"/>
  <c r="BB22" i="34"/>
  <c r="BB26" i="34"/>
  <c r="BB31" i="34"/>
  <c r="BB35" i="34"/>
  <c r="BB39" i="34"/>
  <c r="BB43" i="34"/>
  <c r="BB47" i="34"/>
  <c r="BB51" i="34"/>
  <c r="BB53" i="34"/>
  <c r="BB55" i="34"/>
  <c r="BB15" i="34"/>
  <c r="BB19" i="34"/>
  <c r="BB23" i="34"/>
  <c r="BB27" i="34"/>
  <c r="BB32" i="34"/>
  <c r="BB36" i="34"/>
  <c r="BB40" i="34"/>
  <c r="BB44" i="34"/>
  <c r="BB48" i="34"/>
  <c r="BB56" i="34"/>
  <c r="BB57" i="34"/>
  <c r="BB59" i="34"/>
  <c r="BB61" i="34"/>
  <c r="BB63" i="34"/>
  <c r="BB65" i="34"/>
  <c r="BB67" i="34"/>
  <c r="BB69" i="34"/>
  <c r="BB73" i="34"/>
  <c r="BB60" i="34"/>
  <c r="BB62" i="34"/>
  <c r="BB79" i="34"/>
  <c r="BB83" i="34"/>
  <c r="BB85" i="34"/>
  <c r="BB87" i="34"/>
  <c r="BB89" i="34"/>
  <c r="BB93" i="34"/>
  <c r="BB95" i="34"/>
  <c r="BB97" i="34"/>
  <c r="BB86" i="34"/>
  <c r="BB88" i="34"/>
  <c r="BB90" i="34"/>
  <c r="BB92" i="34"/>
  <c r="BB94" i="34"/>
  <c r="BB96" i="34"/>
  <c r="BB98" i="34"/>
  <c r="BB100" i="34"/>
  <c r="BB102" i="34"/>
  <c r="BB104" i="34"/>
  <c r="BB106" i="34"/>
  <c r="BB108" i="34"/>
  <c r="BB103" i="34"/>
  <c r="BB105" i="34"/>
  <c r="BB107" i="34"/>
  <c r="BB109" i="34"/>
  <c r="BB113" i="34"/>
  <c r="BB119" i="34"/>
  <c r="BB122" i="34"/>
  <c r="BB126" i="34"/>
  <c r="BB121" i="34"/>
  <c r="BB129" i="34"/>
  <c r="BB133" i="34"/>
  <c r="BB132" i="34"/>
  <c r="BB136" i="34"/>
  <c r="BB135" i="34"/>
  <c r="BB137" i="34"/>
  <c r="BB138" i="34"/>
  <c r="BB10" i="34"/>
  <c r="BB8" i="34" s="1"/>
  <c r="BB12" i="34"/>
  <c r="BB16" i="34"/>
  <c r="BB20" i="34"/>
  <c r="BB24" i="34"/>
  <c r="BB29" i="34"/>
  <c r="BB33" i="34"/>
  <c r="BB37" i="34"/>
  <c r="BB41" i="34"/>
  <c r="BB45" i="34"/>
  <c r="BB49" i="34"/>
  <c r="BB13" i="34"/>
  <c r="BB17" i="34"/>
  <c r="BB21" i="34"/>
  <c r="BB25" i="34"/>
  <c r="BB30" i="34"/>
  <c r="BB34" i="34"/>
  <c r="BB38" i="34"/>
  <c r="BB42" i="34"/>
  <c r="BB46" i="34"/>
  <c r="BB50" i="34"/>
  <c r="BB52" i="34"/>
  <c r="BB54" i="34"/>
  <c r="BB71" i="34"/>
  <c r="BB75" i="34"/>
  <c r="BB77" i="34"/>
  <c r="BB58" i="34"/>
  <c r="BB64" i="34"/>
  <c r="BB66" i="34"/>
  <c r="BB68" i="34"/>
  <c r="BB70" i="34"/>
  <c r="BB72" i="34"/>
  <c r="BB74" i="34"/>
  <c r="BB76" i="34"/>
  <c r="BB81" i="34"/>
  <c r="BB91" i="34"/>
  <c r="BB99" i="34"/>
  <c r="BB78" i="34"/>
  <c r="BB80" i="34"/>
  <c r="BB82" i="34"/>
  <c r="BB84" i="34"/>
  <c r="BB110" i="34"/>
  <c r="BB101" i="34"/>
  <c r="BB111" i="34"/>
  <c r="BB115" i="34"/>
  <c r="BB117" i="34"/>
  <c r="BB112" i="34"/>
  <c r="BB114" i="34"/>
  <c r="BB116" i="34"/>
  <c r="BB118" i="34"/>
  <c r="BB120" i="34"/>
  <c r="BB124" i="34"/>
  <c r="BB123" i="34"/>
  <c r="BB125" i="34"/>
  <c r="BB127" i="34"/>
  <c r="BB131" i="34"/>
  <c r="BB128" i="34"/>
  <c r="BB130" i="34"/>
  <c r="BB134" i="34"/>
  <c r="BC133" i="34" l="1"/>
  <c r="BC130" i="34"/>
  <c r="BC98" i="34"/>
  <c r="BC96" i="34"/>
  <c r="BC94" i="34"/>
  <c r="BC76" i="34"/>
  <c r="BC48" i="34"/>
  <c r="BC46" i="34"/>
  <c r="BC44" i="34"/>
  <c r="BC42" i="34"/>
  <c r="BC40" i="34"/>
  <c r="BC38" i="34"/>
  <c r="BC36" i="34"/>
  <c r="BC34" i="34"/>
  <c r="BC32" i="34"/>
  <c r="BC30" i="34"/>
  <c r="BC27" i="34"/>
  <c r="BC25" i="34"/>
  <c r="BC23" i="34"/>
  <c r="BC21" i="34"/>
  <c r="BC19" i="34"/>
  <c r="BC17" i="34"/>
  <c r="BC15" i="34"/>
  <c r="BC13" i="34"/>
  <c r="BD9" i="34"/>
  <c r="BC14" i="34"/>
  <c r="BC18" i="34"/>
  <c r="BC22" i="34"/>
  <c r="BC26" i="34"/>
  <c r="BC31" i="34"/>
  <c r="BC35" i="34"/>
  <c r="BC39" i="34"/>
  <c r="BC43" i="34"/>
  <c r="BC47" i="34"/>
  <c r="BC70" i="34"/>
  <c r="BC74" i="34"/>
  <c r="BC59" i="34"/>
  <c r="BC61" i="34"/>
  <c r="BC80" i="34"/>
  <c r="BC90" i="34"/>
  <c r="BC85" i="34"/>
  <c r="BC87" i="34"/>
  <c r="BC89" i="34"/>
  <c r="BC91" i="34"/>
  <c r="BC93" i="34"/>
  <c r="BC95" i="34"/>
  <c r="BC97" i="34"/>
  <c r="BC110" i="34"/>
  <c r="BC102" i="34"/>
  <c r="BC104" i="34"/>
  <c r="BC106" i="34"/>
  <c r="BC108" i="34"/>
  <c r="BC114" i="34"/>
  <c r="BC116" i="34"/>
  <c r="BC120" i="34"/>
  <c r="BC123" i="34"/>
  <c r="BC125" i="34"/>
  <c r="BC126" i="34"/>
  <c r="BC134" i="34"/>
  <c r="BC136" i="34"/>
  <c r="BC10" i="34"/>
  <c r="BC8" i="34" s="1"/>
  <c r="BC11" i="34"/>
  <c r="BC12" i="34"/>
  <c r="BC16" i="34"/>
  <c r="BC20" i="34"/>
  <c r="BC24" i="34"/>
  <c r="BC29" i="34"/>
  <c r="BC33" i="34"/>
  <c r="BC37" i="34"/>
  <c r="BC41" i="34"/>
  <c r="BC45" i="34"/>
  <c r="BC49" i="34"/>
  <c r="BC50" i="34"/>
  <c r="BC52" i="34"/>
  <c r="BC54" i="34"/>
  <c r="BC51" i="34"/>
  <c r="BC53" i="34"/>
  <c r="BC55" i="34"/>
  <c r="BC56" i="34"/>
  <c r="BC58" i="34"/>
  <c r="BC60" i="34"/>
  <c r="BC62" i="34"/>
  <c r="BC64" i="34"/>
  <c r="BC66" i="34"/>
  <c r="BC68" i="34"/>
  <c r="BC72" i="34"/>
  <c r="BC57" i="34"/>
  <c r="BC63" i="34"/>
  <c r="BC65" i="34"/>
  <c r="BC67" i="34"/>
  <c r="BC69" i="34"/>
  <c r="BC71" i="34"/>
  <c r="BC73" i="34"/>
  <c r="BC75" i="34"/>
  <c r="BC77" i="34"/>
  <c r="BC78" i="34"/>
  <c r="BC82" i="34"/>
  <c r="BC84" i="34"/>
  <c r="BC86" i="34"/>
  <c r="BC88" i="34"/>
  <c r="BC92" i="34"/>
  <c r="BC99" i="34"/>
  <c r="BC79" i="34"/>
  <c r="BC81" i="34"/>
  <c r="BC83" i="34"/>
  <c r="BC101" i="34"/>
  <c r="BC103" i="34"/>
  <c r="BC105" i="34"/>
  <c r="BC107" i="34"/>
  <c r="BC109" i="34"/>
  <c r="BC100" i="34"/>
  <c r="BC112" i="34"/>
  <c r="BC118" i="34"/>
  <c r="BC111" i="34"/>
  <c r="BC113" i="34"/>
  <c r="BC115" i="34"/>
  <c r="BC117" i="34"/>
  <c r="BC119" i="34"/>
  <c r="BC121" i="34"/>
  <c r="BC122" i="34"/>
  <c r="BC124" i="34"/>
  <c r="BC128" i="34"/>
  <c r="BC131" i="34"/>
  <c r="BC127" i="34"/>
  <c r="BC129" i="34"/>
  <c r="BC132" i="34"/>
  <c r="BC135" i="34"/>
  <c r="BC137" i="34"/>
  <c r="BC138" i="34"/>
  <c r="BE9" i="34" l="1"/>
  <c r="BD12" i="34"/>
  <c r="BD14" i="34"/>
  <c r="BD16" i="34"/>
  <c r="BD20" i="34"/>
  <c r="BD29" i="34"/>
  <c r="BD31" i="34"/>
  <c r="BD33" i="34"/>
  <c r="BD35" i="34"/>
  <c r="BD37" i="34"/>
  <c r="BD39" i="34"/>
  <c r="BD41" i="34"/>
  <c r="BD43" i="34"/>
  <c r="BD45" i="34"/>
  <c r="BD47" i="34"/>
  <c r="BD10" i="34"/>
  <c r="BD8" i="34" s="1"/>
  <c r="BD13" i="34"/>
  <c r="BD17" i="34"/>
  <c r="BD21" i="34"/>
  <c r="BD25" i="34"/>
  <c r="BD30" i="34"/>
  <c r="BD34" i="34"/>
  <c r="BD38" i="34"/>
  <c r="BD42" i="34"/>
  <c r="BD46" i="34"/>
  <c r="BD50" i="34"/>
  <c r="BD52" i="34"/>
  <c r="BD54" i="34"/>
  <c r="BD71" i="34"/>
  <c r="BD75" i="34"/>
  <c r="BD77" i="34"/>
  <c r="BD58" i="34"/>
  <c r="BD64" i="34"/>
  <c r="BD66" i="34"/>
  <c r="BD68" i="34"/>
  <c r="BD70" i="34"/>
  <c r="BD72" i="34"/>
  <c r="BD74" i="34"/>
  <c r="BD76" i="34"/>
  <c r="BD81" i="34"/>
  <c r="BD91" i="34"/>
  <c r="BD99" i="34"/>
  <c r="BD78" i="34"/>
  <c r="BD80" i="34"/>
  <c r="BD82" i="34"/>
  <c r="BD84" i="34"/>
  <c r="BD110" i="34"/>
  <c r="BD101" i="34"/>
  <c r="BD111" i="34"/>
  <c r="BD115" i="34"/>
  <c r="BD117" i="34"/>
  <c r="BD112" i="34"/>
  <c r="BD114" i="34"/>
  <c r="BD116" i="34"/>
  <c r="BD118" i="34"/>
  <c r="BD120" i="34"/>
  <c r="BD124" i="34"/>
  <c r="BD123" i="34"/>
  <c r="BD125" i="34"/>
  <c r="BD127" i="34"/>
  <c r="BD131" i="34"/>
  <c r="BD128" i="34"/>
  <c r="BD130" i="34"/>
  <c r="BD134" i="34"/>
  <c r="BD11" i="34"/>
  <c r="BD18" i="34"/>
  <c r="BD22" i="34"/>
  <c r="BD24" i="34"/>
  <c r="BD26" i="34"/>
  <c r="BD49" i="34"/>
  <c r="BD51" i="34"/>
  <c r="BD53" i="34"/>
  <c r="BD55" i="34"/>
  <c r="BD15" i="34"/>
  <c r="BD19" i="34"/>
  <c r="BD23" i="34"/>
  <c r="BD27" i="34"/>
  <c r="BD32" i="34"/>
  <c r="BD36" i="34"/>
  <c r="BD40" i="34"/>
  <c r="BD44" i="34"/>
  <c r="BD48" i="34"/>
  <c r="BD56" i="34"/>
  <c r="BD57" i="34"/>
  <c r="BD59" i="34"/>
  <c r="BD61" i="34"/>
  <c r="BD63" i="34"/>
  <c r="BD65" i="34"/>
  <c r="BD67" i="34"/>
  <c r="BD69" i="34"/>
  <c r="BD73" i="34"/>
  <c r="BD60" i="34"/>
  <c r="BD62" i="34"/>
  <c r="BD79" i="34"/>
  <c r="BD83" i="34"/>
  <c r="BD85" i="34"/>
  <c r="BD87" i="34"/>
  <c r="BD89" i="34"/>
  <c r="BD93" i="34"/>
  <c r="BD95" i="34"/>
  <c r="BD97" i="34"/>
  <c r="BD86" i="34"/>
  <c r="BD88" i="34"/>
  <c r="BD90" i="34"/>
  <c r="BD92" i="34"/>
  <c r="BD94" i="34"/>
  <c r="BD96" i="34"/>
  <c r="BD98" i="34"/>
  <c r="BD100" i="34"/>
  <c r="BD102" i="34"/>
  <c r="BD104" i="34"/>
  <c r="BD106" i="34"/>
  <c r="BD108" i="34"/>
  <c r="BD103" i="34"/>
  <c r="BD105" i="34"/>
  <c r="BD107" i="34"/>
  <c r="BD109" i="34"/>
  <c r="BD113" i="34"/>
  <c r="BD119" i="34"/>
  <c r="BD122" i="34"/>
  <c r="BD126" i="34"/>
  <c r="BD121" i="34"/>
  <c r="BD129" i="34"/>
  <c r="BD133" i="34"/>
  <c r="BD132" i="34"/>
  <c r="BD136" i="34"/>
  <c r="BD135" i="34"/>
  <c r="BD137" i="34"/>
  <c r="BD138" i="34"/>
  <c r="BE133" i="34" l="1"/>
  <c r="BE130" i="34"/>
  <c r="BE98" i="34"/>
  <c r="BE96" i="34"/>
  <c r="BE94" i="34"/>
  <c r="BE76" i="34"/>
  <c r="BE48" i="34"/>
  <c r="BE46" i="34"/>
  <c r="BE44" i="34"/>
  <c r="BE42" i="34"/>
  <c r="BE40" i="34"/>
  <c r="BE38" i="34"/>
  <c r="BE36" i="34"/>
  <c r="BE34" i="34"/>
  <c r="BE32" i="34"/>
  <c r="BE30" i="34"/>
  <c r="BE27" i="34"/>
  <c r="BE25" i="34"/>
  <c r="BE23" i="34"/>
  <c r="BE21" i="34"/>
  <c r="BE19" i="34"/>
  <c r="BE17" i="34"/>
  <c r="BE15" i="34"/>
  <c r="BE13" i="34"/>
  <c r="BF9" i="34"/>
  <c r="BE10" i="34"/>
  <c r="BE8" i="34" s="1"/>
  <c r="BE11" i="34"/>
  <c r="BE12" i="34"/>
  <c r="BE16" i="34"/>
  <c r="BE20" i="34"/>
  <c r="BE24" i="34"/>
  <c r="BE29" i="34"/>
  <c r="BE33" i="34"/>
  <c r="BE37" i="34"/>
  <c r="BE41" i="34"/>
  <c r="BE45" i="34"/>
  <c r="BE49" i="34"/>
  <c r="BE50" i="34"/>
  <c r="BE52" i="34"/>
  <c r="BE54" i="34"/>
  <c r="BE51" i="34"/>
  <c r="BE53" i="34"/>
  <c r="BE55" i="34"/>
  <c r="BE56" i="34"/>
  <c r="BE58" i="34"/>
  <c r="BE60" i="34"/>
  <c r="BE62" i="34"/>
  <c r="BE64" i="34"/>
  <c r="BE66" i="34"/>
  <c r="BE68" i="34"/>
  <c r="BE72" i="34"/>
  <c r="BE57" i="34"/>
  <c r="BE63" i="34"/>
  <c r="BE65" i="34"/>
  <c r="BE67" i="34"/>
  <c r="BE69" i="34"/>
  <c r="BE71" i="34"/>
  <c r="BE73" i="34"/>
  <c r="BE75" i="34"/>
  <c r="BE77" i="34"/>
  <c r="BE78" i="34"/>
  <c r="BE82" i="34"/>
  <c r="BE84" i="34"/>
  <c r="BE86" i="34"/>
  <c r="BE88" i="34"/>
  <c r="BE92" i="34"/>
  <c r="BE99" i="34"/>
  <c r="BE79" i="34"/>
  <c r="BE81" i="34"/>
  <c r="BE83" i="34"/>
  <c r="BE101" i="34"/>
  <c r="BE103" i="34"/>
  <c r="BE105" i="34"/>
  <c r="BE107" i="34"/>
  <c r="BE109" i="34"/>
  <c r="BE100" i="34"/>
  <c r="BE112" i="34"/>
  <c r="BE118" i="34"/>
  <c r="BE111" i="34"/>
  <c r="BE113" i="34"/>
  <c r="BE115" i="34"/>
  <c r="BE117" i="34"/>
  <c r="BE119" i="34"/>
  <c r="BE121" i="34"/>
  <c r="BE122" i="34"/>
  <c r="BE124" i="34"/>
  <c r="BE128" i="34"/>
  <c r="BE127" i="34"/>
  <c r="BE129" i="34"/>
  <c r="BE131" i="34"/>
  <c r="BE132" i="34"/>
  <c r="BE135" i="34"/>
  <c r="BE137" i="34"/>
  <c r="BE138" i="34"/>
  <c r="BE14" i="34"/>
  <c r="BE18" i="34"/>
  <c r="BE22" i="34"/>
  <c r="BE26" i="34"/>
  <c r="BE31" i="34"/>
  <c r="BE35" i="34"/>
  <c r="BE39" i="34"/>
  <c r="BE43" i="34"/>
  <c r="BE47" i="34"/>
  <c r="BE70" i="34"/>
  <c r="BE74" i="34"/>
  <c r="BE59" i="34"/>
  <c r="BE61" i="34"/>
  <c r="BE80" i="34"/>
  <c r="BE90" i="34"/>
  <c r="BE85" i="34"/>
  <c r="BE87" i="34"/>
  <c r="BE89" i="34"/>
  <c r="BE91" i="34"/>
  <c r="BE93" i="34"/>
  <c r="BE95" i="34"/>
  <c r="BE97" i="34"/>
  <c r="BE110" i="34"/>
  <c r="BE102" i="34"/>
  <c r="BE104" i="34"/>
  <c r="BE106" i="34"/>
  <c r="BE108" i="34"/>
  <c r="BE114" i="34"/>
  <c r="BE116" i="34"/>
  <c r="BE120" i="34"/>
  <c r="BE123" i="34"/>
  <c r="BE125" i="34"/>
  <c r="BE126" i="34"/>
  <c r="BE134" i="34"/>
  <c r="BE136" i="34"/>
  <c r="BG9" i="34" l="1"/>
  <c r="BF11" i="34"/>
  <c r="BF12" i="34"/>
  <c r="BF16" i="34"/>
  <c r="BF20" i="34"/>
  <c r="BF24" i="34"/>
  <c r="BF29" i="34"/>
  <c r="BF33" i="34"/>
  <c r="BF37" i="34"/>
  <c r="BF41" i="34"/>
  <c r="BF45" i="34"/>
  <c r="BF49" i="34"/>
  <c r="BF51" i="34"/>
  <c r="BF53" i="34"/>
  <c r="BF55" i="34"/>
  <c r="BF15" i="34"/>
  <c r="BF19" i="34"/>
  <c r="BF23" i="34"/>
  <c r="BF27" i="34"/>
  <c r="BF32" i="34"/>
  <c r="BF36" i="34"/>
  <c r="BF40" i="34"/>
  <c r="BF44" i="34"/>
  <c r="BF48" i="34"/>
  <c r="BF56" i="34"/>
  <c r="BF57" i="34"/>
  <c r="BF59" i="34"/>
  <c r="BF61" i="34"/>
  <c r="BF63" i="34"/>
  <c r="BF65" i="34"/>
  <c r="BF67" i="34"/>
  <c r="BF69" i="34"/>
  <c r="BF73" i="34"/>
  <c r="BF60" i="34"/>
  <c r="BF62" i="34"/>
  <c r="BF79" i="34"/>
  <c r="BF83" i="34"/>
  <c r="BF85" i="34"/>
  <c r="BF87" i="34"/>
  <c r="BF89" i="34"/>
  <c r="BF93" i="34"/>
  <c r="BF95" i="34"/>
  <c r="BF97" i="34"/>
  <c r="BF86" i="34"/>
  <c r="BF88" i="34"/>
  <c r="BF90" i="34"/>
  <c r="BF92" i="34"/>
  <c r="BF94" i="34"/>
  <c r="BF96" i="34"/>
  <c r="BF98" i="34"/>
  <c r="BF100" i="34"/>
  <c r="BF102" i="34"/>
  <c r="BF104" i="34"/>
  <c r="BF106" i="34"/>
  <c r="BF108" i="34"/>
  <c r="BF103" i="34"/>
  <c r="BF105" i="34"/>
  <c r="BF107" i="34"/>
  <c r="BF109" i="34"/>
  <c r="BF113" i="34"/>
  <c r="BF119" i="34"/>
  <c r="BF122" i="34"/>
  <c r="BF126" i="34"/>
  <c r="BF121" i="34"/>
  <c r="BF129" i="34"/>
  <c r="BF133" i="34"/>
  <c r="BF132" i="34"/>
  <c r="BF136" i="34"/>
  <c r="BF135" i="34"/>
  <c r="BF137" i="34"/>
  <c r="BF10" i="34"/>
  <c r="BF8" i="34" s="1"/>
  <c r="BF14" i="34"/>
  <c r="BF18" i="34"/>
  <c r="BF22" i="34"/>
  <c r="BF26" i="34"/>
  <c r="BF31" i="34"/>
  <c r="BF35" i="34"/>
  <c r="BF39" i="34"/>
  <c r="BF43" i="34"/>
  <c r="BF47" i="34"/>
  <c r="BF13" i="34"/>
  <c r="BF17" i="34"/>
  <c r="BF21" i="34"/>
  <c r="BF25" i="34"/>
  <c r="BF30" i="34"/>
  <c r="BF34" i="34"/>
  <c r="BF38" i="34"/>
  <c r="BF42" i="34"/>
  <c r="BF46" i="34"/>
  <c r="BF50" i="34"/>
  <c r="BF52" i="34"/>
  <c r="BF54" i="34"/>
  <c r="BF71" i="34"/>
  <c r="BF75" i="34"/>
  <c r="BF77" i="34"/>
  <c r="BF58" i="34"/>
  <c r="BF64" i="34"/>
  <c r="BF66" i="34"/>
  <c r="BF68" i="34"/>
  <c r="BF70" i="34"/>
  <c r="BF72" i="34"/>
  <c r="BF74" i="34"/>
  <c r="BF76" i="34"/>
  <c r="BF81" i="34"/>
  <c r="BF91" i="34"/>
  <c r="BF99" i="34"/>
  <c r="BF78" i="34"/>
  <c r="BF80" i="34"/>
  <c r="BF82" i="34"/>
  <c r="BF84" i="34"/>
  <c r="BF110" i="34"/>
  <c r="BF101" i="34"/>
  <c r="BF111" i="34"/>
  <c r="BF115" i="34"/>
  <c r="BF117" i="34"/>
  <c r="BF112" i="34"/>
  <c r="BF114" i="34"/>
  <c r="BF116" i="34"/>
  <c r="BF118" i="34"/>
  <c r="BF120" i="34"/>
  <c r="BF124" i="34"/>
  <c r="BF123" i="34"/>
  <c r="BF125" i="34"/>
  <c r="BF127" i="34"/>
  <c r="BF131" i="34"/>
  <c r="BF128" i="34"/>
  <c r="BF130" i="34"/>
  <c r="BF134" i="34"/>
  <c r="BF138" i="34"/>
  <c r="BG133" i="34" l="1"/>
  <c r="BG130" i="34"/>
  <c r="BG98" i="34"/>
  <c r="BG96" i="34"/>
  <c r="BG94" i="34"/>
  <c r="BG76" i="34"/>
  <c r="BG48" i="34"/>
  <c r="BG46" i="34"/>
  <c r="BG44" i="34"/>
  <c r="BG42" i="34"/>
  <c r="BG40" i="34"/>
  <c r="BG38" i="34"/>
  <c r="BG36" i="34"/>
  <c r="BG34" i="34"/>
  <c r="BG32" i="34"/>
  <c r="BG30" i="34"/>
  <c r="BG27" i="34"/>
  <c r="BG25" i="34"/>
  <c r="BG23" i="34"/>
  <c r="BG21" i="34"/>
  <c r="BG19" i="34"/>
  <c r="BG17" i="34"/>
  <c r="BG15" i="34"/>
  <c r="BG13" i="34"/>
  <c r="BH9" i="34"/>
  <c r="BG11" i="34"/>
  <c r="BG51" i="34"/>
  <c r="BG55" i="34"/>
  <c r="BG14" i="34"/>
  <c r="BG18" i="34"/>
  <c r="BG22" i="34"/>
  <c r="BG26" i="34"/>
  <c r="BG31" i="34"/>
  <c r="BG35" i="34"/>
  <c r="BG39" i="34"/>
  <c r="BG43" i="34"/>
  <c r="BG47" i="34"/>
  <c r="BG61" i="34"/>
  <c r="BG65" i="34"/>
  <c r="BG69" i="34"/>
  <c r="BG73" i="34"/>
  <c r="BG77" i="34"/>
  <c r="BG59" i="34"/>
  <c r="BG70" i="34"/>
  <c r="BG74" i="34"/>
  <c r="BG81" i="34"/>
  <c r="BG85" i="34"/>
  <c r="BG89" i="34"/>
  <c r="BG93" i="34"/>
  <c r="BG97" i="34"/>
  <c r="BG80" i="34"/>
  <c r="BG90" i="34"/>
  <c r="BG102" i="34"/>
  <c r="BG106" i="34"/>
  <c r="BG110" i="34"/>
  <c r="BG113" i="34"/>
  <c r="BG117" i="34"/>
  <c r="BG114" i="34"/>
  <c r="BG116" i="34"/>
  <c r="BG120" i="34"/>
  <c r="BG122" i="34"/>
  <c r="BG123" i="34"/>
  <c r="BG125" i="34"/>
  <c r="BG126" i="34"/>
  <c r="BG127" i="34"/>
  <c r="BG131" i="34"/>
  <c r="BG136" i="34"/>
  <c r="BG10" i="34"/>
  <c r="BG8" i="34" s="1"/>
  <c r="BG53" i="34"/>
  <c r="BG12" i="34"/>
  <c r="BG16" i="34"/>
  <c r="BG20" i="34"/>
  <c r="BG24" i="34"/>
  <c r="BG29" i="34"/>
  <c r="BG33" i="34"/>
  <c r="BG37" i="34"/>
  <c r="BG41" i="34"/>
  <c r="BG45" i="34"/>
  <c r="BG49" i="34"/>
  <c r="BG50" i="34"/>
  <c r="BG52" i="34"/>
  <c r="BG54" i="34"/>
  <c r="BG63" i="34"/>
  <c r="BG67" i="34"/>
  <c r="BG71" i="34"/>
  <c r="BG75" i="34"/>
  <c r="BG56" i="34"/>
  <c r="BG57" i="34"/>
  <c r="BG58" i="34"/>
  <c r="BG60" i="34"/>
  <c r="BG62" i="34"/>
  <c r="BG64" i="34"/>
  <c r="BG66" i="34"/>
  <c r="BG68" i="34"/>
  <c r="BG72" i="34"/>
  <c r="BG79" i="34"/>
  <c r="BG83" i="34"/>
  <c r="BG87" i="34"/>
  <c r="BG91" i="34"/>
  <c r="BG95" i="34"/>
  <c r="BG78" i="34"/>
  <c r="BG82" i="34"/>
  <c r="BG84" i="34"/>
  <c r="BG86" i="34"/>
  <c r="BG88" i="34"/>
  <c r="BG92" i="34"/>
  <c r="BG99" i="34"/>
  <c r="BG100" i="34"/>
  <c r="BG104" i="34"/>
  <c r="BG108" i="34"/>
  <c r="BG101" i="34"/>
  <c r="BG103" i="34"/>
  <c r="BG105" i="34"/>
  <c r="BG107" i="34"/>
  <c r="BG109" i="34"/>
  <c r="BG111" i="34"/>
  <c r="BG115" i="34"/>
  <c r="BG119" i="34"/>
  <c r="BG112" i="34"/>
  <c r="BG118" i="34"/>
  <c r="BG124" i="34"/>
  <c r="BG121" i="34"/>
  <c r="BG129" i="34"/>
  <c r="BG128" i="34"/>
  <c r="BG132" i="34"/>
  <c r="BG134" i="34"/>
  <c r="BG135" i="34"/>
  <c r="BG137" i="34"/>
  <c r="BG138" i="34"/>
  <c r="BJ138" i="34" l="1"/>
  <c r="BJ137" i="34"/>
  <c r="BJ135" i="34"/>
  <c r="BJ136" i="34"/>
  <c r="BJ134" i="34"/>
  <c r="BJ132" i="34"/>
  <c r="BJ133" i="34"/>
  <c r="BJ131" i="34"/>
  <c r="BJ130" i="34"/>
  <c r="BJ128" i="34"/>
  <c r="BJ126" i="34"/>
  <c r="BJ129" i="34"/>
  <c r="BJ127" i="34"/>
  <c r="BJ125" i="34"/>
  <c r="BJ123" i="34"/>
  <c r="BJ121" i="34"/>
  <c r="BJ124" i="34"/>
  <c r="BJ122" i="34"/>
  <c r="BJ120" i="34"/>
  <c r="BJ118" i="34"/>
  <c r="BJ116" i="34"/>
  <c r="BJ114" i="34"/>
  <c r="BJ112" i="34"/>
  <c r="BJ110" i="34"/>
  <c r="BJ119" i="34"/>
  <c r="BJ117" i="34"/>
  <c r="BJ115" i="34"/>
  <c r="BJ113" i="34"/>
  <c r="BJ111" i="34"/>
  <c r="BJ109" i="34"/>
  <c r="BJ107" i="34"/>
  <c r="BJ105" i="34"/>
  <c r="BJ103" i="34"/>
  <c r="BJ101" i="34"/>
  <c r="BJ99" i="34"/>
  <c r="BJ108" i="34"/>
  <c r="BJ106" i="34"/>
  <c r="BJ104" i="34"/>
  <c r="BJ102" i="34"/>
  <c r="BJ100" i="34"/>
  <c r="BJ98" i="34"/>
  <c r="BJ96" i="34"/>
  <c r="BJ94" i="34"/>
  <c r="BJ92" i="34"/>
  <c r="BJ90" i="34"/>
  <c r="BJ88" i="34"/>
  <c r="BJ86" i="34"/>
  <c r="BJ84" i="34"/>
  <c r="BJ82" i="34"/>
  <c r="BJ80" i="34"/>
  <c r="BJ78" i="34"/>
  <c r="BJ97" i="34"/>
  <c r="BJ95" i="34"/>
  <c r="BJ93" i="34"/>
  <c r="BJ91" i="34"/>
  <c r="BJ89" i="34"/>
  <c r="BJ87" i="34"/>
  <c r="BJ85" i="34"/>
  <c r="BJ83" i="34"/>
  <c r="BJ81" i="34"/>
  <c r="BJ79" i="34"/>
  <c r="BJ76" i="34"/>
  <c r="BJ74" i="34"/>
  <c r="BJ72" i="34"/>
  <c r="BJ70" i="34"/>
  <c r="BJ68" i="34"/>
  <c r="BJ66" i="34"/>
  <c r="BJ64" i="34"/>
  <c r="BJ62" i="34"/>
  <c r="BJ60" i="34"/>
  <c r="BJ58" i="34"/>
  <c r="BJ56" i="34"/>
  <c r="BJ77" i="34"/>
  <c r="BJ75" i="34"/>
  <c r="BJ73" i="34"/>
  <c r="BJ71" i="34"/>
  <c r="BJ69" i="34"/>
  <c r="BJ67" i="34"/>
  <c r="BJ65" i="34"/>
  <c r="BJ63" i="34"/>
  <c r="BJ61" i="34"/>
  <c r="BJ57" i="34"/>
  <c r="BJ54" i="34"/>
  <c r="BJ52" i="34"/>
  <c r="BJ50" i="34"/>
  <c r="BJ48" i="34"/>
  <c r="BJ46" i="34"/>
  <c r="BJ44" i="34"/>
  <c r="BJ42" i="34"/>
  <c r="BJ40" i="34"/>
  <c r="BJ38" i="34"/>
  <c r="BJ36" i="34"/>
  <c r="BJ34" i="34"/>
  <c r="BJ32" i="34"/>
  <c r="BJ30" i="34"/>
  <c r="BJ27" i="34"/>
  <c r="BJ25" i="34"/>
  <c r="BJ23" i="34"/>
  <c r="BJ21" i="34"/>
  <c r="BJ19" i="34"/>
  <c r="BJ17" i="34"/>
  <c r="BJ15" i="34"/>
  <c r="BJ13" i="34"/>
  <c r="BJ53" i="34"/>
  <c r="BJ51" i="34"/>
  <c r="BJ49" i="34"/>
  <c r="BJ47" i="34"/>
  <c r="BJ45" i="34"/>
  <c r="BJ43" i="34"/>
  <c r="BJ41" i="34"/>
  <c r="BJ39" i="34"/>
  <c r="BJ37" i="34"/>
  <c r="BJ35" i="34"/>
  <c r="BJ33" i="34"/>
  <c r="BJ31" i="34"/>
  <c r="BJ29" i="34"/>
  <c r="BJ26" i="34"/>
  <c r="BJ24" i="34"/>
  <c r="BJ22" i="34"/>
  <c r="BJ20" i="34"/>
  <c r="BJ18" i="34"/>
  <c r="BJ16" i="34"/>
  <c r="BJ14" i="34"/>
  <c r="BJ12" i="34"/>
  <c r="BJ10" i="34"/>
  <c r="BK9" i="34"/>
  <c r="BJ11" i="34"/>
  <c r="BH10" i="34"/>
  <c r="BH8" i="34" s="1"/>
  <c r="BH14" i="34"/>
  <c r="BH18" i="34"/>
  <c r="BH22" i="34"/>
  <c r="BH26" i="34"/>
  <c r="BH31" i="34"/>
  <c r="BH35" i="34"/>
  <c r="BH39" i="34"/>
  <c r="BH43" i="34"/>
  <c r="BH47" i="34"/>
  <c r="BH15" i="34"/>
  <c r="BH19" i="34"/>
  <c r="BH23" i="34"/>
  <c r="BH27" i="34"/>
  <c r="BH32" i="34"/>
  <c r="BH36" i="34"/>
  <c r="BH40" i="34"/>
  <c r="BH44" i="34"/>
  <c r="BH48" i="34"/>
  <c r="BH52" i="34"/>
  <c r="BH62" i="34"/>
  <c r="BH66" i="34"/>
  <c r="BH70" i="34"/>
  <c r="BH74" i="34"/>
  <c r="BH71" i="34"/>
  <c r="BH75" i="34"/>
  <c r="BH77" i="34"/>
  <c r="BH80" i="34"/>
  <c r="BH84" i="34"/>
  <c r="BH88" i="34"/>
  <c r="BH92" i="34"/>
  <c r="BH96" i="34"/>
  <c r="BH81" i="34"/>
  <c r="BH91" i="34"/>
  <c r="BH99" i="34"/>
  <c r="BH101" i="34"/>
  <c r="BH105" i="34"/>
  <c r="BH109" i="34"/>
  <c r="BH110" i="34"/>
  <c r="BH112" i="34"/>
  <c r="BH116" i="34"/>
  <c r="BH120" i="34"/>
  <c r="BH111" i="34"/>
  <c r="BH115" i="34"/>
  <c r="BH117" i="34"/>
  <c r="BH123" i="34"/>
  <c r="BH124" i="34"/>
  <c r="BH130" i="34"/>
  <c r="BH127" i="34"/>
  <c r="BH131" i="34"/>
  <c r="BH134" i="34"/>
  <c r="BH137" i="34"/>
  <c r="BH12" i="34"/>
  <c r="BH16" i="34"/>
  <c r="BH20" i="34"/>
  <c r="BH24" i="34"/>
  <c r="BH29" i="34"/>
  <c r="BH33" i="34"/>
  <c r="BH37" i="34"/>
  <c r="BH41" i="34"/>
  <c r="BH45" i="34"/>
  <c r="BH49" i="34"/>
  <c r="BH11" i="34"/>
  <c r="BH13" i="34"/>
  <c r="BH17" i="34"/>
  <c r="BH21" i="34"/>
  <c r="BH25" i="34"/>
  <c r="BH30" i="34"/>
  <c r="BH34" i="34"/>
  <c r="BH38" i="34"/>
  <c r="BH42" i="34"/>
  <c r="BH46" i="34"/>
  <c r="BH50" i="34"/>
  <c r="BH54" i="34"/>
  <c r="BH51" i="34"/>
  <c r="BH53" i="34"/>
  <c r="BH55" i="34"/>
  <c r="BH58" i="34"/>
  <c r="BH56" i="34"/>
  <c r="BH60" i="34"/>
  <c r="BH64" i="34"/>
  <c r="BH68" i="34"/>
  <c r="BH72" i="34"/>
  <c r="BH76" i="34"/>
  <c r="BH57" i="34"/>
  <c r="BH59" i="34"/>
  <c r="BH61" i="34"/>
  <c r="BH63" i="34"/>
  <c r="BH65" i="34"/>
  <c r="BH67" i="34"/>
  <c r="BH69" i="34"/>
  <c r="BH73" i="34"/>
  <c r="BH78" i="34"/>
  <c r="BH82" i="34"/>
  <c r="BH86" i="34"/>
  <c r="BH90" i="34"/>
  <c r="BH94" i="34"/>
  <c r="BH98" i="34"/>
  <c r="BH79" i="34"/>
  <c r="BH83" i="34"/>
  <c r="BH85" i="34"/>
  <c r="BH87" i="34"/>
  <c r="BH89" i="34"/>
  <c r="BH93" i="34"/>
  <c r="BH95" i="34"/>
  <c r="BH97" i="34"/>
  <c r="BH103" i="34"/>
  <c r="BH107" i="34"/>
  <c r="BH100" i="34"/>
  <c r="BH102" i="34"/>
  <c r="BH104" i="34"/>
  <c r="BH106" i="34"/>
  <c r="BH108" i="34"/>
  <c r="BH114" i="34"/>
  <c r="BH118" i="34"/>
  <c r="BH113" i="34"/>
  <c r="BH119" i="34"/>
  <c r="BH121" i="34"/>
  <c r="BH125" i="34"/>
  <c r="BH122" i="34"/>
  <c r="BH126" i="34"/>
  <c r="BH128" i="34"/>
  <c r="BH129" i="34"/>
  <c r="BH133" i="34"/>
  <c r="BH132" i="34"/>
  <c r="BH135" i="34"/>
  <c r="BH136" i="34"/>
  <c r="BH138" i="34"/>
  <c r="BK59" i="34" l="1"/>
  <c r="BK55" i="34"/>
  <c r="BL9" i="34"/>
  <c r="BK12" i="34"/>
  <c r="BW12" i="34" s="1"/>
  <c r="BL12" i="34"/>
  <c r="BJ4" i="34"/>
  <c r="BK16" i="34"/>
  <c r="BW16" i="34" s="1"/>
  <c r="BL16" i="34"/>
  <c r="BK20" i="34"/>
  <c r="BW20" i="34" s="1"/>
  <c r="BL20" i="34"/>
  <c r="BK24" i="34"/>
  <c r="BW24" i="34" s="1"/>
  <c r="BL24" i="34"/>
  <c r="BK29" i="34"/>
  <c r="BW29" i="34" s="1"/>
  <c r="BL29" i="34"/>
  <c r="BK33" i="34"/>
  <c r="BW33" i="34" s="1"/>
  <c r="BL33" i="34"/>
  <c r="BK37" i="34"/>
  <c r="BW37" i="34" s="1"/>
  <c r="BL37" i="34"/>
  <c r="BK41" i="34"/>
  <c r="BW41" i="34" s="1"/>
  <c r="BL41" i="34"/>
  <c r="BK45" i="34"/>
  <c r="BW45" i="34" s="1"/>
  <c r="BL45" i="34"/>
  <c r="BK49" i="34"/>
  <c r="BW49" i="34" s="1"/>
  <c r="BL49" i="34"/>
  <c r="BK53" i="34"/>
  <c r="BW53" i="34" s="1"/>
  <c r="BL53" i="34"/>
  <c r="BL15" i="34"/>
  <c r="BK15" i="34"/>
  <c r="BW15" i="34" s="1"/>
  <c r="BL19" i="34"/>
  <c r="BK19" i="34"/>
  <c r="BW19" i="34" s="1"/>
  <c r="BL23" i="34"/>
  <c r="BK23" i="34"/>
  <c r="BW23" i="34" s="1"/>
  <c r="BL27" i="34"/>
  <c r="BK27" i="34"/>
  <c r="BW27" i="34" s="1"/>
  <c r="BL32" i="34"/>
  <c r="BK32" i="34"/>
  <c r="BW32" i="34" s="1"/>
  <c r="BL36" i="34"/>
  <c r="BK36" i="34"/>
  <c r="BW36" i="34" s="1"/>
  <c r="BL40" i="34"/>
  <c r="BK40" i="34"/>
  <c r="BW40" i="34" s="1"/>
  <c r="BL44" i="34"/>
  <c r="BK44" i="34"/>
  <c r="BW44" i="34" s="1"/>
  <c r="BL48" i="34"/>
  <c r="BK48" i="34"/>
  <c r="BW48" i="34" s="1"/>
  <c r="BL52" i="34"/>
  <c r="BK52" i="34"/>
  <c r="BW52" i="34" s="1"/>
  <c r="BK57" i="34"/>
  <c r="BW57" i="34" s="1"/>
  <c r="BL57" i="34"/>
  <c r="BK63" i="34"/>
  <c r="BW63" i="34" s="1"/>
  <c r="BL63" i="34"/>
  <c r="BK67" i="34"/>
  <c r="BW67" i="34" s="1"/>
  <c r="BL67" i="34"/>
  <c r="BK71" i="34"/>
  <c r="BW71" i="34" s="1"/>
  <c r="BL71" i="34"/>
  <c r="BK75" i="34"/>
  <c r="BW75" i="34" s="1"/>
  <c r="BL75" i="34"/>
  <c r="BL56" i="34"/>
  <c r="BK56" i="34"/>
  <c r="BW56" i="34" s="1"/>
  <c r="BL60" i="34"/>
  <c r="BK60" i="34"/>
  <c r="BW60" i="34" s="1"/>
  <c r="BL64" i="34"/>
  <c r="BK64" i="34"/>
  <c r="BW64" i="34" s="1"/>
  <c r="BL68" i="34"/>
  <c r="BK68" i="34"/>
  <c r="BW68" i="34" s="1"/>
  <c r="BL72" i="34"/>
  <c r="BK72" i="34"/>
  <c r="BW72" i="34" s="1"/>
  <c r="BL76" i="34"/>
  <c r="BK76" i="34"/>
  <c r="BW76" i="34" s="1"/>
  <c r="BK81" i="34"/>
  <c r="BW81" i="34" s="1"/>
  <c r="BL81" i="34"/>
  <c r="BK85" i="34"/>
  <c r="BW85" i="34" s="1"/>
  <c r="BL85" i="34"/>
  <c r="BK89" i="34"/>
  <c r="BW89" i="34" s="1"/>
  <c r="BL89" i="34"/>
  <c r="BK93" i="34"/>
  <c r="BW93" i="34" s="1"/>
  <c r="BL93" i="34"/>
  <c r="BK97" i="34"/>
  <c r="BW97" i="34" s="1"/>
  <c r="BL97" i="34"/>
  <c r="BL80" i="34"/>
  <c r="BK80" i="34"/>
  <c r="BW80" i="34" s="1"/>
  <c r="BL84" i="34"/>
  <c r="BK84" i="34"/>
  <c r="BW84" i="34" s="1"/>
  <c r="BL88" i="34"/>
  <c r="BK88" i="34"/>
  <c r="BW88" i="34" s="1"/>
  <c r="BL92" i="34"/>
  <c r="BK92" i="34"/>
  <c r="BW92" i="34" s="1"/>
  <c r="BL96" i="34"/>
  <c r="BK96" i="34"/>
  <c r="BW96" i="34" s="1"/>
  <c r="BK100" i="34"/>
  <c r="BW100" i="34" s="1"/>
  <c r="BL100" i="34"/>
  <c r="BK104" i="34"/>
  <c r="BW104" i="34" s="1"/>
  <c r="BL104" i="34"/>
  <c r="BK108" i="34"/>
  <c r="BW108" i="34" s="1"/>
  <c r="BL108" i="34"/>
  <c r="BL101" i="34"/>
  <c r="BK101" i="34"/>
  <c r="BW101" i="34" s="1"/>
  <c r="BL105" i="34"/>
  <c r="BK105" i="34"/>
  <c r="BW105" i="34" s="1"/>
  <c r="BL109" i="34"/>
  <c r="BK109" i="34"/>
  <c r="BW109" i="34" s="1"/>
  <c r="BK113" i="34"/>
  <c r="BW113" i="34" s="1"/>
  <c r="BL113" i="34"/>
  <c r="BK117" i="34"/>
  <c r="BW117" i="34" s="1"/>
  <c r="BL117" i="34"/>
  <c r="BL110" i="34"/>
  <c r="BK110" i="34"/>
  <c r="BW110" i="34" s="1"/>
  <c r="BL114" i="34"/>
  <c r="BK114" i="34"/>
  <c r="BW114" i="34" s="1"/>
  <c r="BL118" i="34"/>
  <c r="BK118" i="34"/>
  <c r="BW118" i="34" s="1"/>
  <c r="BK122" i="34"/>
  <c r="BW122" i="34" s="1"/>
  <c r="BL122" i="34"/>
  <c r="BL121" i="34"/>
  <c r="BK121" i="34"/>
  <c r="BW121" i="34" s="1"/>
  <c r="BL125" i="34"/>
  <c r="BK125" i="34"/>
  <c r="BW125" i="34" s="1"/>
  <c r="BK129" i="34"/>
  <c r="BW129" i="34" s="1"/>
  <c r="BL129" i="34"/>
  <c r="BL128" i="34"/>
  <c r="BK128" i="34"/>
  <c r="BW128" i="34" s="1"/>
  <c r="BL131" i="34"/>
  <c r="BK131" i="34"/>
  <c r="BW131" i="34" s="1"/>
  <c r="BL132" i="34"/>
  <c r="BK132" i="34"/>
  <c r="BW132" i="34" s="1"/>
  <c r="BK136" i="34"/>
  <c r="BW136" i="34" s="1"/>
  <c r="BL136" i="34"/>
  <c r="BL137" i="34"/>
  <c r="BK137" i="34"/>
  <c r="BW137" i="34" s="1"/>
  <c r="BK11" i="34"/>
  <c r="BW11" i="34" s="1"/>
  <c r="BL11" i="34"/>
  <c r="BL10" i="34"/>
  <c r="BL8" i="34" s="1"/>
  <c r="BK10" i="34"/>
  <c r="BJ8" i="34"/>
  <c r="BJ2" i="34"/>
  <c r="BK14" i="34"/>
  <c r="BW14" i="34" s="1"/>
  <c r="BL14" i="34"/>
  <c r="BK18" i="34"/>
  <c r="BW18" i="34" s="1"/>
  <c r="BL18" i="34"/>
  <c r="BK22" i="34"/>
  <c r="BW22" i="34" s="1"/>
  <c r="BL22" i="34"/>
  <c r="BK26" i="34"/>
  <c r="BW26" i="34" s="1"/>
  <c r="BL26" i="34"/>
  <c r="BK31" i="34"/>
  <c r="BW31" i="34" s="1"/>
  <c r="BJ1" i="34"/>
  <c r="BL31" i="34"/>
  <c r="BK35" i="34"/>
  <c r="BW35" i="34" s="1"/>
  <c r="BL35" i="34"/>
  <c r="BK39" i="34"/>
  <c r="BW39" i="34" s="1"/>
  <c r="BL39" i="34"/>
  <c r="BK43" i="34"/>
  <c r="BW43" i="34" s="1"/>
  <c r="BL43" i="34"/>
  <c r="BK47" i="34"/>
  <c r="BW47" i="34" s="1"/>
  <c r="BL47" i="34"/>
  <c r="BK51" i="34"/>
  <c r="BW51" i="34" s="1"/>
  <c r="BL51" i="34"/>
  <c r="BL13" i="34"/>
  <c r="BK13" i="34"/>
  <c r="BW13" i="34" s="1"/>
  <c r="BL17" i="34"/>
  <c r="BJ3" i="34"/>
  <c r="BK17" i="34"/>
  <c r="BW17" i="34" s="1"/>
  <c r="BL21" i="34"/>
  <c r="BK21" i="34"/>
  <c r="BW21" i="34" s="1"/>
  <c r="BL25" i="34"/>
  <c r="BK25" i="34"/>
  <c r="BW25" i="34" s="1"/>
  <c r="BL30" i="34"/>
  <c r="BK30" i="34"/>
  <c r="BW30" i="34" s="1"/>
  <c r="BL34" i="34"/>
  <c r="BK34" i="34"/>
  <c r="BW34" i="34" s="1"/>
  <c r="BL38" i="34"/>
  <c r="BK38" i="34"/>
  <c r="BW38" i="34" s="1"/>
  <c r="BL42" i="34"/>
  <c r="BK42" i="34"/>
  <c r="BW42" i="34" s="1"/>
  <c r="BL46" i="34"/>
  <c r="BK46" i="34"/>
  <c r="BW46" i="34" s="1"/>
  <c r="BL50" i="34"/>
  <c r="BK50" i="34"/>
  <c r="BW50" i="34" s="1"/>
  <c r="BL54" i="34"/>
  <c r="BK54" i="34"/>
  <c r="BW54" i="34" s="1"/>
  <c r="BK61" i="34"/>
  <c r="BW61" i="34" s="1"/>
  <c r="BL61" i="34"/>
  <c r="BK65" i="34"/>
  <c r="BW65" i="34" s="1"/>
  <c r="BL65" i="34"/>
  <c r="BK69" i="34"/>
  <c r="BW69" i="34" s="1"/>
  <c r="BL69" i="34"/>
  <c r="BK73" i="34"/>
  <c r="BW73" i="34" s="1"/>
  <c r="BL73" i="34"/>
  <c r="BK77" i="34"/>
  <c r="BW77" i="34" s="1"/>
  <c r="BL77" i="34"/>
  <c r="BL58" i="34"/>
  <c r="BK58" i="34"/>
  <c r="BW58" i="34" s="1"/>
  <c r="BL62" i="34"/>
  <c r="BK62" i="34"/>
  <c r="BW62" i="34" s="1"/>
  <c r="BL66" i="34"/>
  <c r="BK66" i="34"/>
  <c r="BW66" i="34" s="1"/>
  <c r="BL70" i="34"/>
  <c r="BK70" i="34"/>
  <c r="BW70" i="34" s="1"/>
  <c r="BL74" i="34"/>
  <c r="BK74" i="34"/>
  <c r="BW74" i="34" s="1"/>
  <c r="BK79" i="34"/>
  <c r="BW79" i="34" s="1"/>
  <c r="BL79" i="34"/>
  <c r="BK83" i="34"/>
  <c r="BW83" i="34" s="1"/>
  <c r="BL83" i="34"/>
  <c r="BK87" i="34"/>
  <c r="BW87" i="34" s="1"/>
  <c r="BL87" i="34"/>
  <c r="BK91" i="34"/>
  <c r="BW91" i="34" s="1"/>
  <c r="BL91" i="34"/>
  <c r="BK95" i="34"/>
  <c r="BW95" i="34" s="1"/>
  <c r="BL95" i="34"/>
  <c r="BL78" i="34"/>
  <c r="BK78" i="34"/>
  <c r="BW78" i="34" s="1"/>
  <c r="BL82" i="34"/>
  <c r="BK82" i="34"/>
  <c r="BW82" i="34" s="1"/>
  <c r="BL86" i="34"/>
  <c r="BK86" i="34"/>
  <c r="BW86" i="34" s="1"/>
  <c r="BL90" i="34"/>
  <c r="BK90" i="34"/>
  <c r="BW90" i="34" s="1"/>
  <c r="BL94" i="34"/>
  <c r="BK94" i="34"/>
  <c r="BW94" i="34" s="1"/>
  <c r="BL98" i="34"/>
  <c r="BK98" i="34"/>
  <c r="BW98" i="34" s="1"/>
  <c r="BK102" i="34"/>
  <c r="BW102" i="34" s="1"/>
  <c r="BL102" i="34"/>
  <c r="BK106" i="34"/>
  <c r="BW106" i="34" s="1"/>
  <c r="BL106" i="34"/>
  <c r="BL99" i="34"/>
  <c r="BK99" i="34"/>
  <c r="BW99" i="34" s="1"/>
  <c r="BL103" i="34"/>
  <c r="BK103" i="34"/>
  <c r="BW103" i="34" s="1"/>
  <c r="BL107" i="34"/>
  <c r="BK107" i="34"/>
  <c r="BW107" i="34" s="1"/>
  <c r="BK111" i="34"/>
  <c r="BW111" i="34" s="1"/>
  <c r="BL111" i="34"/>
  <c r="BK115" i="34"/>
  <c r="BW115" i="34" s="1"/>
  <c r="BL115" i="34"/>
  <c r="BK119" i="34"/>
  <c r="BW119" i="34" s="1"/>
  <c r="BL119" i="34"/>
  <c r="BL112" i="34"/>
  <c r="BK112" i="34"/>
  <c r="BW112" i="34" s="1"/>
  <c r="BL116" i="34"/>
  <c r="BK116" i="34"/>
  <c r="BW116" i="34" s="1"/>
  <c r="BL120" i="34"/>
  <c r="BK120" i="34"/>
  <c r="BW120" i="34" s="1"/>
  <c r="BK124" i="34"/>
  <c r="BW124" i="34" s="1"/>
  <c r="BL124" i="34"/>
  <c r="BL123" i="34"/>
  <c r="BK123" i="34"/>
  <c r="BW123" i="34" s="1"/>
  <c r="BK127" i="34"/>
  <c r="BW127" i="34" s="1"/>
  <c r="BL127" i="34"/>
  <c r="BL126" i="34"/>
  <c r="BK126" i="34"/>
  <c r="BW126" i="34" s="1"/>
  <c r="BL130" i="34"/>
  <c r="BK130" i="34"/>
  <c r="BW130" i="34" s="1"/>
  <c r="BK133" i="34"/>
  <c r="BW133" i="34" s="1"/>
  <c r="BL133" i="34"/>
  <c r="BK134" i="34"/>
  <c r="BW134" i="34" s="1"/>
  <c r="BL134" i="34"/>
  <c r="BL135" i="34"/>
  <c r="BK135" i="34"/>
  <c r="BW135" i="34" s="1"/>
  <c r="BL138" i="34"/>
  <c r="BK138" i="34"/>
  <c r="BW138" i="34" s="1"/>
  <c r="BK8" i="34" l="1"/>
  <c r="BW10" i="34"/>
  <c r="BW8" i="34" s="1"/>
  <c r="BL59" i="34"/>
  <c r="BL55" i="34"/>
  <c r="BM9" i="34"/>
  <c r="BM59" i="34" l="1"/>
  <c r="BM55" i="34"/>
  <c r="BN9" i="34"/>
  <c r="BM16" i="34"/>
  <c r="BM20" i="34"/>
  <c r="BM24" i="34"/>
  <c r="BM29" i="34"/>
  <c r="BM33" i="34"/>
  <c r="BM37" i="34"/>
  <c r="BM41" i="34"/>
  <c r="BM45" i="34"/>
  <c r="BM49" i="34"/>
  <c r="BM53" i="34"/>
  <c r="BM15" i="34"/>
  <c r="BM19" i="34"/>
  <c r="BM23" i="34"/>
  <c r="BM27" i="34"/>
  <c r="BM32" i="34"/>
  <c r="BM36" i="34"/>
  <c r="BM40" i="34"/>
  <c r="BM44" i="34"/>
  <c r="BM48" i="34"/>
  <c r="BM52" i="34"/>
  <c r="BM57" i="34"/>
  <c r="BM63" i="34"/>
  <c r="BM67" i="34"/>
  <c r="BM71" i="34"/>
  <c r="BM75" i="34"/>
  <c r="BM56" i="34"/>
  <c r="BM60" i="34"/>
  <c r="BM64" i="34"/>
  <c r="BM68" i="34"/>
  <c r="BM72" i="34"/>
  <c r="BM76" i="34"/>
  <c r="BM81" i="34"/>
  <c r="BM85" i="34"/>
  <c r="BM89" i="34"/>
  <c r="BM93" i="34"/>
  <c r="BM97" i="34"/>
  <c r="BM80" i="34"/>
  <c r="BM84" i="34"/>
  <c r="BM88" i="34"/>
  <c r="BM92" i="34"/>
  <c r="BM96" i="34"/>
  <c r="BM100" i="34"/>
  <c r="BM104" i="34"/>
  <c r="BM108" i="34"/>
  <c r="BM101" i="34"/>
  <c r="BM105" i="34"/>
  <c r="BM109" i="34"/>
  <c r="BM113" i="34"/>
  <c r="BM117" i="34"/>
  <c r="BM110" i="34"/>
  <c r="BM114" i="34"/>
  <c r="BM118" i="34"/>
  <c r="BM122" i="34"/>
  <c r="BM121" i="34"/>
  <c r="BM125" i="34"/>
  <c r="BM129" i="34"/>
  <c r="BM128" i="34"/>
  <c r="BM131" i="34"/>
  <c r="BM132" i="34"/>
  <c r="BM136" i="34"/>
  <c r="BM137" i="34"/>
  <c r="BM11" i="34"/>
  <c r="BM10" i="34"/>
  <c r="BM8" i="34" s="1"/>
  <c r="BM14" i="34"/>
  <c r="BM18" i="34"/>
  <c r="BM22" i="34"/>
  <c r="BM26" i="34"/>
  <c r="BM31" i="34"/>
  <c r="BM21" i="34"/>
  <c r="BM25" i="34"/>
  <c r="BM30" i="34"/>
  <c r="BM34" i="34"/>
  <c r="BM38" i="34"/>
  <c r="BM42" i="34"/>
  <c r="BM46" i="34"/>
  <c r="BM50" i="34"/>
  <c r="BM54" i="34"/>
  <c r="BM61" i="34"/>
  <c r="BM65" i="34"/>
  <c r="BM69" i="34"/>
  <c r="BM73" i="34"/>
  <c r="BM77" i="34"/>
  <c r="BM58" i="34"/>
  <c r="BM62" i="34"/>
  <c r="BM66" i="34"/>
  <c r="BM70" i="34"/>
  <c r="BM74" i="34"/>
  <c r="BM79" i="34"/>
  <c r="BM83" i="34"/>
  <c r="BM87" i="34"/>
  <c r="BM91" i="34"/>
  <c r="BM95" i="34"/>
  <c r="BM78" i="34"/>
  <c r="BM82" i="34"/>
  <c r="BM86" i="34"/>
  <c r="BM90" i="34"/>
  <c r="BM94" i="34"/>
  <c r="BM98" i="34"/>
  <c r="BM102" i="34"/>
  <c r="BM106" i="34"/>
  <c r="BM99" i="34"/>
  <c r="BM103" i="34"/>
  <c r="BM107" i="34"/>
  <c r="BM111" i="34"/>
  <c r="BM115" i="34"/>
  <c r="BM119" i="34"/>
  <c r="BM112" i="34"/>
  <c r="BM116" i="34"/>
  <c r="BM120" i="34"/>
  <c r="BM124" i="34"/>
  <c r="BM123" i="34"/>
  <c r="BM127" i="34"/>
  <c r="BM126" i="34"/>
  <c r="BM130" i="34"/>
  <c r="BM133" i="34"/>
  <c r="BM134" i="34"/>
  <c r="BM135" i="34"/>
  <c r="BM138" i="34"/>
  <c r="BM35" i="34"/>
  <c r="BM39" i="34"/>
  <c r="BM43" i="34"/>
  <c r="BM47" i="34"/>
  <c r="BM51" i="34"/>
  <c r="BM13" i="34"/>
  <c r="BM17" i="34"/>
  <c r="BM12" i="34"/>
  <c r="BN59" i="34" l="1"/>
  <c r="BN55" i="34"/>
  <c r="BO9" i="34"/>
  <c r="BN16" i="34"/>
  <c r="BN20" i="34"/>
  <c r="BN24" i="34"/>
  <c r="BN29" i="34"/>
  <c r="BN33" i="34"/>
  <c r="BN37" i="34"/>
  <c r="BN41" i="34"/>
  <c r="BN45" i="34"/>
  <c r="BN49" i="34"/>
  <c r="BN53" i="34"/>
  <c r="BN15" i="34"/>
  <c r="BN19" i="34"/>
  <c r="BN23" i="34"/>
  <c r="BN27" i="34"/>
  <c r="BN32" i="34"/>
  <c r="BN36" i="34"/>
  <c r="BN40" i="34"/>
  <c r="BN44" i="34"/>
  <c r="BN48" i="34"/>
  <c r="BN52" i="34"/>
  <c r="BN57" i="34"/>
  <c r="BN63" i="34"/>
  <c r="BN67" i="34"/>
  <c r="BN71" i="34"/>
  <c r="BN75" i="34"/>
  <c r="BN56" i="34"/>
  <c r="BN60" i="34"/>
  <c r="BN64" i="34"/>
  <c r="BN68" i="34"/>
  <c r="BN72" i="34"/>
  <c r="BN76" i="34"/>
  <c r="BN81" i="34"/>
  <c r="BN85" i="34"/>
  <c r="BN89" i="34"/>
  <c r="BN93" i="34"/>
  <c r="BN97" i="34"/>
  <c r="BN80" i="34"/>
  <c r="BN84" i="34"/>
  <c r="BN88" i="34"/>
  <c r="BN92" i="34"/>
  <c r="BN96" i="34"/>
  <c r="BN100" i="34"/>
  <c r="BN104" i="34"/>
  <c r="BN108" i="34"/>
  <c r="BN101" i="34"/>
  <c r="BN105" i="34"/>
  <c r="BN109" i="34"/>
  <c r="BN113" i="34"/>
  <c r="BN117" i="34"/>
  <c r="BN110" i="34"/>
  <c r="BN114" i="34"/>
  <c r="BN118" i="34"/>
  <c r="BN122" i="34"/>
  <c r="BN121" i="34"/>
  <c r="BN125" i="34"/>
  <c r="BN129" i="34"/>
  <c r="BN128" i="34"/>
  <c r="BN131" i="34"/>
  <c r="BN132" i="34"/>
  <c r="BN136" i="34"/>
  <c r="BN137" i="34"/>
  <c r="BN11" i="34"/>
  <c r="BN10" i="34"/>
  <c r="BN8" i="34" s="1"/>
  <c r="BN14" i="34"/>
  <c r="BN18" i="34"/>
  <c r="BN22" i="34"/>
  <c r="BN26" i="34"/>
  <c r="BN31" i="34"/>
  <c r="BN21" i="34"/>
  <c r="BN25" i="34"/>
  <c r="BN30" i="34"/>
  <c r="BN34" i="34"/>
  <c r="BN38" i="34"/>
  <c r="BN42" i="34"/>
  <c r="BN46" i="34"/>
  <c r="BN50" i="34"/>
  <c r="BN54" i="34"/>
  <c r="BN61" i="34"/>
  <c r="BN65" i="34"/>
  <c r="BN69" i="34"/>
  <c r="BN73" i="34"/>
  <c r="BN77" i="34"/>
  <c r="BN58" i="34"/>
  <c r="BN62" i="34"/>
  <c r="BN66" i="34"/>
  <c r="BN70" i="34"/>
  <c r="BN74" i="34"/>
  <c r="BN79" i="34"/>
  <c r="BN83" i="34"/>
  <c r="BN87" i="34"/>
  <c r="BN91" i="34"/>
  <c r="BN95" i="34"/>
  <c r="BN78" i="34"/>
  <c r="BN82" i="34"/>
  <c r="BN86" i="34"/>
  <c r="BN90" i="34"/>
  <c r="BN94" i="34"/>
  <c r="BN98" i="34"/>
  <c r="BN102" i="34"/>
  <c r="BN106" i="34"/>
  <c r="BN99" i="34"/>
  <c r="BN103" i="34"/>
  <c r="BN107" i="34"/>
  <c r="BN111" i="34"/>
  <c r="BN115" i="34"/>
  <c r="BN119" i="34"/>
  <c r="BN112" i="34"/>
  <c r="BN116" i="34"/>
  <c r="BN120" i="34"/>
  <c r="BN124" i="34"/>
  <c r="BN123" i="34"/>
  <c r="BN127" i="34"/>
  <c r="BN126" i="34"/>
  <c r="BN130" i="34"/>
  <c r="BN133" i="34"/>
  <c r="BN134" i="34"/>
  <c r="BN135" i="34"/>
  <c r="BN138" i="34"/>
  <c r="BN35" i="34"/>
  <c r="BN39" i="34"/>
  <c r="BN43" i="34"/>
  <c r="BN47" i="34"/>
  <c r="BN51" i="34"/>
  <c r="BN13" i="34"/>
  <c r="BN17" i="34"/>
  <c r="BN12" i="34"/>
  <c r="BO59" i="34" l="1"/>
  <c r="BO55" i="34"/>
  <c r="BP9" i="34"/>
  <c r="BO12" i="34"/>
  <c r="BO15" i="34"/>
  <c r="BO19" i="34"/>
  <c r="BO23" i="34"/>
  <c r="BO27" i="34"/>
  <c r="BO32" i="34"/>
  <c r="BO36" i="34"/>
  <c r="BO40" i="34"/>
  <c r="BO44" i="34"/>
  <c r="BO48" i="34"/>
  <c r="BO131" i="34"/>
  <c r="BO35" i="34"/>
  <c r="BO39" i="34"/>
  <c r="BO43" i="34"/>
  <c r="BO47" i="34"/>
  <c r="BO51" i="34"/>
  <c r="BO17" i="34"/>
  <c r="BO21" i="34"/>
  <c r="BO25" i="34"/>
  <c r="BO30" i="34"/>
  <c r="BO34" i="34"/>
  <c r="BO38" i="34"/>
  <c r="BO42" i="34"/>
  <c r="BO46" i="34"/>
  <c r="BO14" i="34"/>
  <c r="BO18" i="34"/>
  <c r="BO22" i="34"/>
  <c r="BO13" i="34"/>
  <c r="BO50" i="34"/>
  <c r="BO54" i="34"/>
  <c r="BO61" i="34"/>
  <c r="BO65" i="34"/>
  <c r="BO69" i="34"/>
  <c r="BO73" i="34"/>
  <c r="BO77" i="34"/>
  <c r="BO58" i="34"/>
  <c r="BO62" i="34"/>
  <c r="BO66" i="34"/>
  <c r="BO70" i="34"/>
  <c r="BO74" i="34"/>
  <c r="BO95" i="34"/>
  <c r="BO82" i="34"/>
  <c r="BO86" i="34"/>
  <c r="BO90" i="34"/>
  <c r="BO94" i="34"/>
  <c r="BO98" i="34"/>
  <c r="BO102" i="34"/>
  <c r="BO99" i="34"/>
  <c r="BO103" i="34"/>
  <c r="BO107" i="34"/>
  <c r="BO119" i="34"/>
  <c r="BO120" i="34"/>
  <c r="BO123" i="34"/>
  <c r="BO16" i="34"/>
  <c r="BO20" i="34"/>
  <c r="BO24" i="34"/>
  <c r="BO29" i="34"/>
  <c r="BO33" i="34"/>
  <c r="BO37" i="34"/>
  <c r="BO41" i="34"/>
  <c r="BO45" i="34"/>
  <c r="BO49" i="34"/>
  <c r="BO53" i="34"/>
  <c r="BO52" i="34"/>
  <c r="BO57" i="34"/>
  <c r="BO63" i="34"/>
  <c r="BO67" i="34"/>
  <c r="BO71" i="34"/>
  <c r="BO75" i="34"/>
  <c r="BO56" i="34"/>
  <c r="BO60" i="34"/>
  <c r="BO64" i="34"/>
  <c r="BO68" i="34"/>
  <c r="BO72" i="34"/>
  <c r="BO76" i="34"/>
  <c r="BO81" i="34"/>
  <c r="BO85" i="34"/>
  <c r="BO89" i="34"/>
  <c r="BO93" i="34"/>
  <c r="BO97" i="34"/>
  <c r="BO80" i="34"/>
  <c r="BO84" i="34"/>
  <c r="BO88" i="34"/>
  <c r="BO92" i="34"/>
  <c r="BO96" i="34"/>
  <c r="BO100" i="34"/>
  <c r="BO104" i="34"/>
  <c r="BO108" i="34"/>
  <c r="BO101" i="34"/>
  <c r="BO105" i="34"/>
  <c r="BO109" i="34"/>
  <c r="BO113" i="34"/>
  <c r="BO117" i="34"/>
  <c r="BO110" i="34"/>
  <c r="BO114" i="34"/>
  <c r="BO118" i="34"/>
  <c r="BO122" i="34"/>
  <c r="BO121" i="34"/>
  <c r="BO125" i="34"/>
  <c r="BO129" i="34"/>
  <c r="BO128" i="34"/>
  <c r="BO132" i="34"/>
  <c r="BO136" i="34"/>
  <c r="BO137" i="34"/>
  <c r="BO11" i="34"/>
  <c r="BO10" i="34"/>
  <c r="BO8" i="34" s="1"/>
  <c r="BO26" i="34"/>
  <c r="BO31" i="34"/>
  <c r="BO79" i="34"/>
  <c r="BO83" i="34"/>
  <c r="BO87" i="34"/>
  <c r="BO91" i="34"/>
  <c r="BO78" i="34"/>
  <c r="BO106" i="34"/>
  <c r="BO111" i="34"/>
  <c r="BO115" i="34"/>
  <c r="BO112" i="34"/>
  <c r="BO116" i="34"/>
  <c r="BO124" i="34"/>
  <c r="BO127" i="34"/>
  <c r="BO126" i="34"/>
  <c r="BO130" i="34"/>
  <c r="BO133" i="34"/>
  <c r="BO134" i="34"/>
  <c r="BO135" i="34"/>
  <c r="BO138" i="34"/>
  <c r="BP59" i="34" l="1"/>
  <c r="BP55" i="34"/>
  <c r="BQ9" i="34"/>
  <c r="BP16" i="34"/>
  <c r="BP20" i="34"/>
  <c r="BP24" i="34"/>
  <c r="BP29" i="34"/>
  <c r="BP33" i="34"/>
  <c r="BP37" i="34"/>
  <c r="BP41" i="34"/>
  <c r="BP45" i="34"/>
  <c r="BP49" i="34"/>
  <c r="BP14" i="34"/>
  <c r="BP18" i="34"/>
  <c r="BP22" i="34"/>
  <c r="BP26" i="34"/>
  <c r="BP51" i="34"/>
  <c r="BP13" i="34"/>
  <c r="BP17" i="34"/>
  <c r="BP31" i="34"/>
  <c r="BP35" i="34"/>
  <c r="BP39" i="34"/>
  <c r="BP43" i="34"/>
  <c r="BP47" i="34"/>
  <c r="BP21" i="34"/>
  <c r="BP34" i="34"/>
  <c r="BP42" i="34"/>
  <c r="BP46" i="34"/>
  <c r="BP50" i="34"/>
  <c r="BP54" i="34"/>
  <c r="BP61" i="34"/>
  <c r="BP73" i="34"/>
  <c r="BP58" i="34"/>
  <c r="BP79" i="34"/>
  <c r="BP83" i="34"/>
  <c r="BP78" i="34"/>
  <c r="BP82" i="34"/>
  <c r="BP86" i="34"/>
  <c r="BP90" i="34"/>
  <c r="BP94" i="34"/>
  <c r="BP98" i="34"/>
  <c r="BP106" i="34"/>
  <c r="BP99" i="34"/>
  <c r="BP111" i="34"/>
  <c r="BP119" i="34"/>
  <c r="BP112" i="34"/>
  <c r="BP116" i="34"/>
  <c r="BP124" i="34"/>
  <c r="BP127" i="34"/>
  <c r="BP130" i="34"/>
  <c r="BP133" i="34"/>
  <c r="BP134" i="34"/>
  <c r="BP138" i="34"/>
  <c r="BP12" i="34"/>
  <c r="BP53" i="34"/>
  <c r="BP15" i="34"/>
  <c r="BP19" i="34"/>
  <c r="BP23" i="34"/>
  <c r="BP27" i="34"/>
  <c r="BP32" i="34"/>
  <c r="BP36" i="34"/>
  <c r="BP40" i="34"/>
  <c r="BP44" i="34"/>
  <c r="BP48" i="34"/>
  <c r="BP52" i="34"/>
  <c r="BP57" i="34"/>
  <c r="BP63" i="34"/>
  <c r="BP67" i="34"/>
  <c r="BP71" i="34"/>
  <c r="BP75" i="34"/>
  <c r="BP56" i="34"/>
  <c r="BP60" i="34"/>
  <c r="BP64" i="34"/>
  <c r="BP68" i="34"/>
  <c r="BP72" i="34"/>
  <c r="BP76" i="34"/>
  <c r="BP81" i="34"/>
  <c r="BP85" i="34"/>
  <c r="BP89" i="34"/>
  <c r="BP93" i="34"/>
  <c r="BP97" i="34"/>
  <c r="BP80" i="34"/>
  <c r="BP84" i="34"/>
  <c r="BP88" i="34"/>
  <c r="BP92" i="34"/>
  <c r="BP96" i="34"/>
  <c r="BP100" i="34"/>
  <c r="BP104" i="34"/>
  <c r="BP108" i="34"/>
  <c r="BP101" i="34"/>
  <c r="BP105" i="34"/>
  <c r="BP109" i="34"/>
  <c r="BP113" i="34"/>
  <c r="BP117" i="34"/>
  <c r="BP110" i="34"/>
  <c r="BP114" i="34"/>
  <c r="BP118" i="34"/>
  <c r="BP122" i="34"/>
  <c r="BP121" i="34"/>
  <c r="BP125" i="34"/>
  <c r="BP129" i="34"/>
  <c r="BP128" i="34"/>
  <c r="BP131" i="34"/>
  <c r="BP132" i="34"/>
  <c r="BP136" i="34"/>
  <c r="BP137" i="34"/>
  <c r="BP11" i="34"/>
  <c r="BP10" i="34"/>
  <c r="BP8" i="34" s="1"/>
  <c r="BP25" i="34"/>
  <c r="BP30" i="34"/>
  <c r="BP38" i="34"/>
  <c r="BP65" i="34"/>
  <c r="BP69" i="34"/>
  <c r="BP77" i="34"/>
  <c r="BP62" i="34"/>
  <c r="BP66" i="34"/>
  <c r="BP70" i="34"/>
  <c r="BP74" i="34"/>
  <c r="BP87" i="34"/>
  <c r="BP91" i="34"/>
  <c r="BP95" i="34"/>
  <c r="BP102" i="34"/>
  <c r="BP103" i="34"/>
  <c r="BP107" i="34"/>
  <c r="BP115" i="34"/>
  <c r="BP120" i="34"/>
  <c r="BP123" i="34"/>
  <c r="BP126" i="34"/>
  <c r="BP135" i="34"/>
  <c r="BQ59" i="34" l="1"/>
  <c r="BQ55" i="34"/>
  <c r="BR9" i="34"/>
  <c r="BQ16" i="34"/>
  <c r="BQ20" i="34"/>
  <c r="BQ24" i="34"/>
  <c r="BQ29" i="34"/>
  <c r="BQ33" i="34"/>
  <c r="BQ37" i="34"/>
  <c r="BQ41" i="34"/>
  <c r="BQ45" i="34"/>
  <c r="BQ49" i="34"/>
  <c r="BQ53" i="34"/>
  <c r="BQ52" i="34"/>
  <c r="BQ57" i="34"/>
  <c r="BQ63" i="34"/>
  <c r="BQ67" i="34"/>
  <c r="BQ71" i="34"/>
  <c r="BQ75" i="34"/>
  <c r="BQ56" i="34"/>
  <c r="BQ60" i="34"/>
  <c r="BQ64" i="34"/>
  <c r="BQ68" i="34"/>
  <c r="BQ72" i="34"/>
  <c r="BQ76" i="34"/>
  <c r="BQ81" i="34"/>
  <c r="BQ85" i="34"/>
  <c r="BQ89" i="34"/>
  <c r="BQ93" i="34"/>
  <c r="BQ97" i="34"/>
  <c r="BQ80" i="34"/>
  <c r="BQ84" i="34"/>
  <c r="BQ88" i="34"/>
  <c r="BQ92" i="34"/>
  <c r="BQ96" i="34"/>
  <c r="BQ100" i="34"/>
  <c r="BQ104" i="34"/>
  <c r="BQ108" i="34"/>
  <c r="BQ101" i="34"/>
  <c r="BQ105" i="34"/>
  <c r="BQ109" i="34"/>
  <c r="BQ113" i="34"/>
  <c r="BQ117" i="34"/>
  <c r="BQ110" i="34"/>
  <c r="BQ114" i="34"/>
  <c r="BQ118" i="34"/>
  <c r="BQ122" i="34"/>
  <c r="BQ121" i="34"/>
  <c r="BQ125" i="34"/>
  <c r="BQ129" i="34"/>
  <c r="BQ128" i="34"/>
  <c r="BQ132" i="34"/>
  <c r="BQ136" i="34"/>
  <c r="BQ137" i="34"/>
  <c r="BQ11" i="34"/>
  <c r="BQ10" i="34"/>
  <c r="BQ8" i="34" s="1"/>
  <c r="BQ14" i="34"/>
  <c r="BQ18" i="34"/>
  <c r="BQ22" i="34"/>
  <c r="BQ26" i="34"/>
  <c r="BQ31" i="34"/>
  <c r="BQ13" i="34"/>
  <c r="BQ17" i="34"/>
  <c r="BQ50" i="34"/>
  <c r="BQ54" i="34"/>
  <c r="BQ61" i="34"/>
  <c r="BQ65" i="34"/>
  <c r="BQ69" i="34"/>
  <c r="BQ73" i="34"/>
  <c r="BQ77" i="34"/>
  <c r="BQ58" i="34"/>
  <c r="BQ62" i="34"/>
  <c r="BQ66" i="34"/>
  <c r="BQ70" i="34"/>
  <c r="BQ74" i="34"/>
  <c r="BQ79" i="34"/>
  <c r="BQ83" i="34"/>
  <c r="BQ87" i="34"/>
  <c r="BQ91" i="34"/>
  <c r="BQ95" i="34"/>
  <c r="BQ78" i="34"/>
  <c r="BQ82" i="34"/>
  <c r="BQ86" i="34"/>
  <c r="BQ90" i="34"/>
  <c r="BQ94" i="34"/>
  <c r="BQ98" i="34"/>
  <c r="BQ102" i="34"/>
  <c r="BQ106" i="34"/>
  <c r="BQ99" i="34"/>
  <c r="BQ103" i="34"/>
  <c r="BQ107" i="34"/>
  <c r="BQ111" i="34"/>
  <c r="BQ115" i="34"/>
  <c r="BQ119" i="34"/>
  <c r="BQ112" i="34"/>
  <c r="BQ116" i="34"/>
  <c r="BQ120" i="34"/>
  <c r="BQ124" i="34"/>
  <c r="BQ123" i="34"/>
  <c r="BQ127" i="34"/>
  <c r="BQ126" i="34"/>
  <c r="BQ130" i="34"/>
  <c r="BQ133" i="34"/>
  <c r="BQ134" i="34"/>
  <c r="BQ135" i="34"/>
  <c r="BQ138" i="34"/>
  <c r="BQ35" i="34"/>
  <c r="BQ39" i="34"/>
  <c r="BQ43" i="34"/>
  <c r="BQ47" i="34"/>
  <c r="BQ51" i="34"/>
  <c r="BQ21" i="34"/>
  <c r="BQ25" i="34"/>
  <c r="BQ38" i="34"/>
  <c r="BQ12" i="34"/>
  <c r="BQ15" i="34"/>
  <c r="BQ19" i="34"/>
  <c r="BQ23" i="34"/>
  <c r="BQ27" i="34"/>
  <c r="BQ32" i="34"/>
  <c r="BQ36" i="34"/>
  <c r="BQ40" i="34"/>
  <c r="BQ44" i="34"/>
  <c r="BQ48" i="34"/>
  <c r="BQ131" i="34"/>
  <c r="BQ30" i="34"/>
  <c r="BQ34" i="34"/>
  <c r="BQ42" i="34"/>
  <c r="BQ46" i="34"/>
  <c r="BR59" i="34" l="1"/>
  <c r="BR55" i="34"/>
  <c r="BS9" i="34"/>
  <c r="BR12" i="34"/>
  <c r="BR53" i="34"/>
  <c r="BR15" i="34"/>
  <c r="BR19" i="34"/>
  <c r="BR23" i="34"/>
  <c r="BR27" i="34"/>
  <c r="BR32" i="34"/>
  <c r="BR36" i="34"/>
  <c r="BR40" i="34"/>
  <c r="BR44" i="34"/>
  <c r="BR48" i="34"/>
  <c r="BR52" i="34"/>
  <c r="BR57" i="34"/>
  <c r="BR63" i="34"/>
  <c r="BR67" i="34"/>
  <c r="BR71" i="34"/>
  <c r="BR75" i="34"/>
  <c r="BR56" i="34"/>
  <c r="BR60" i="34"/>
  <c r="BR64" i="34"/>
  <c r="BR68" i="34"/>
  <c r="BR72" i="34"/>
  <c r="BR76" i="34"/>
  <c r="BR81" i="34"/>
  <c r="BR85" i="34"/>
  <c r="BR89" i="34"/>
  <c r="BR93" i="34"/>
  <c r="BR97" i="34"/>
  <c r="BR80" i="34"/>
  <c r="BR84" i="34"/>
  <c r="BR88" i="34"/>
  <c r="BR92" i="34"/>
  <c r="BR96" i="34"/>
  <c r="BR100" i="34"/>
  <c r="BR104" i="34"/>
  <c r="BR108" i="34"/>
  <c r="BR101" i="34"/>
  <c r="BR105" i="34"/>
  <c r="BR109" i="34"/>
  <c r="BR113" i="34"/>
  <c r="BR117" i="34"/>
  <c r="BR110" i="34"/>
  <c r="BR114" i="34"/>
  <c r="BR118" i="34"/>
  <c r="BR122" i="34"/>
  <c r="BR121" i="34"/>
  <c r="BR125" i="34"/>
  <c r="BR129" i="34"/>
  <c r="BR128" i="34"/>
  <c r="BR131" i="34"/>
  <c r="BR132" i="34"/>
  <c r="BR137" i="34"/>
  <c r="BR11" i="34"/>
  <c r="BR10" i="34"/>
  <c r="BR8" i="34" s="1"/>
  <c r="BR35" i="34"/>
  <c r="BR39" i="34"/>
  <c r="BR43" i="34"/>
  <c r="BR47" i="34"/>
  <c r="BR21" i="34"/>
  <c r="BR25" i="34"/>
  <c r="BR30" i="34"/>
  <c r="BR34" i="34"/>
  <c r="BR38" i="34"/>
  <c r="BR42" i="34"/>
  <c r="BR46" i="34"/>
  <c r="BR50" i="34"/>
  <c r="BR54" i="34"/>
  <c r="BR61" i="34"/>
  <c r="BR65" i="34"/>
  <c r="BR69" i="34"/>
  <c r="BR73" i="34"/>
  <c r="BR77" i="34"/>
  <c r="BR58" i="34"/>
  <c r="BR62" i="34"/>
  <c r="BR66" i="34"/>
  <c r="BR70" i="34"/>
  <c r="BR74" i="34"/>
  <c r="BR79" i="34"/>
  <c r="BR83" i="34"/>
  <c r="BR87" i="34"/>
  <c r="BR91" i="34"/>
  <c r="BR95" i="34"/>
  <c r="BR78" i="34"/>
  <c r="BR82" i="34"/>
  <c r="BR86" i="34"/>
  <c r="BR90" i="34"/>
  <c r="BR94" i="34"/>
  <c r="BR98" i="34"/>
  <c r="BR102" i="34"/>
  <c r="BR106" i="34"/>
  <c r="BR99" i="34"/>
  <c r="BR103" i="34"/>
  <c r="BR107" i="34"/>
  <c r="BR111" i="34"/>
  <c r="BR115" i="34"/>
  <c r="BR119" i="34"/>
  <c r="BR112" i="34"/>
  <c r="BR116" i="34"/>
  <c r="BR120" i="34"/>
  <c r="BR124" i="34"/>
  <c r="BR123" i="34"/>
  <c r="BR127" i="34"/>
  <c r="BR126" i="34"/>
  <c r="BR130" i="34"/>
  <c r="BR133" i="34"/>
  <c r="BR134" i="34"/>
  <c r="BR135" i="34"/>
  <c r="BR138" i="34"/>
  <c r="BR14" i="34"/>
  <c r="BR26" i="34"/>
  <c r="BR51" i="34"/>
  <c r="BR13" i="34"/>
  <c r="BR17" i="34"/>
  <c r="BR16" i="34"/>
  <c r="BR20" i="34"/>
  <c r="BR24" i="34"/>
  <c r="BR29" i="34"/>
  <c r="BR33" i="34"/>
  <c r="BR37" i="34"/>
  <c r="BR41" i="34"/>
  <c r="BR45" i="34"/>
  <c r="BR49" i="34"/>
  <c r="BR136" i="34"/>
  <c r="BR18" i="34"/>
  <c r="BR22" i="34"/>
  <c r="BR31" i="34"/>
  <c r="BS59" i="34" l="1"/>
  <c r="BS55" i="34"/>
  <c r="BT9" i="34"/>
  <c r="BS12" i="34"/>
  <c r="BS35" i="34"/>
  <c r="BS39" i="34"/>
  <c r="BS43" i="34"/>
  <c r="BS47" i="34"/>
  <c r="BS51" i="34"/>
  <c r="BS13" i="34"/>
  <c r="BS10" i="34"/>
  <c r="BS8" i="34" s="1"/>
  <c r="BS14" i="34"/>
  <c r="BS18" i="34"/>
  <c r="BS22" i="34"/>
  <c r="BS17" i="34"/>
  <c r="BS21" i="34"/>
  <c r="BS25" i="34"/>
  <c r="BS38" i="34"/>
  <c r="BS42" i="34"/>
  <c r="BS46" i="34"/>
  <c r="BS61" i="34"/>
  <c r="BS65" i="34"/>
  <c r="BS69" i="34"/>
  <c r="BS73" i="34"/>
  <c r="BS58" i="34"/>
  <c r="BS62" i="34"/>
  <c r="BS66" i="34"/>
  <c r="BS70" i="34"/>
  <c r="BS74" i="34"/>
  <c r="BS91" i="34"/>
  <c r="BS95" i="34"/>
  <c r="BS102" i="34"/>
  <c r="BS99" i="34"/>
  <c r="BS103" i="34"/>
  <c r="BS107" i="34"/>
  <c r="BS119" i="34"/>
  <c r="BS120" i="34"/>
  <c r="BS123" i="34"/>
  <c r="BS16" i="34"/>
  <c r="BS20" i="34"/>
  <c r="BS24" i="34"/>
  <c r="BS29" i="34"/>
  <c r="BS33" i="34"/>
  <c r="BS37" i="34"/>
  <c r="BS41" i="34"/>
  <c r="BS45" i="34"/>
  <c r="BS49" i="34"/>
  <c r="BS53" i="34"/>
  <c r="BS15" i="34"/>
  <c r="BS19" i="34"/>
  <c r="BS23" i="34"/>
  <c r="BS27" i="34"/>
  <c r="BS32" i="34"/>
  <c r="BS36" i="34"/>
  <c r="BS40" i="34"/>
  <c r="BS44" i="34"/>
  <c r="BS48" i="34"/>
  <c r="BS52" i="34"/>
  <c r="BS57" i="34"/>
  <c r="BS63" i="34"/>
  <c r="BS67" i="34"/>
  <c r="BS71" i="34"/>
  <c r="BS75" i="34"/>
  <c r="BS56" i="34"/>
  <c r="BS60" i="34"/>
  <c r="BS64" i="34"/>
  <c r="BS68" i="34"/>
  <c r="BS72" i="34"/>
  <c r="BS76" i="34"/>
  <c r="BS81" i="34"/>
  <c r="BS85" i="34"/>
  <c r="BS89" i="34"/>
  <c r="BS93" i="34"/>
  <c r="BS97" i="34"/>
  <c r="BS80" i="34"/>
  <c r="BS84" i="34"/>
  <c r="BS88" i="34"/>
  <c r="BS92" i="34"/>
  <c r="BS96" i="34"/>
  <c r="BS100" i="34"/>
  <c r="BS104" i="34"/>
  <c r="BS108" i="34"/>
  <c r="BS101" i="34"/>
  <c r="BS105" i="34"/>
  <c r="BS109" i="34"/>
  <c r="BS113" i="34"/>
  <c r="BS117" i="34"/>
  <c r="BS110" i="34"/>
  <c r="BS114" i="34"/>
  <c r="BS118" i="34"/>
  <c r="BS122" i="34"/>
  <c r="BS121" i="34"/>
  <c r="BS125" i="34"/>
  <c r="BS129" i="34"/>
  <c r="BS128" i="34"/>
  <c r="BS131" i="34"/>
  <c r="BS132" i="34"/>
  <c r="BS136" i="34"/>
  <c r="BS137" i="34"/>
  <c r="BS11" i="34"/>
  <c r="BS26" i="34"/>
  <c r="BS31" i="34"/>
  <c r="BS30" i="34"/>
  <c r="BS34" i="34"/>
  <c r="BS50" i="34"/>
  <c r="BS54" i="34"/>
  <c r="BS77" i="34"/>
  <c r="BS79" i="34"/>
  <c r="BS83" i="34"/>
  <c r="BS87" i="34"/>
  <c r="BS78" i="34"/>
  <c r="BS82" i="34"/>
  <c r="BS86" i="34"/>
  <c r="BS90" i="34"/>
  <c r="BS94" i="34"/>
  <c r="BS98" i="34"/>
  <c r="BS106" i="34"/>
  <c r="BS111" i="34"/>
  <c r="BS115" i="34"/>
  <c r="BS112" i="34"/>
  <c r="BS116" i="34"/>
  <c r="BS124" i="34"/>
  <c r="BS127" i="34"/>
  <c r="BS126" i="34"/>
  <c r="BS130" i="34"/>
  <c r="BS133" i="34"/>
  <c r="BS134" i="34"/>
  <c r="BS135" i="34"/>
  <c r="BS138" i="34"/>
  <c r="BT59" i="34" l="1"/>
  <c r="BT55" i="34"/>
  <c r="BU9" i="34"/>
  <c r="BT12" i="34"/>
  <c r="BT136" i="34"/>
  <c r="BT31" i="34"/>
  <c r="BT35" i="34"/>
  <c r="BT39" i="34"/>
  <c r="BT43" i="34"/>
  <c r="BT47" i="34"/>
  <c r="BT51" i="34"/>
  <c r="BT13" i="34"/>
  <c r="BT17" i="34"/>
  <c r="BT14" i="34"/>
  <c r="BT18" i="34"/>
  <c r="BT26" i="34"/>
  <c r="BT34" i="34"/>
  <c r="BT42" i="34"/>
  <c r="BT46" i="34"/>
  <c r="BT50" i="34"/>
  <c r="BT54" i="34"/>
  <c r="BT73" i="34"/>
  <c r="BT58" i="34"/>
  <c r="BT79" i="34"/>
  <c r="BT83" i="34"/>
  <c r="BT78" i="34"/>
  <c r="BT82" i="34"/>
  <c r="BT86" i="34"/>
  <c r="BT90" i="34"/>
  <c r="BT94" i="34"/>
  <c r="BT98" i="34"/>
  <c r="BT106" i="34"/>
  <c r="BT111" i="34"/>
  <c r="BT119" i="34"/>
  <c r="BT116" i="34"/>
  <c r="BT124" i="34"/>
  <c r="BT127" i="34"/>
  <c r="BT130" i="34"/>
  <c r="BT133" i="34"/>
  <c r="BT134" i="34"/>
  <c r="BT138" i="34"/>
  <c r="BT16" i="34"/>
  <c r="BT20" i="34"/>
  <c r="BT24" i="34"/>
  <c r="BT29" i="34"/>
  <c r="BT33" i="34"/>
  <c r="BT37" i="34"/>
  <c r="BT41" i="34"/>
  <c r="BT45" i="34"/>
  <c r="BT49" i="34"/>
  <c r="BT53" i="34"/>
  <c r="BT15" i="34"/>
  <c r="BT19" i="34"/>
  <c r="BT23" i="34"/>
  <c r="BT27" i="34"/>
  <c r="BT32" i="34"/>
  <c r="BT36" i="34"/>
  <c r="BT40" i="34"/>
  <c r="BT44" i="34"/>
  <c r="BT48" i="34"/>
  <c r="BT52" i="34"/>
  <c r="BT57" i="34"/>
  <c r="BT63" i="34"/>
  <c r="BT67" i="34"/>
  <c r="BT71" i="34"/>
  <c r="BT75" i="34"/>
  <c r="BT56" i="34"/>
  <c r="BT60" i="34"/>
  <c r="BT64" i="34"/>
  <c r="BT68" i="34"/>
  <c r="BT72" i="34"/>
  <c r="BT76" i="34"/>
  <c r="BT81" i="34"/>
  <c r="BT85" i="34"/>
  <c r="BT89" i="34"/>
  <c r="BT93" i="34"/>
  <c r="BT97" i="34"/>
  <c r="BT80" i="34"/>
  <c r="BT84" i="34"/>
  <c r="BT88" i="34"/>
  <c r="BT92" i="34"/>
  <c r="BT96" i="34"/>
  <c r="BT100" i="34"/>
  <c r="BT104" i="34"/>
  <c r="BT108" i="34"/>
  <c r="BT101" i="34"/>
  <c r="BT105" i="34"/>
  <c r="BT109" i="34"/>
  <c r="BT113" i="34"/>
  <c r="BT117" i="34"/>
  <c r="BT110" i="34"/>
  <c r="BT114" i="34"/>
  <c r="BT118" i="34"/>
  <c r="BT122" i="34"/>
  <c r="BT121" i="34"/>
  <c r="BT125" i="34"/>
  <c r="BT129" i="34"/>
  <c r="BT128" i="34"/>
  <c r="BT131" i="34"/>
  <c r="BT132" i="34"/>
  <c r="BT137" i="34"/>
  <c r="BT11" i="34"/>
  <c r="BT10" i="34"/>
  <c r="BT8" i="34" s="1"/>
  <c r="BT22" i="34"/>
  <c r="BT21" i="34"/>
  <c r="BT25" i="34"/>
  <c r="BT30" i="34"/>
  <c r="BT38" i="34"/>
  <c r="BT61" i="34"/>
  <c r="BT65" i="34"/>
  <c r="BT69" i="34"/>
  <c r="BT77" i="34"/>
  <c r="BT62" i="34"/>
  <c r="BT66" i="34"/>
  <c r="BT70" i="34"/>
  <c r="BT74" i="34"/>
  <c r="BT87" i="34"/>
  <c r="BT91" i="34"/>
  <c r="BT95" i="34"/>
  <c r="BT102" i="34"/>
  <c r="BT99" i="34"/>
  <c r="BT103" i="34"/>
  <c r="BT107" i="34"/>
  <c r="BT115" i="34"/>
  <c r="BT112" i="34"/>
  <c r="BT120" i="34"/>
  <c r="BT123" i="34"/>
  <c r="BT126" i="34"/>
  <c r="BT135" i="34"/>
  <c r="BU59" i="34" l="1"/>
  <c r="BU55" i="34"/>
  <c r="BV9" i="34"/>
  <c r="BU16" i="34"/>
  <c r="BU20" i="34"/>
  <c r="BU24" i="34"/>
  <c r="BU29" i="34"/>
  <c r="BU33" i="34"/>
  <c r="BU37" i="34"/>
  <c r="BU41" i="34"/>
  <c r="BU45" i="34"/>
  <c r="BU49" i="34"/>
  <c r="BU53" i="34"/>
  <c r="BU15" i="34"/>
  <c r="BU19" i="34"/>
  <c r="BU23" i="34"/>
  <c r="BU27" i="34"/>
  <c r="BU32" i="34"/>
  <c r="BU36" i="34"/>
  <c r="BU40" i="34"/>
  <c r="BU44" i="34"/>
  <c r="BU48" i="34"/>
  <c r="BU52" i="34"/>
  <c r="BU57" i="34"/>
  <c r="BU63" i="34"/>
  <c r="BU67" i="34"/>
  <c r="BU71" i="34"/>
  <c r="BU75" i="34"/>
  <c r="BU56" i="34"/>
  <c r="BU60" i="34"/>
  <c r="BU64" i="34"/>
  <c r="BU68" i="34"/>
  <c r="BU72" i="34"/>
  <c r="BU76" i="34"/>
  <c r="BU81" i="34"/>
  <c r="BU85" i="34"/>
  <c r="BU89" i="34"/>
  <c r="BU93" i="34"/>
  <c r="BU97" i="34"/>
  <c r="BU80" i="34"/>
  <c r="BU84" i="34"/>
  <c r="BU88" i="34"/>
  <c r="BU92" i="34"/>
  <c r="BU96" i="34"/>
  <c r="BU100" i="34"/>
  <c r="BU104" i="34"/>
  <c r="BU108" i="34"/>
  <c r="BU101" i="34"/>
  <c r="BU105" i="34"/>
  <c r="BU109" i="34"/>
  <c r="BU113" i="34"/>
  <c r="BU117" i="34"/>
  <c r="BU110" i="34"/>
  <c r="BU114" i="34"/>
  <c r="BU118" i="34"/>
  <c r="BU122" i="34"/>
  <c r="BU121" i="34"/>
  <c r="BU125" i="34"/>
  <c r="BU129" i="34"/>
  <c r="BU128" i="34"/>
  <c r="BU131" i="34"/>
  <c r="BU132" i="34"/>
  <c r="BU136" i="34"/>
  <c r="BU137" i="34"/>
  <c r="BU11" i="34"/>
  <c r="BU10" i="34"/>
  <c r="BU8" i="34" s="1"/>
  <c r="BU14" i="34"/>
  <c r="BU18" i="34"/>
  <c r="BU22" i="34"/>
  <c r="BU26" i="34"/>
  <c r="BU31" i="34"/>
  <c r="BU21" i="34"/>
  <c r="BU25" i="34"/>
  <c r="BU30" i="34"/>
  <c r="BU34" i="34"/>
  <c r="BU38" i="34"/>
  <c r="BU42" i="34"/>
  <c r="BU46" i="34"/>
  <c r="BU50" i="34"/>
  <c r="BU54" i="34"/>
  <c r="BU61" i="34"/>
  <c r="BU65" i="34"/>
  <c r="BU69" i="34"/>
  <c r="BU73" i="34"/>
  <c r="BU77" i="34"/>
  <c r="BU58" i="34"/>
  <c r="BU62" i="34"/>
  <c r="BU66" i="34"/>
  <c r="BU70" i="34"/>
  <c r="BU74" i="34"/>
  <c r="BU79" i="34"/>
  <c r="BU83" i="34"/>
  <c r="BU87" i="34"/>
  <c r="BU91" i="34"/>
  <c r="BU95" i="34"/>
  <c r="BU78" i="34"/>
  <c r="BU82" i="34"/>
  <c r="BU86" i="34"/>
  <c r="BU90" i="34"/>
  <c r="BU94" i="34"/>
  <c r="BU98" i="34"/>
  <c r="BU102" i="34"/>
  <c r="BU106" i="34"/>
  <c r="BU99" i="34"/>
  <c r="BU103" i="34"/>
  <c r="BU107" i="34"/>
  <c r="BU111" i="34"/>
  <c r="BU115" i="34"/>
  <c r="BU119" i="34"/>
  <c r="BU112" i="34"/>
  <c r="BU116" i="34"/>
  <c r="BU120" i="34"/>
  <c r="BU124" i="34"/>
  <c r="BU123" i="34"/>
  <c r="BU127" i="34"/>
  <c r="BU126" i="34"/>
  <c r="BU130" i="34"/>
  <c r="BU133" i="34"/>
  <c r="BU134" i="34"/>
  <c r="BU135" i="34"/>
  <c r="BU138" i="34"/>
  <c r="BU35" i="34"/>
  <c r="BU39" i="34"/>
  <c r="BU43" i="34"/>
  <c r="BU47" i="34"/>
  <c r="BU51" i="34"/>
  <c r="BU13" i="34"/>
  <c r="BU17" i="34"/>
  <c r="BU12" i="34"/>
  <c r="BX138" i="34" l="1"/>
  <c r="BX137" i="34"/>
  <c r="BX136" i="34"/>
  <c r="BX135" i="34"/>
  <c r="BX134" i="34"/>
  <c r="BX132" i="34"/>
  <c r="BX133" i="34"/>
  <c r="BX131" i="34"/>
  <c r="BX130" i="34"/>
  <c r="BX128" i="34"/>
  <c r="BX126" i="34"/>
  <c r="BX129" i="34"/>
  <c r="BX127" i="34"/>
  <c r="BX125" i="34"/>
  <c r="BX123" i="34"/>
  <c r="BX121" i="34"/>
  <c r="BX124" i="34"/>
  <c r="BX122" i="34"/>
  <c r="BX120" i="34"/>
  <c r="BX118" i="34"/>
  <c r="BX116" i="34"/>
  <c r="BX114" i="34"/>
  <c r="BX112" i="34"/>
  <c r="BX110" i="34"/>
  <c r="BX119" i="34"/>
  <c r="BX117" i="34"/>
  <c r="BX115" i="34"/>
  <c r="BX113" i="34"/>
  <c r="BX111" i="34"/>
  <c r="BX109" i="34"/>
  <c r="BX107" i="34"/>
  <c r="BX105" i="34"/>
  <c r="BX103" i="34"/>
  <c r="BX101" i="34"/>
  <c r="BX99" i="34"/>
  <c r="BX108" i="34"/>
  <c r="BX106" i="34"/>
  <c r="BX104" i="34"/>
  <c r="BX102" i="34"/>
  <c r="BX100" i="34"/>
  <c r="BX98" i="34"/>
  <c r="BX96" i="34"/>
  <c r="BX94" i="34"/>
  <c r="BX92" i="34"/>
  <c r="BX90" i="34"/>
  <c r="BX88" i="34"/>
  <c r="BX86" i="34"/>
  <c r="BX84" i="34"/>
  <c r="BX82" i="34"/>
  <c r="BX80" i="34"/>
  <c r="BX78" i="34"/>
  <c r="BX97" i="34"/>
  <c r="BX95" i="34"/>
  <c r="BX93" i="34"/>
  <c r="BX91" i="34"/>
  <c r="BX89" i="34"/>
  <c r="BX87" i="34"/>
  <c r="BX85" i="34"/>
  <c r="BX83" i="34"/>
  <c r="BX81" i="34"/>
  <c r="BX79" i="34"/>
  <c r="BX76" i="34"/>
  <c r="BX74" i="34"/>
  <c r="BX72" i="34"/>
  <c r="BX70" i="34"/>
  <c r="BX68" i="34"/>
  <c r="BX66" i="34"/>
  <c r="BX64" i="34"/>
  <c r="BX62" i="34"/>
  <c r="BX60" i="34"/>
  <c r="BX58" i="34"/>
  <c r="BX56" i="34"/>
  <c r="BX77" i="34"/>
  <c r="BX75" i="34"/>
  <c r="BX73" i="34"/>
  <c r="BX71" i="34"/>
  <c r="BX69" i="34"/>
  <c r="BX67" i="34"/>
  <c r="BX65" i="34"/>
  <c r="BX63" i="34"/>
  <c r="BX61" i="34"/>
  <c r="BX59" i="34"/>
  <c r="BV59" i="34"/>
  <c r="BW59" i="34" s="1"/>
  <c r="BX57" i="34"/>
  <c r="BX54" i="34"/>
  <c r="BX52" i="34"/>
  <c r="BX50" i="34"/>
  <c r="BX48" i="34"/>
  <c r="BX46" i="34"/>
  <c r="BX44" i="34"/>
  <c r="BX42" i="34"/>
  <c r="BX40" i="34"/>
  <c r="BX38" i="34"/>
  <c r="BX36" i="34"/>
  <c r="BX34" i="34"/>
  <c r="BX32" i="34"/>
  <c r="BX30" i="34"/>
  <c r="BX27" i="34"/>
  <c r="BX25" i="34"/>
  <c r="BX23" i="34"/>
  <c r="BX21" i="34"/>
  <c r="BX19" i="34"/>
  <c r="BX17" i="34"/>
  <c r="BX15" i="34"/>
  <c r="BX13" i="34"/>
  <c r="BX55" i="34"/>
  <c r="BV55" i="34"/>
  <c r="BW55" i="34" s="1"/>
  <c r="BX53" i="34"/>
  <c r="BX51" i="34"/>
  <c r="BX10" i="34"/>
  <c r="BY9" i="34"/>
  <c r="BZ9" i="34" s="1"/>
  <c r="CA9" i="34" s="1"/>
  <c r="CB9" i="34" s="1"/>
  <c r="CC9" i="34" s="1"/>
  <c r="CD9" i="34" s="1"/>
  <c r="CE9" i="34" s="1"/>
  <c r="CF9" i="34" s="1"/>
  <c r="CG9" i="34" s="1"/>
  <c r="CH9" i="34" s="1"/>
  <c r="CI9" i="34" s="1"/>
  <c r="CJ9" i="34" s="1"/>
  <c r="BX49" i="34"/>
  <c r="BX47" i="34"/>
  <c r="BX45" i="34"/>
  <c r="BX43" i="34"/>
  <c r="BX41" i="34"/>
  <c r="BX39" i="34"/>
  <c r="BX37" i="34"/>
  <c r="BX35" i="34"/>
  <c r="BX33" i="34"/>
  <c r="BX31" i="34"/>
  <c r="BX29" i="34"/>
  <c r="BX26" i="34"/>
  <c r="BX24" i="34"/>
  <c r="BX22" i="34"/>
  <c r="BX20" i="34"/>
  <c r="BX18" i="34"/>
  <c r="BX16" i="34"/>
  <c r="BX14" i="34"/>
  <c r="BX12" i="34"/>
  <c r="BX11" i="34"/>
  <c r="BV16" i="34"/>
  <c r="BV20" i="34"/>
  <c r="BV24" i="34"/>
  <c r="BV29" i="34"/>
  <c r="BV33" i="34"/>
  <c r="BV37" i="34"/>
  <c r="BV41" i="34"/>
  <c r="BV45" i="34"/>
  <c r="BV49" i="34"/>
  <c r="BV53" i="34"/>
  <c r="BV15" i="34"/>
  <c r="BV19" i="34"/>
  <c r="BV23" i="34"/>
  <c r="BV27" i="34"/>
  <c r="BV32" i="34"/>
  <c r="BV36" i="34"/>
  <c r="BV40" i="34"/>
  <c r="BV44" i="34"/>
  <c r="BV48" i="34"/>
  <c r="BV52" i="34"/>
  <c r="BV57" i="34"/>
  <c r="BV63" i="34"/>
  <c r="BV67" i="34"/>
  <c r="BV71" i="34"/>
  <c r="BV75" i="34"/>
  <c r="BV56" i="34"/>
  <c r="BV60" i="34"/>
  <c r="BV64" i="34"/>
  <c r="BV68" i="34"/>
  <c r="BV72" i="34"/>
  <c r="BV76" i="34"/>
  <c r="BV81" i="34"/>
  <c r="BV85" i="34"/>
  <c r="BV89" i="34"/>
  <c r="BV93" i="34"/>
  <c r="BV97" i="34"/>
  <c r="BV80" i="34"/>
  <c r="BV84" i="34"/>
  <c r="BV88" i="34"/>
  <c r="BV92" i="34"/>
  <c r="BV96" i="34"/>
  <c r="BV100" i="34"/>
  <c r="BV104" i="34"/>
  <c r="BV108" i="34"/>
  <c r="BV101" i="34"/>
  <c r="BV105" i="34"/>
  <c r="BV109" i="34"/>
  <c r="BV113" i="34"/>
  <c r="BV117" i="34"/>
  <c r="BV110" i="34"/>
  <c r="BV114" i="34"/>
  <c r="BV118" i="34"/>
  <c r="BV122" i="34"/>
  <c r="BV121" i="34"/>
  <c r="BV125" i="34"/>
  <c r="BV129" i="34"/>
  <c r="BV128" i="34"/>
  <c r="BV131" i="34"/>
  <c r="BV132" i="34"/>
  <c r="BV136" i="34"/>
  <c r="BV137" i="34"/>
  <c r="BV11" i="34"/>
  <c r="BV10" i="34"/>
  <c r="BV8" i="34" s="1"/>
  <c r="BV14" i="34"/>
  <c r="BV18" i="34"/>
  <c r="BV22" i="34"/>
  <c r="BV26" i="34"/>
  <c r="BV31" i="34"/>
  <c r="BV21" i="34"/>
  <c r="BV25" i="34"/>
  <c r="BV30" i="34"/>
  <c r="BV34" i="34"/>
  <c r="BV38" i="34"/>
  <c r="BV42" i="34"/>
  <c r="BV46" i="34"/>
  <c r="BV50" i="34"/>
  <c r="BV54" i="34"/>
  <c r="BV61" i="34"/>
  <c r="BV65" i="34"/>
  <c r="BV69" i="34"/>
  <c r="BV73" i="34"/>
  <c r="BV77" i="34"/>
  <c r="BV58" i="34"/>
  <c r="BV62" i="34"/>
  <c r="BV66" i="34"/>
  <c r="BV70" i="34"/>
  <c r="BV74" i="34"/>
  <c r="BV79" i="34"/>
  <c r="BV83" i="34"/>
  <c r="BV87" i="34"/>
  <c r="BV91" i="34"/>
  <c r="BV95" i="34"/>
  <c r="BV78" i="34"/>
  <c r="BV82" i="34"/>
  <c r="BV86" i="34"/>
  <c r="BV90" i="34"/>
  <c r="BV94" i="34"/>
  <c r="BV98" i="34"/>
  <c r="BV102" i="34"/>
  <c r="BV106" i="34"/>
  <c r="BV99" i="34"/>
  <c r="BV103" i="34"/>
  <c r="BV107" i="34"/>
  <c r="BV111" i="34"/>
  <c r="BV115" i="34"/>
  <c r="BV119" i="34"/>
  <c r="BV112" i="34"/>
  <c r="BV116" i="34"/>
  <c r="BV120" i="34"/>
  <c r="BV124" i="34"/>
  <c r="BV123" i="34"/>
  <c r="BV127" i="34"/>
  <c r="BV126" i="34"/>
  <c r="BV130" i="34"/>
  <c r="BV133" i="34"/>
  <c r="BV134" i="34"/>
  <c r="BV135" i="34"/>
  <c r="BV138" i="34"/>
  <c r="BV35" i="34"/>
  <c r="BV39" i="34"/>
  <c r="BV43" i="34"/>
  <c r="BV47" i="34"/>
  <c r="BV51" i="34"/>
  <c r="BV13" i="34"/>
  <c r="BV17" i="34"/>
  <c r="BV12" i="34"/>
  <c r="CI12" i="34" l="1"/>
  <c r="CG12" i="34"/>
  <c r="CE12" i="34"/>
  <c r="CC12" i="34"/>
  <c r="CA12" i="34"/>
  <c r="BY12" i="34"/>
  <c r="CK12" i="34" s="1"/>
  <c r="CH12" i="34"/>
  <c r="CD12" i="34"/>
  <c r="BZ12" i="34"/>
  <c r="BX4" i="34"/>
  <c r="CJ12" i="34"/>
  <c r="CF12" i="34"/>
  <c r="CB12" i="34"/>
  <c r="CI16" i="34"/>
  <c r="CG16" i="34"/>
  <c r="CE16" i="34"/>
  <c r="CC16" i="34"/>
  <c r="CA16" i="34"/>
  <c r="BY16" i="34"/>
  <c r="CK16" i="34" s="1"/>
  <c r="CH16" i="34"/>
  <c r="CD16" i="34"/>
  <c r="BZ16" i="34"/>
  <c r="CJ16" i="34"/>
  <c r="CF16" i="34"/>
  <c r="CB16" i="34"/>
  <c r="CI20" i="34"/>
  <c r="CG20" i="34"/>
  <c r="CE20" i="34"/>
  <c r="CC20" i="34"/>
  <c r="CA20" i="34"/>
  <c r="BY20" i="34"/>
  <c r="CK20" i="34" s="1"/>
  <c r="CH20" i="34"/>
  <c r="CD20" i="34"/>
  <c r="BZ20" i="34"/>
  <c r="CJ20" i="34"/>
  <c r="CF20" i="34"/>
  <c r="CB20" i="34"/>
  <c r="CI24" i="34"/>
  <c r="CG24" i="34"/>
  <c r="CE24" i="34"/>
  <c r="CC24" i="34"/>
  <c r="CA24" i="34"/>
  <c r="BY24" i="34"/>
  <c r="CK24" i="34" s="1"/>
  <c r="CH24" i="34"/>
  <c r="CD24" i="34"/>
  <c r="BZ24" i="34"/>
  <c r="CJ24" i="34"/>
  <c r="CF24" i="34"/>
  <c r="CB24" i="34"/>
  <c r="CI29" i="34"/>
  <c r="CG29" i="34"/>
  <c r="CE29" i="34"/>
  <c r="CC29" i="34"/>
  <c r="CA29" i="34"/>
  <c r="BY29" i="34"/>
  <c r="CK29" i="34" s="1"/>
  <c r="CH29" i="34"/>
  <c r="CD29" i="34"/>
  <c r="BZ29" i="34"/>
  <c r="CJ29" i="34"/>
  <c r="CF29" i="34"/>
  <c r="CB29" i="34"/>
  <c r="CI33" i="34"/>
  <c r="CG33" i="34"/>
  <c r="CE33" i="34"/>
  <c r="CC33" i="34"/>
  <c r="CA33" i="34"/>
  <c r="BY33" i="34"/>
  <c r="CK33" i="34" s="1"/>
  <c r="CH33" i="34"/>
  <c r="CD33" i="34"/>
  <c r="BZ33" i="34"/>
  <c r="CJ33" i="34"/>
  <c r="CF33" i="34"/>
  <c r="CB33" i="34"/>
  <c r="CI37" i="34"/>
  <c r="CG37" i="34"/>
  <c r="CE37" i="34"/>
  <c r="CC37" i="34"/>
  <c r="CA37" i="34"/>
  <c r="BY37" i="34"/>
  <c r="CK37" i="34" s="1"/>
  <c r="CH37" i="34"/>
  <c r="CD37" i="34"/>
  <c r="BZ37" i="34"/>
  <c r="CJ37" i="34"/>
  <c r="CF37" i="34"/>
  <c r="CB37" i="34"/>
  <c r="CI41" i="34"/>
  <c r="CG41" i="34"/>
  <c r="CE41" i="34"/>
  <c r="CC41" i="34"/>
  <c r="CA41" i="34"/>
  <c r="BY41" i="34"/>
  <c r="CK41" i="34" s="1"/>
  <c r="CH41" i="34"/>
  <c r="CD41" i="34"/>
  <c r="BZ41" i="34"/>
  <c r="CJ41" i="34"/>
  <c r="CF41" i="34"/>
  <c r="CB41" i="34"/>
  <c r="CI45" i="34"/>
  <c r="CG45" i="34"/>
  <c r="CE45" i="34"/>
  <c r="CC45" i="34"/>
  <c r="CA45" i="34"/>
  <c r="BY45" i="34"/>
  <c r="CK45" i="34" s="1"/>
  <c r="CH45" i="34"/>
  <c r="CD45" i="34"/>
  <c r="BZ45" i="34"/>
  <c r="CJ45" i="34"/>
  <c r="CF45" i="34"/>
  <c r="CB45" i="34"/>
  <c r="CI49" i="34"/>
  <c r="CG49" i="34"/>
  <c r="CE49" i="34"/>
  <c r="CC49" i="34"/>
  <c r="CA49" i="34"/>
  <c r="BY49" i="34"/>
  <c r="CK49" i="34" s="1"/>
  <c r="CH49" i="34"/>
  <c r="CD49" i="34"/>
  <c r="BZ49" i="34"/>
  <c r="CJ49" i="34"/>
  <c r="CF49" i="34"/>
  <c r="CB49" i="34"/>
  <c r="CJ10" i="34"/>
  <c r="CJ8" i="34" s="1"/>
  <c r="CH10" i="34"/>
  <c r="CH8" i="34" s="1"/>
  <c r="CF10" i="34"/>
  <c r="CF8" i="34" s="1"/>
  <c r="CD10" i="34"/>
  <c r="CD8" i="34" s="1"/>
  <c r="CB10" i="34"/>
  <c r="CB8" i="34" s="1"/>
  <c r="BZ10" i="34"/>
  <c r="BZ8" i="34" s="1"/>
  <c r="BX2" i="34"/>
  <c r="CI10" i="34"/>
  <c r="CI8" i="34" s="1"/>
  <c r="CG10" i="34"/>
  <c r="CG8" i="34" s="1"/>
  <c r="CE10" i="34"/>
  <c r="CE8" i="34" s="1"/>
  <c r="CC10" i="34"/>
  <c r="CC8" i="34" s="1"/>
  <c r="CA10" i="34"/>
  <c r="CA8" i="34" s="1"/>
  <c r="BY10" i="34"/>
  <c r="BX8" i="34"/>
  <c r="CI53" i="34"/>
  <c r="CG53" i="34"/>
  <c r="CE53" i="34"/>
  <c r="CC53" i="34"/>
  <c r="CA53" i="34"/>
  <c r="BY53" i="34"/>
  <c r="CK53" i="34" s="1"/>
  <c r="CJ53" i="34"/>
  <c r="CH53" i="34"/>
  <c r="CF53" i="34"/>
  <c r="CD53" i="34"/>
  <c r="CB53" i="34"/>
  <c r="BZ53" i="34"/>
  <c r="CI55" i="34"/>
  <c r="CG55" i="34"/>
  <c r="CE55" i="34"/>
  <c r="CC55" i="34"/>
  <c r="CA55" i="34"/>
  <c r="BY55" i="34"/>
  <c r="CJ55" i="34"/>
  <c r="CH55" i="34"/>
  <c r="CF55" i="34"/>
  <c r="CD55" i="34"/>
  <c r="CB55" i="34"/>
  <c r="BZ55" i="34"/>
  <c r="CJ15" i="34"/>
  <c r="CH15" i="34"/>
  <c r="CF15" i="34"/>
  <c r="CD15" i="34"/>
  <c r="CB15" i="34"/>
  <c r="BZ15" i="34"/>
  <c r="CG15" i="34"/>
  <c r="CC15" i="34"/>
  <c r="BY15" i="34"/>
  <c r="CK15" i="34" s="1"/>
  <c r="CI15" i="34"/>
  <c r="CE15" i="34"/>
  <c r="CA15" i="34"/>
  <c r="CJ19" i="34"/>
  <c r="CH19" i="34"/>
  <c r="CF19" i="34"/>
  <c r="CD19" i="34"/>
  <c r="CB19" i="34"/>
  <c r="BZ19" i="34"/>
  <c r="CG19" i="34"/>
  <c r="CC19" i="34"/>
  <c r="BY19" i="34"/>
  <c r="CK19" i="34" s="1"/>
  <c r="CI19" i="34"/>
  <c r="CE19" i="34"/>
  <c r="CA19" i="34"/>
  <c r="CJ23" i="34"/>
  <c r="CH23" i="34"/>
  <c r="CF23" i="34"/>
  <c r="CD23" i="34"/>
  <c r="CB23" i="34"/>
  <c r="BZ23" i="34"/>
  <c r="CG23" i="34"/>
  <c r="CC23" i="34"/>
  <c r="BY23" i="34"/>
  <c r="CK23" i="34" s="1"/>
  <c r="CI23" i="34"/>
  <c r="CE23" i="34"/>
  <c r="CA23" i="34"/>
  <c r="CJ27" i="34"/>
  <c r="CH27" i="34"/>
  <c r="CF27" i="34"/>
  <c r="CD27" i="34"/>
  <c r="CB27" i="34"/>
  <c r="BZ27" i="34"/>
  <c r="CG27" i="34"/>
  <c r="CC27" i="34"/>
  <c r="BY27" i="34"/>
  <c r="CK27" i="34" s="1"/>
  <c r="CI27" i="34"/>
  <c r="CE27" i="34"/>
  <c r="CA27" i="34"/>
  <c r="CJ32" i="34"/>
  <c r="CH32" i="34"/>
  <c r="CF32" i="34"/>
  <c r="CD32" i="34"/>
  <c r="CB32" i="34"/>
  <c r="BZ32" i="34"/>
  <c r="CG32" i="34"/>
  <c r="CC32" i="34"/>
  <c r="BY32" i="34"/>
  <c r="CK32" i="34" s="1"/>
  <c r="CI32" i="34"/>
  <c r="CE32" i="34"/>
  <c r="CA32" i="34"/>
  <c r="CJ36" i="34"/>
  <c r="CH36" i="34"/>
  <c r="CF36" i="34"/>
  <c r="CD36" i="34"/>
  <c r="CB36" i="34"/>
  <c r="BZ36" i="34"/>
  <c r="CG36" i="34"/>
  <c r="CC36" i="34"/>
  <c r="BY36" i="34"/>
  <c r="CK36" i="34" s="1"/>
  <c r="CI36" i="34"/>
  <c r="CE36" i="34"/>
  <c r="CA36" i="34"/>
  <c r="CJ40" i="34"/>
  <c r="CH40" i="34"/>
  <c r="CF40" i="34"/>
  <c r="CD40" i="34"/>
  <c r="CB40" i="34"/>
  <c r="BZ40" i="34"/>
  <c r="CG40" i="34"/>
  <c r="CC40" i="34"/>
  <c r="BY40" i="34"/>
  <c r="CK40" i="34" s="1"/>
  <c r="CI40" i="34"/>
  <c r="CE40" i="34"/>
  <c r="CA40" i="34"/>
  <c r="CJ44" i="34"/>
  <c r="CH44" i="34"/>
  <c r="CF44" i="34"/>
  <c r="CD44" i="34"/>
  <c r="CB44" i="34"/>
  <c r="BZ44" i="34"/>
  <c r="CG44" i="34"/>
  <c r="CC44" i="34"/>
  <c r="BY44" i="34"/>
  <c r="CK44" i="34" s="1"/>
  <c r="CI44" i="34"/>
  <c r="CE44" i="34"/>
  <c r="CA44" i="34"/>
  <c r="CJ48" i="34"/>
  <c r="CH48" i="34"/>
  <c r="CF48" i="34"/>
  <c r="CD48" i="34"/>
  <c r="CB48" i="34"/>
  <c r="BZ48" i="34"/>
  <c r="CG48" i="34"/>
  <c r="CC48" i="34"/>
  <c r="BY48" i="34"/>
  <c r="CK48" i="34" s="1"/>
  <c r="CI48" i="34"/>
  <c r="CE48" i="34"/>
  <c r="CA48" i="34"/>
  <c r="CJ52" i="34"/>
  <c r="CH52" i="34"/>
  <c r="CF52" i="34"/>
  <c r="CD52" i="34"/>
  <c r="CB52" i="34"/>
  <c r="BZ52" i="34"/>
  <c r="CI52" i="34"/>
  <c r="CG52" i="34"/>
  <c r="CE52" i="34"/>
  <c r="CC52" i="34"/>
  <c r="CA52" i="34"/>
  <c r="BY52" i="34"/>
  <c r="CK52" i="34" s="1"/>
  <c r="CI57" i="34"/>
  <c r="CG57" i="34"/>
  <c r="CE57" i="34"/>
  <c r="CC57" i="34"/>
  <c r="CA57" i="34"/>
  <c r="BY57" i="34"/>
  <c r="CK57" i="34" s="1"/>
  <c r="CJ57" i="34"/>
  <c r="CH57" i="34"/>
  <c r="CF57" i="34"/>
  <c r="CD57" i="34"/>
  <c r="CB57" i="34"/>
  <c r="BZ57" i="34"/>
  <c r="CI59" i="34"/>
  <c r="CG59" i="34"/>
  <c r="CE59" i="34"/>
  <c r="CC59" i="34"/>
  <c r="CA59" i="34"/>
  <c r="BY59" i="34"/>
  <c r="CJ59" i="34"/>
  <c r="CH59" i="34"/>
  <c r="CF59" i="34"/>
  <c r="CD59" i="34"/>
  <c r="CB59" i="34"/>
  <c r="BZ59" i="34"/>
  <c r="CI63" i="34"/>
  <c r="CG63" i="34"/>
  <c r="CE63" i="34"/>
  <c r="CC63" i="34"/>
  <c r="CA63" i="34"/>
  <c r="BY63" i="34"/>
  <c r="CK63" i="34" s="1"/>
  <c r="CJ63" i="34"/>
  <c r="CH63" i="34"/>
  <c r="CF63" i="34"/>
  <c r="CD63" i="34"/>
  <c r="CB63" i="34"/>
  <c r="BZ63" i="34"/>
  <c r="CI67" i="34"/>
  <c r="CG67" i="34"/>
  <c r="CE67" i="34"/>
  <c r="CC67" i="34"/>
  <c r="CA67" i="34"/>
  <c r="BY67" i="34"/>
  <c r="CK67" i="34" s="1"/>
  <c r="CJ67" i="34"/>
  <c r="CH67" i="34"/>
  <c r="CF67" i="34"/>
  <c r="CD67" i="34"/>
  <c r="CB67" i="34"/>
  <c r="BZ67" i="34"/>
  <c r="CI71" i="34"/>
  <c r="CG71" i="34"/>
  <c r="CE71" i="34"/>
  <c r="CC71" i="34"/>
  <c r="CA71" i="34"/>
  <c r="BY71" i="34"/>
  <c r="CK71" i="34" s="1"/>
  <c r="CJ71" i="34"/>
  <c r="CH71" i="34"/>
  <c r="CF71" i="34"/>
  <c r="CD71" i="34"/>
  <c r="CB71" i="34"/>
  <c r="BZ71" i="34"/>
  <c r="CI75" i="34"/>
  <c r="CG75" i="34"/>
  <c r="CE75" i="34"/>
  <c r="CC75" i="34"/>
  <c r="CA75" i="34"/>
  <c r="BY75" i="34"/>
  <c r="CK75" i="34" s="1"/>
  <c r="CJ75" i="34"/>
  <c r="CH75" i="34"/>
  <c r="CF75" i="34"/>
  <c r="CD75" i="34"/>
  <c r="CB75" i="34"/>
  <c r="BZ75" i="34"/>
  <c r="CJ56" i="34"/>
  <c r="CH56" i="34"/>
  <c r="CF56" i="34"/>
  <c r="CD56" i="34"/>
  <c r="CB56" i="34"/>
  <c r="BZ56" i="34"/>
  <c r="CI56" i="34"/>
  <c r="CG56" i="34"/>
  <c r="CE56" i="34"/>
  <c r="CC56" i="34"/>
  <c r="CA56" i="34"/>
  <c r="BY56" i="34"/>
  <c r="CK56" i="34" s="1"/>
  <c r="CJ60" i="34"/>
  <c r="CH60" i="34"/>
  <c r="CF60" i="34"/>
  <c r="CD60" i="34"/>
  <c r="CB60" i="34"/>
  <c r="BZ60" i="34"/>
  <c r="CI60" i="34"/>
  <c r="CG60" i="34"/>
  <c r="CE60" i="34"/>
  <c r="CC60" i="34"/>
  <c r="CA60" i="34"/>
  <c r="BY60" i="34"/>
  <c r="CK60" i="34" s="1"/>
  <c r="CJ64" i="34"/>
  <c r="CH64" i="34"/>
  <c r="CF64" i="34"/>
  <c r="CD64" i="34"/>
  <c r="CB64" i="34"/>
  <c r="BZ64" i="34"/>
  <c r="CI64" i="34"/>
  <c r="CG64" i="34"/>
  <c r="CE64" i="34"/>
  <c r="CC64" i="34"/>
  <c r="CA64" i="34"/>
  <c r="BY64" i="34"/>
  <c r="CK64" i="34" s="1"/>
  <c r="CJ68" i="34"/>
  <c r="CH68" i="34"/>
  <c r="CF68" i="34"/>
  <c r="CD68" i="34"/>
  <c r="CB68" i="34"/>
  <c r="BZ68" i="34"/>
  <c r="CI68" i="34"/>
  <c r="CG68" i="34"/>
  <c r="CE68" i="34"/>
  <c r="CC68" i="34"/>
  <c r="CA68" i="34"/>
  <c r="BY68" i="34"/>
  <c r="CK68" i="34" s="1"/>
  <c r="CJ72" i="34"/>
  <c r="CH72" i="34"/>
  <c r="CF72" i="34"/>
  <c r="CD72" i="34"/>
  <c r="CB72" i="34"/>
  <c r="BZ72" i="34"/>
  <c r="CI72" i="34"/>
  <c r="CG72" i="34"/>
  <c r="CE72" i="34"/>
  <c r="CC72" i="34"/>
  <c r="CA72" i="34"/>
  <c r="BY72" i="34"/>
  <c r="CK72" i="34" s="1"/>
  <c r="CJ76" i="34"/>
  <c r="CH76" i="34"/>
  <c r="CF76" i="34"/>
  <c r="CD76" i="34"/>
  <c r="CB76" i="34"/>
  <c r="BZ76" i="34"/>
  <c r="CI76" i="34"/>
  <c r="CG76" i="34"/>
  <c r="CE76" i="34"/>
  <c r="CC76" i="34"/>
  <c r="CA76" i="34"/>
  <c r="BY76" i="34"/>
  <c r="CK76" i="34" s="1"/>
  <c r="CI81" i="34"/>
  <c r="CG81" i="34"/>
  <c r="CE81" i="34"/>
  <c r="CC81" i="34"/>
  <c r="CA81" i="34"/>
  <c r="BY81" i="34"/>
  <c r="CK81" i="34" s="1"/>
  <c r="CJ81" i="34"/>
  <c r="CH81" i="34"/>
  <c r="CF81" i="34"/>
  <c r="CD81" i="34"/>
  <c r="CB81" i="34"/>
  <c r="BZ81" i="34"/>
  <c r="CI85" i="34"/>
  <c r="CG85" i="34"/>
  <c r="CE85" i="34"/>
  <c r="CC85" i="34"/>
  <c r="CA85" i="34"/>
  <c r="BY85" i="34"/>
  <c r="CK85" i="34" s="1"/>
  <c r="CJ85" i="34"/>
  <c r="CH85" i="34"/>
  <c r="CF85" i="34"/>
  <c r="CD85" i="34"/>
  <c r="CB85" i="34"/>
  <c r="BZ85" i="34"/>
  <c r="CI89" i="34"/>
  <c r="CG89" i="34"/>
  <c r="CE89" i="34"/>
  <c r="CC89" i="34"/>
  <c r="CA89" i="34"/>
  <c r="BY89" i="34"/>
  <c r="CK89" i="34" s="1"/>
  <c r="CJ89" i="34"/>
  <c r="CH89" i="34"/>
  <c r="CF89" i="34"/>
  <c r="CD89" i="34"/>
  <c r="CB89" i="34"/>
  <c r="BZ89" i="34"/>
  <c r="CI93" i="34"/>
  <c r="CG93" i="34"/>
  <c r="CE93" i="34"/>
  <c r="CC93" i="34"/>
  <c r="CA93" i="34"/>
  <c r="BY93" i="34"/>
  <c r="CK93" i="34" s="1"/>
  <c r="CJ93" i="34"/>
  <c r="CH93" i="34"/>
  <c r="CF93" i="34"/>
  <c r="CD93" i="34"/>
  <c r="CB93" i="34"/>
  <c r="BZ93" i="34"/>
  <c r="CI97" i="34"/>
  <c r="CG97" i="34"/>
  <c r="CE97" i="34"/>
  <c r="CC97" i="34"/>
  <c r="CA97" i="34"/>
  <c r="BY97" i="34"/>
  <c r="CK97" i="34" s="1"/>
  <c r="CJ97" i="34"/>
  <c r="CH97" i="34"/>
  <c r="CF97" i="34"/>
  <c r="CD97" i="34"/>
  <c r="CB97" i="34"/>
  <c r="BZ97" i="34"/>
  <c r="CJ80" i="34"/>
  <c r="CH80" i="34"/>
  <c r="CF80" i="34"/>
  <c r="CD80" i="34"/>
  <c r="CB80" i="34"/>
  <c r="BZ80" i="34"/>
  <c r="CI80" i="34"/>
  <c r="CG80" i="34"/>
  <c r="CE80" i="34"/>
  <c r="CC80" i="34"/>
  <c r="CA80" i="34"/>
  <c r="BY80" i="34"/>
  <c r="CK80" i="34" s="1"/>
  <c r="CJ84" i="34"/>
  <c r="CH84" i="34"/>
  <c r="CF84" i="34"/>
  <c r="CD84" i="34"/>
  <c r="CB84" i="34"/>
  <c r="BZ84" i="34"/>
  <c r="CI84" i="34"/>
  <c r="CG84" i="34"/>
  <c r="CE84" i="34"/>
  <c r="CC84" i="34"/>
  <c r="CA84" i="34"/>
  <c r="BY84" i="34"/>
  <c r="CK84" i="34" s="1"/>
  <c r="CJ88" i="34"/>
  <c r="CH88" i="34"/>
  <c r="CF88" i="34"/>
  <c r="CD88" i="34"/>
  <c r="CB88" i="34"/>
  <c r="BZ88" i="34"/>
  <c r="CI88" i="34"/>
  <c r="CG88" i="34"/>
  <c r="CE88" i="34"/>
  <c r="CC88" i="34"/>
  <c r="CA88" i="34"/>
  <c r="BY88" i="34"/>
  <c r="CK88" i="34" s="1"/>
  <c r="CJ92" i="34"/>
  <c r="CH92" i="34"/>
  <c r="CF92" i="34"/>
  <c r="CD92" i="34"/>
  <c r="CB92" i="34"/>
  <c r="BZ92" i="34"/>
  <c r="CI92" i="34"/>
  <c r="CG92" i="34"/>
  <c r="CE92" i="34"/>
  <c r="CC92" i="34"/>
  <c r="CA92" i="34"/>
  <c r="BY92" i="34"/>
  <c r="CK92" i="34" s="1"/>
  <c r="CJ96" i="34"/>
  <c r="CH96" i="34"/>
  <c r="CF96" i="34"/>
  <c r="CD96" i="34"/>
  <c r="CB96" i="34"/>
  <c r="BZ96" i="34"/>
  <c r="CI96" i="34"/>
  <c r="CG96" i="34"/>
  <c r="CE96" i="34"/>
  <c r="CC96" i="34"/>
  <c r="CA96" i="34"/>
  <c r="BY96" i="34"/>
  <c r="CK96" i="34" s="1"/>
  <c r="CI100" i="34"/>
  <c r="CG100" i="34"/>
  <c r="CE100" i="34"/>
  <c r="CC100" i="34"/>
  <c r="CA100" i="34"/>
  <c r="BY100" i="34"/>
  <c r="CK100" i="34" s="1"/>
  <c r="CJ100" i="34"/>
  <c r="CH100" i="34"/>
  <c r="CF100" i="34"/>
  <c r="CD100" i="34"/>
  <c r="CB100" i="34"/>
  <c r="BZ100" i="34"/>
  <c r="CI104" i="34"/>
  <c r="CG104" i="34"/>
  <c r="CE104" i="34"/>
  <c r="CC104" i="34"/>
  <c r="CA104" i="34"/>
  <c r="BY104" i="34"/>
  <c r="CK104" i="34" s="1"/>
  <c r="CJ104" i="34"/>
  <c r="CH104" i="34"/>
  <c r="CF104" i="34"/>
  <c r="CD104" i="34"/>
  <c r="CB104" i="34"/>
  <c r="BZ104" i="34"/>
  <c r="CI108" i="34"/>
  <c r="CG108" i="34"/>
  <c r="CE108" i="34"/>
  <c r="CC108" i="34"/>
  <c r="CA108" i="34"/>
  <c r="BY108" i="34"/>
  <c r="CK108" i="34" s="1"/>
  <c r="CJ108" i="34"/>
  <c r="CH108" i="34"/>
  <c r="CF108" i="34"/>
  <c r="CD108" i="34"/>
  <c r="CB108" i="34"/>
  <c r="BZ108" i="34"/>
  <c r="CJ101" i="34"/>
  <c r="CH101" i="34"/>
  <c r="CF101" i="34"/>
  <c r="CD101" i="34"/>
  <c r="CB101" i="34"/>
  <c r="BZ101" i="34"/>
  <c r="CI101" i="34"/>
  <c r="CG101" i="34"/>
  <c r="CE101" i="34"/>
  <c r="CC101" i="34"/>
  <c r="CA101" i="34"/>
  <c r="BY101" i="34"/>
  <c r="CK101" i="34" s="1"/>
  <c r="CJ105" i="34"/>
  <c r="CH105" i="34"/>
  <c r="CF105" i="34"/>
  <c r="CD105" i="34"/>
  <c r="CB105" i="34"/>
  <c r="BZ105" i="34"/>
  <c r="CI105" i="34"/>
  <c r="CG105" i="34"/>
  <c r="CE105" i="34"/>
  <c r="CC105" i="34"/>
  <c r="CA105" i="34"/>
  <c r="BY105" i="34"/>
  <c r="CK105" i="34" s="1"/>
  <c r="CJ109" i="34"/>
  <c r="CH109" i="34"/>
  <c r="CF109" i="34"/>
  <c r="CD109" i="34"/>
  <c r="CB109" i="34"/>
  <c r="BZ109" i="34"/>
  <c r="CI109" i="34"/>
  <c r="CG109" i="34"/>
  <c r="CE109" i="34"/>
  <c r="CC109" i="34"/>
  <c r="CA109" i="34"/>
  <c r="BY109" i="34"/>
  <c r="CK109" i="34" s="1"/>
  <c r="CI113" i="34"/>
  <c r="CG113" i="34"/>
  <c r="CE113" i="34"/>
  <c r="CC113" i="34"/>
  <c r="CA113" i="34"/>
  <c r="BY113" i="34"/>
  <c r="CK113" i="34" s="1"/>
  <c r="CJ113" i="34"/>
  <c r="CH113" i="34"/>
  <c r="CF113" i="34"/>
  <c r="CD113" i="34"/>
  <c r="CB113" i="34"/>
  <c r="BZ113" i="34"/>
  <c r="CI117" i="34"/>
  <c r="CG117" i="34"/>
  <c r="CE117" i="34"/>
  <c r="CC117" i="34"/>
  <c r="CA117" i="34"/>
  <c r="BY117" i="34"/>
  <c r="CK117" i="34" s="1"/>
  <c r="CJ117" i="34"/>
  <c r="CH117" i="34"/>
  <c r="CF117" i="34"/>
  <c r="CD117" i="34"/>
  <c r="CB117" i="34"/>
  <c r="BZ117" i="34"/>
  <c r="CJ110" i="34"/>
  <c r="CH110" i="34"/>
  <c r="CF110" i="34"/>
  <c r="CD110" i="34"/>
  <c r="CB110" i="34"/>
  <c r="BZ110" i="34"/>
  <c r="CI110" i="34"/>
  <c r="CG110" i="34"/>
  <c r="CE110" i="34"/>
  <c r="CC110" i="34"/>
  <c r="CA110" i="34"/>
  <c r="BY110" i="34"/>
  <c r="CK110" i="34" s="1"/>
  <c r="CJ114" i="34"/>
  <c r="CH114" i="34"/>
  <c r="CF114" i="34"/>
  <c r="CD114" i="34"/>
  <c r="CB114" i="34"/>
  <c r="BZ114" i="34"/>
  <c r="CI114" i="34"/>
  <c r="CG114" i="34"/>
  <c r="CE114" i="34"/>
  <c r="CC114" i="34"/>
  <c r="CA114" i="34"/>
  <c r="BY114" i="34"/>
  <c r="CK114" i="34" s="1"/>
  <c r="CJ118" i="34"/>
  <c r="CH118" i="34"/>
  <c r="CF118" i="34"/>
  <c r="CD118" i="34"/>
  <c r="CB118" i="34"/>
  <c r="BZ118" i="34"/>
  <c r="CI118" i="34"/>
  <c r="CG118" i="34"/>
  <c r="CE118" i="34"/>
  <c r="CC118" i="34"/>
  <c r="CA118" i="34"/>
  <c r="BY118" i="34"/>
  <c r="CK118" i="34" s="1"/>
  <c r="CI122" i="34"/>
  <c r="CG122" i="34"/>
  <c r="CE122" i="34"/>
  <c r="CC122" i="34"/>
  <c r="CA122" i="34"/>
  <c r="BY122" i="34"/>
  <c r="CK122" i="34" s="1"/>
  <c r="CJ122" i="34"/>
  <c r="CH122" i="34"/>
  <c r="CF122" i="34"/>
  <c r="CD122" i="34"/>
  <c r="CB122" i="34"/>
  <c r="BZ122" i="34"/>
  <c r="CJ121" i="34"/>
  <c r="CH121" i="34"/>
  <c r="CF121" i="34"/>
  <c r="CD121" i="34"/>
  <c r="CB121" i="34"/>
  <c r="BZ121" i="34"/>
  <c r="CI121" i="34"/>
  <c r="CG121" i="34"/>
  <c r="CE121" i="34"/>
  <c r="CC121" i="34"/>
  <c r="CA121" i="34"/>
  <c r="BY121" i="34"/>
  <c r="CK121" i="34" s="1"/>
  <c r="CJ125" i="34"/>
  <c r="CH125" i="34"/>
  <c r="CF125" i="34"/>
  <c r="CD125" i="34"/>
  <c r="CB125" i="34"/>
  <c r="BZ125" i="34"/>
  <c r="CI125" i="34"/>
  <c r="CG125" i="34"/>
  <c r="CE125" i="34"/>
  <c r="CC125" i="34"/>
  <c r="CA125" i="34"/>
  <c r="BY125" i="34"/>
  <c r="CK125" i="34" s="1"/>
  <c r="CI129" i="34"/>
  <c r="CG129" i="34"/>
  <c r="CE129" i="34"/>
  <c r="CC129" i="34"/>
  <c r="CA129" i="34"/>
  <c r="BY129" i="34"/>
  <c r="CK129" i="34" s="1"/>
  <c r="CJ129" i="34"/>
  <c r="CH129" i="34"/>
  <c r="CF129" i="34"/>
  <c r="CD129" i="34"/>
  <c r="CB129" i="34"/>
  <c r="BZ129" i="34"/>
  <c r="CJ128" i="34"/>
  <c r="CH128" i="34"/>
  <c r="CF128" i="34"/>
  <c r="CD128" i="34"/>
  <c r="CB128" i="34"/>
  <c r="BZ128" i="34"/>
  <c r="CI128" i="34"/>
  <c r="CG128" i="34"/>
  <c r="CE128" i="34"/>
  <c r="CC128" i="34"/>
  <c r="CA128" i="34"/>
  <c r="BY128" i="34"/>
  <c r="CK128" i="34" s="1"/>
  <c r="CJ131" i="34"/>
  <c r="CH131" i="34"/>
  <c r="CF131" i="34"/>
  <c r="CD131" i="34"/>
  <c r="CB131" i="34"/>
  <c r="BZ131" i="34"/>
  <c r="CG131" i="34"/>
  <c r="CC131" i="34"/>
  <c r="BY131" i="34"/>
  <c r="CK131" i="34" s="1"/>
  <c r="CI131" i="34"/>
  <c r="CE131" i="34"/>
  <c r="CA131" i="34"/>
  <c r="CJ132" i="34"/>
  <c r="CH132" i="34"/>
  <c r="CF132" i="34"/>
  <c r="CD132" i="34"/>
  <c r="CB132" i="34"/>
  <c r="BZ132" i="34"/>
  <c r="CI132" i="34"/>
  <c r="CG132" i="34"/>
  <c r="CE132" i="34"/>
  <c r="CC132" i="34"/>
  <c r="CA132" i="34"/>
  <c r="BY132" i="34"/>
  <c r="CK132" i="34" s="1"/>
  <c r="CJ135" i="34"/>
  <c r="CH135" i="34"/>
  <c r="CF135" i="34"/>
  <c r="CD135" i="34"/>
  <c r="CB135" i="34"/>
  <c r="BZ135" i="34"/>
  <c r="CI135" i="34"/>
  <c r="CG135" i="34"/>
  <c r="CE135" i="34"/>
  <c r="CC135" i="34"/>
  <c r="CA135" i="34"/>
  <c r="BY135" i="34"/>
  <c r="CK135" i="34" s="1"/>
  <c r="CJ137" i="34"/>
  <c r="CH137" i="34"/>
  <c r="CF137" i="34"/>
  <c r="CD137" i="34"/>
  <c r="CB137" i="34"/>
  <c r="BZ137" i="34"/>
  <c r="CI137" i="34"/>
  <c r="CG137" i="34"/>
  <c r="CE137" i="34"/>
  <c r="CC137" i="34"/>
  <c r="CA137" i="34"/>
  <c r="BY137" i="34"/>
  <c r="CK137" i="34" s="1"/>
  <c r="CI11" i="34"/>
  <c r="CG11" i="34"/>
  <c r="CE11" i="34"/>
  <c r="CC11" i="34"/>
  <c r="CA11" i="34"/>
  <c r="BY11" i="34"/>
  <c r="CK11" i="34" s="1"/>
  <c r="CJ11" i="34"/>
  <c r="CH11" i="34"/>
  <c r="CF11" i="34"/>
  <c r="CD11" i="34"/>
  <c r="CB11" i="34"/>
  <c r="BZ11" i="34"/>
  <c r="CI14" i="34"/>
  <c r="CG14" i="34"/>
  <c r="CE14" i="34"/>
  <c r="CC14" i="34"/>
  <c r="CA14" i="34"/>
  <c r="BY14" i="34"/>
  <c r="CK14" i="34" s="1"/>
  <c r="CH14" i="34"/>
  <c r="CD14" i="34"/>
  <c r="BZ14" i="34"/>
  <c r="CJ14" i="34"/>
  <c r="CF14" i="34"/>
  <c r="CB14" i="34"/>
  <c r="CI18" i="34"/>
  <c r="CG18" i="34"/>
  <c r="CE18" i="34"/>
  <c r="CC18" i="34"/>
  <c r="CA18" i="34"/>
  <c r="BY18" i="34"/>
  <c r="CK18" i="34" s="1"/>
  <c r="CH18" i="34"/>
  <c r="CD18" i="34"/>
  <c r="BZ18" i="34"/>
  <c r="CJ18" i="34"/>
  <c r="CF18" i="34"/>
  <c r="CB18" i="34"/>
  <c r="CI22" i="34"/>
  <c r="CG22" i="34"/>
  <c r="CE22" i="34"/>
  <c r="CC22" i="34"/>
  <c r="CA22" i="34"/>
  <c r="BY22" i="34"/>
  <c r="CK22" i="34" s="1"/>
  <c r="CH22" i="34"/>
  <c r="CD22" i="34"/>
  <c r="BZ22" i="34"/>
  <c r="CJ22" i="34"/>
  <c r="CF22" i="34"/>
  <c r="CB22" i="34"/>
  <c r="CI26" i="34"/>
  <c r="CG26" i="34"/>
  <c r="CE26" i="34"/>
  <c r="CC26" i="34"/>
  <c r="CA26" i="34"/>
  <c r="BY26" i="34"/>
  <c r="CK26" i="34" s="1"/>
  <c r="CH26" i="34"/>
  <c r="CD26" i="34"/>
  <c r="BZ26" i="34"/>
  <c r="CJ26" i="34"/>
  <c r="CF26" i="34"/>
  <c r="CB26" i="34"/>
  <c r="CI31" i="34"/>
  <c r="CG31" i="34"/>
  <c r="CE31" i="34"/>
  <c r="CC31" i="34"/>
  <c r="CA31" i="34"/>
  <c r="BY31" i="34"/>
  <c r="CK31" i="34" s="1"/>
  <c r="CH31" i="34"/>
  <c r="CD31" i="34"/>
  <c r="BZ31" i="34"/>
  <c r="CJ31" i="34"/>
  <c r="CF31" i="34"/>
  <c r="CB31" i="34"/>
  <c r="BX1" i="34"/>
  <c r="CI35" i="34"/>
  <c r="CG35" i="34"/>
  <c r="CE35" i="34"/>
  <c r="CC35" i="34"/>
  <c r="CA35" i="34"/>
  <c r="BY35" i="34"/>
  <c r="CK35" i="34" s="1"/>
  <c r="CH35" i="34"/>
  <c r="CD35" i="34"/>
  <c r="BZ35" i="34"/>
  <c r="CJ35" i="34"/>
  <c r="CF35" i="34"/>
  <c r="CB35" i="34"/>
  <c r="CI39" i="34"/>
  <c r="CG39" i="34"/>
  <c r="CE39" i="34"/>
  <c r="CC39" i="34"/>
  <c r="CA39" i="34"/>
  <c r="BY39" i="34"/>
  <c r="CK39" i="34" s="1"/>
  <c r="CH39" i="34"/>
  <c r="CD39" i="34"/>
  <c r="BZ39" i="34"/>
  <c r="CJ39" i="34"/>
  <c r="CF39" i="34"/>
  <c r="CB39" i="34"/>
  <c r="CI43" i="34"/>
  <c r="CG43" i="34"/>
  <c r="CE43" i="34"/>
  <c r="CC43" i="34"/>
  <c r="CA43" i="34"/>
  <c r="BY43" i="34"/>
  <c r="CK43" i="34" s="1"/>
  <c r="CH43" i="34"/>
  <c r="CD43" i="34"/>
  <c r="BZ43" i="34"/>
  <c r="CJ43" i="34"/>
  <c r="CF43" i="34"/>
  <c r="CB43" i="34"/>
  <c r="CI47" i="34"/>
  <c r="CG47" i="34"/>
  <c r="CE47" i="34"/>
  <c r="CC47" i="34"/>
  <c r="CA47" i="34"/>
  <c r="BY47" i="34"/>
  <c r="CK47" i="34" s="1"/>
  <c r="CL47" i="34" s="1"/>
  <c r="CH47" i="34"/>
  <c r="CD47" i="34"/>
  <c r="BZ47" i="34"/>
  <c r="CJ47" i="34"/>
  <c r="CF47" i="34"/>
  <c r="CB47" i="34"/>
  <c r="CL137" i="34"/>
  <c r="CL135" i="34"/>
  <c r="CL132" i="34"/>
  <c r="CL131" i="34"/>
  <c r="CL128" i="34"/>
  <c r="CL129" i="34"/>
  <c r="CL125" i="34"/>
  <c r="CL121" i="34"/>
  <c r="CL122" i="34"/>
  <c r="CL118" i="34"/>
  <c r="CL114" i="34"/>
  <c r="CL110" i="34"/>
  <c r="CL117" i="34"/>
  <c r="CL113" i="34"/>
  <c r="CL109" i="34"/>
  <c r="CL105" i="34"/>
  <c r="CL101" i="34"/>
  <c r="CL108" i="34"/>
  <c r="CL104" i="34"/>
  <c r="CL100" i="34"/>
  <c r="CL96" i="34"/>
  <c r="CL92" i="34"/>
  <c r="CL88" i="34"/>
  <c r="CL84" i="34"/>
  <c r="CL80" i="34"/>
  <c r="CL97" i="34"/>
  <c r="CL93" i="34"/>
  <c r="CL89" i="34"/>
  <c r="CL85" i="34"/>
  <c r="CL81" i="34"/>
  <c r="CL76" i="34"/>
  <c r="CL72" i="34"/>
  <c r="CL68" i="34"/>
  <c r="CL64" i="34"/>
  <c r="CL60" i="34"/>
  <c r="CL56" i="34"/>
  <c r="CL75" i="34"/>
  <c r="CL71" i="34"/>
  <c r="CL67" i="34"/>
  <c r="CL63" i="34"/>
  <c r="CL57" i="34"/>
  <c r="CL52" i="34"/>
  <c r="CL48" i="34"/>
  <c r="CL44" i="34"/>
  <c r="CL40" i="34"/>
  <c r="CL36" i="34"/>
  <c r="CL32" i="34"/>
  <c r="CL30" i="34"/>
  <c r="CL27" i="34"/>
  <c r="CL25" i="34"/>
  <c r="CL23" i="34"/>
  <c r="CL21" i="34"/>
  <c r="CL19" i="34"/>
  <c r="CL15" i="34"/>
  <c r="CL53" i="34"/>
  <c r="CL49" i="34"/>
  <c r="CL45" i="34"/>
  <c r="CL43" i="34"/>
  <c r="CL41" i="34"/>
  <c r="CL39" i="34"/>
  <c r="CL37" i="34"/>
  <c r="CL35" i="34"/>
  <c r="CL33" i="34"/>
  <c r="CL31" i="34"/>
  <c r="CL29" i="34"/>
  <c r="CL26" i="34"/>
  <c r="CL24" i="34"/>
  <c r="CL22" i="34"/>
  <c r="CL20" i="34"/>
  <c r="CL18" i="34"/>
  <c r="CL16" i="34"/>
  <c r="CL14" i="34"/>
  <c r="CL12" i="34"/>
  <c r="CM9" i="34"/>
  <c r="CN9" i="34" s="1"/>
  <c r="CO9" i="34" s="1"/>
  <c r="CP9" i="34" s="1"/>
  <c r="CQ9" i="34" s="1"/>
  <c r="CR9" i="34" s="1"/>
  <c r="CS9" i="34" s="1"/>
  <c r="CT9" i="34" s="1"/>
  <c r="CU9" i="34" s="1"/>
  <c r="CV9" i="34" s="1"/>
  <c r="CW9" i="34" s="1"/>
  <c r="CX9" i="34" s="1"/>
  <c r="CL11" i="34"/>
  <c r="CI51" i="34"/>
  <c r="CG51" i="34"/>
  <c r="CE51" i="34"/>
  <c r="CC51" i="34"/>
  <c r="CA51" i="34"/>
  <c r="BY51" i="34"/>
  <c r="CK51" i="34" s="1"/>
  <c r="CL51" i="34" s="1"/>
  <c r="CJ51" i="34"/>
  <c r="CH51" i="34"/>
  <c r="CF51" i="34"/>
  <c r="CD51" i="34"/>
  <c r="CB51" i="34"/>
  <c r="BZ51" i="34"/>
  <c r="CJ13" i="34"/>
  <c r="CH13" i="34"/>
  <c r="CF13" i="34"/>
  <c r="CD13" i="34"/>
  <c r="CB13" i="34"/>
  <c r="BZ13" i="34"/>
  <c r="CG13" i="34"/>
  <c r="CC13" i="34"/>
  <c r="BY13" i="34"/>
  <c r="CK13" i="34" s="1"/>
  <c r="CL13" i="34" s="1"/>
  <c r="CI13" i="34"/>
  <c r="CE13" i="34"/>
  <c r="CA13" i="34"/>
  <c r="CJ17" i="34"/>
  <c r="CH17" i="34"/>
  <c r="CF17" i="34"/>
  <c r="CD17" i="34"/>
  <c r="CB17" i="34"/>
  <c r="BZ17" i="34"/>
  <c r="CG17" i="34"/>
  <c r="CC17" i="34"/>
  <c r="BY17" i="34"/>
  <c r="CK17" i="34" s="1"/>
  <c r="CL17" i="34" s="1"/>
  <c r="CI17" i="34"/>
  <c r="CE17" i="34"/>
  <c r="CA17" i="34"/>
  <c r="BX3" i="34"/>
  <c r="CJ21" i="34"/>
  <c r="CH21" i="34"/>
  <c r="CF21" i="34"/>
  <c r="CD21" i="34"/>
  <c r="CB21" i="34"/>
  <c r="BZ21" i="34"/>
  <c r="CG21" i="34"/>
  <c r="CC21" i="34"/>
  <c r="BY21" i="34"/>
  <c r="CK21" i="34" s="1"/>
  <c r="CI21" i="34"/>
  <c r="CE21" i="34"/>
  <c r="CA21" i="34"/>
  <c r="CJ25" i="34"/>
  <c r="CH25" i="34"/>
  <c r="CF25" i="34"/>
  <c r="CD25" i="34"/>
  <c r="CB25" i="34"/>
  <c r="BZ25" i="34"/>
  <c r="CG25" i="34"/>
  <c r="CC25" i="34"/>
  <c r="BY25" i="34"/>
  <c r="CK25" i="34" s="1"/>
  <c r="CI25" i="34"/>
  <c r="CE25" i="34"/>
  <c r="CA25" i="34"/>
  <c r="CJ30" i="34"/>
  <c r="CH30" i="34"/>
  <c r="CF30" i="34"/>
  <c r="CD30" i="34"/>
  <c r="CB30" i="34"/>
  <c r="BZ30" i="34"/>
  <c r="CG30" i="34"/>
  <c r="CC30" i="34"/>
  <c r="BY30" i="34"/>
  <c r="CK30" i="34" s="1"/>
  <c r="CI30" i="34"/>
  <c r="CE30" i="34"/>
  <c r="CA30" i="34"/>
  <c r="CJ34" i="34"/>
  <c r="CH34" i="34"/>
  <c r="CF34" i="34"/>
  <c r="CD34" i="34"/>
  <c r="CB34" i="34"/>
  <c r="BZ34" i="34"/>
  <c r="CG34" i="34"/>
  <c r="CC34" i="34"/>
  <c r="BY34" i="34"/>
  <c r="CK34" i="34" s="1"/>
  <c r="CL34" i="34" s="1"/>
  <c r="CI34" i="34"/>
  <c r="CE34" i="34"/>
  <c r="CA34" i="34"/>
  <c r="CJ38" i="34"/>
  <c r="CH38" i="34"/>
  <c r="CF38" i="34"/>
  <c r="CD38" i="34"/>
  <c r="CB38" i="34"/>
  <c r="BZ38" i="34"/>
  <c r="CG38" i="34"/>
  <c r="CC38" i="34"/>
  <c r="BY38" i="34"/>
  <c r="CK38" i="34" s="1"/>
  <c r="CL38" i="34" s="1"/>
  <c r="CI38" i="34"/>
  <c r="CE38" i="34"/>
  <c r="CA38" i="34"/>
  <c r="CJ42" i="34"/>
  <c r="CH42" i="34"/>
  <c r="CF42" i="34"/>
  <c r="CD42" i="34"/>
  <c r="CB42" i="34"/>
  <c r="BZ42" i="34"/>
  <c r="CG42" i="34"/>
  <c r="CC42" i="34"/>
  <c r="BY42" i="34"/>
  <c r="CK42" i="34" s="1"/>
  <c r="CL42" i="34" s="1"/>
  <c r="CI42" i="34"/>
  <c r="CE42" i="34"/>
  <c r="CA42" i="34"/>
  <c r="CJ46" i="34"/>
  <c r="CH46" i="34"/>
  <c r="CF46" i="34"/>
  <c r="CD46" i="34"/>
  <c r="CB46" i="34"/>
  <c r="BZ46" i="34"/>
  <c r="CG46" i="34"/>
  <c r="CC46" i="34"/>
  <c r="BY46" i="34"/>
  <c r="CK46" i="34" s="1"/>
  <c r="CL46" i="34" s="1"/>
  <c r="CI46" i="34"/>
  <c r="CE46" i="34"/>
  <c r="CA46" i="34"/>
  <c r="CJ50" i="34"/>
  <c r="CH50" i="34"/>
  <c r="CF50" i="34"/>
  <c r="CD50" i="34"/>
  <c r="CB50" i="34"/>
  <c r="BZ50" i="34"/>
  <c r="CI50" i="34"/>
  <c r="CG50" i="34"/>
  <c r="CE50" i="34"/>
  <c r="CC50" i="34"/>
  <c r="CA50" i="34"/>
  <c r="BY50" i="34"/>
  <c r="CK50" i="34" s="1"/>
  <c r="CL50" i="34" s="1"/>
  <c r="CJ54" i="34"/>
  <c r="CH54" i="34"/>
  <c r="CF54" i="34"/>
  <c r="CD54" i="34"/>
  <c r="CB54" i="34"/>
  <c r="BZ54" i="34"/>
  <c r="CI54" i="34"/>
  <c r="CG54" i="34"/>
  <c r="CE54" i="34"/>
  <c r="CC54" i="34"/>
  <c r="CA54" i="34"/>
  <c r="BY54" i="34"/>
  <c r="CK54" i="34" s="1"/>
  <c r="CL54" i="34" s="1"/>
  <c r="CI61" i="34"/>
  <c r="CG61" i="34"/>
  <c r="CE61" i="34"/>
  <c r="CC61" i="34"/>
  <c r="CA61" i="34"/>
  <c r="BY61" i="34"/>
  <c r="CK61" i="34" s="1"/>
  <c r="CL61" i="34" s="1"/>
  <c r="CJ61" i="34"/>
  <c r="CH61" i="34"/>
  <c r="CF61" i="34"/>
  <c r="CD61" i="34"/>
  <c r="CB61" i="34"/>
  <c r="BZ61" i="34"/>
  <c r="CI65" i="34"/>
  <c r="CG65" i="34"/>
  <c r="CE65" i="34"/>
  <c r="CC65" i="34"/>
  <c r="CA65" i="34"/>
  <c r="BY65" i="34"/>
  <c r="CK65" i="34" s="1"/>
  <c r="CL65" i="34" s="1"/>
  <c r="CJ65" i="34"/>
  <c r="CH65" i="34"/>
  <c r="CF65" i="34"/>
  <c r="CD65" i="34"/>
  <c r="CB65" i="34"/>
  <c r="BZ65" i="34"/>
  <c r="CI69" i="34"/>
  <c r="CG69" i="34"/>
  <c r="CE69" i="34"/>
  <c r="CC69" i="34"/>
  <c r="CA69" i="34"/>
  <c r="BY69" i="34"/>
  <c r="CK69" i="34" s="1"/>
  <c r="CL69" i="34" s="1"/>
  <c r="CJ69" i="34"/>
  <c r="CH69" i="34"/>
  <c r="CF69" i="34"/>
  <c r="CD69" i="34"/>
  <c r="CB69" i="34"/>
  <c r="BZ69" i="34"/>
  <c r="CI73" i="34"/>
  <c r="CG73" i="34"/>
  <c r="CE73" i="34"/>
  <c r="CC73" i="34"/>
  <c r="CA73" i="34"/>
  <c r="BY73" i="34"/>
  <c r="CK73" i="34" s="1"/>
  <c r="CL73" i="34" s="1"/>
  <c r="CJ73" i="34"/>
  <c r="CH73" i="34"/>
  <c r="CF73" i="34"/>
  <c r="CD73" i="34"/>
  <c r="CB73" i="34"/>
  <c r="BZ73" i="34"/>
  <c r="CI77" i="34"/>
  <c r="CG77" i="34"/>
  <c r="CE77" i="34"/>
  <c r="CC77" i="34"/>
  <c r="CA77" i="34"/>
  <c r="BY77" i="34"/>
  <c r="CK77" i="34" s="1"/>
  <c r="CL77" i="34" s="1"/>
  <c r="CJ77" i="34"/>
  <c r="CH77" i="34"/>
  <c r="CF77" i="34"/>
  <c r="CD77" i="34"/>
  <c r="CB77" i="34"/>
  <c r="BZ77" i="34"/>
  <c r="CJ58" i="34"/>
  <c r="CH58" i="34"/>
  <c r="CF58" i="34"/>
  <c r="CD58" i="34"/>
  <c r="CB58" i="34"/>
  <c r="BZ58" i="34"/>
  <c r="CI58" i="34"/>
  <c r="CG58" i="34"/>
  <c r="CE58" i="34"/>
  <c r="CC58" i="34"/>
  <c r="CA58" i="34"/>
  <c r="BY58" i="34"/>
  <c r="CK58" i="34" s="1"/>
  <c r="CL58" i="34" s="1"/>
  <c r="CJ62" i="34"/>
  <c r="CH62" i="34"/>
  <c r="CF62" i="34"/>
  <c r="CD62" i="34"/>
  <c r="CB62" i="34"/>
  <c r="BZ62" i="34"/>
  <c r="CI62" i="34"/>
  <c r="CG62" i="34"/>
  <c r="CE62" i="34"/>
  <c r="CC62" i="34"/>
  <c r="CA62" i="34"/>
  <c r="BY62" i="34"/>
  <c r="CK62" i="34" s="1"/>
  <c r="CL62" i="34" s="1"/>
  <c r="CJ66" i="34"/>
  <c r="CH66" i="34"/>
  <c r="CF66" i="34"/>
  <c r="CD66" i="34"/>
  <c r="CB66" i="34"/>
  <c r="BZ66" i="34"/>
  <c r="CI66" i="34"/>
  <c r="CG66" i="34"/>
  <c r="CE66" i="34"/>
  <c r="CC66" i="34"/>
  <c r="CA66" i="34"/>
  <c r="BY66" i="34"/>
  <c r="CK66" i="34" s="1"/>
  <c r="CL66" i="34" s="1"/>
  <c r="CJ70" i="34"/>
  <c r="CH70" i="34"/>
  <c r="CF70" i="34"/>
  <c r="CD70" i="34"/>
  <c r="CB70" i="34"/>
  <c r="BZ70" i="34"/>
  <c r="CI70" i="34"/>
  <c r="CG70" i="34"/>
  <c r="CE70" i="34"/>
  <c r="CC70" i="34"/>
  <c r="CA70" i="34"/>
  <c r="BY70" i="34"/>
  <c r="CK70" i="34" s="1"/>
  <c r="CL70" i="34" s="1"/>
  <c r="CJ74" i="34"/>
  <c r="CH74" i="34"/>
  <c r="CF74" i="34"/>
  <c r="CD74" i="34"/>
  <c r="CB74" i="34"/>
  <c r="BZ74" i="34"/>
  <c r="CI74" i="34"/>
  <c r="CG74" i="34"/>
  <c r="CE74" i="34"/>
  <c r="CC74" i="34"/>
  <c r="CA74" i="34"/>
  <c r="BY74" i="34"/>
  <c r="CK74" i="34" s="1"/>
  <c r="CL74" i="34" s="1"/>
  <c r="CI79" i="34"/>
  <c r="CG79" i="34"/>
  <c r="CE79" i="34"/>
  <c r="CC79" i="34"/>
  <c r="CA79" i="34"/>
  <c r="BY79" i="34"/>
  <c r="CK79" i="34" s="1"/>
  <c r="CL79" i="34" s="1"/>
  <c r="CJ79" i="34"/>
  <c r="CH79" i="34"/>
  <c r="CF79" i="34"/>
  <c r="CD79" i="34"/>
  <c r="CB79" i="34"/>
  <c r="BZ79" i="34"/>
  <c r="CI83" i="34"/>
  <c r="CG83" i="34"/>
  <c r="CE83" i="34"/>
  <c r="CC83" i="34"/>
  <c r="CA83" i="34"/>
  <c r="BY83" i="34"/>
  <c r="CK83" i="34" s="1"/>
  <c r="CL83" i="34" s="1"/>
  <c r="CJ83" i="34"/>
  <c r="CH83" i="34"/>
  <c r="CF83" i="34"/>
  <c r="CD83" i="34"/>
  <c r="CB83" i="34"/>
  <c r="BZ83" i="34"/>
  <c r="CI87" i="34"/>
  <c r="CG87" i="34"/>
  <c r="CE87" i="34"/>
  <c r="CC87" i="34"/>
  <c r="CA87" i="34"/>
  <c r="BY87" i="34"/>
  <c r="CK87" i="34" s="1"/>
  <c r="CL87" i="34" s="1"/>
  <c r="CJ87" i="34"/>
  <c r="CH87" i="34"/>
  <c r="CF87" i="34"/>
  <c r="CD87" i="34"/>
  <c r="CB87" i="34"/>
  <c r="BZ87" i="34"/>
  <c r="CI91" i="34"/>
  <c r="CG91" i="34"/>
  <c r="CE91" i="34"/>
  <c r="CC91" i="34"/>
  <c r="CA91" i="34"/>
  <c r="BY91" i="34"/>
  <c r="CK91" i="34" s="1"/>
  <c r="CL91" i="34" s="1"/>
  <c r="CJ91" i="34"/>
  <c r="CH91" i="34"/>
  <c r="CF91" i="34"/>
  <c r="CD91" i="34"/>
  <c r="CB91" i="34"/>
  <c r="BZ91" i="34"/>
  <c r="CI95" i="34"/>
  <c r="CG95" i="34"/>
  <c r="CE95" i="34"/>
  <c r="CC95" i="34"/>
  <c r="CA95" i="34"/>
  <c r="BY95" i="34"/>
  <c r="CK95" i="34" s="1"/>
  <c r="CL95" i="34" s="1"/>
  <c r="CJ95" i="34"/>
  <c r="CH95" i="34"/>
  <c r="CF95" i="34"/>
  <c r="CD95" i="34"/>
  <c r="CB95" i="34"/>
  <c r="BZ95" i="34"/>
  <c r="CJ78" i="34"/>
  <c r="CH78" i="34"/>
  <c r="CF78" i="34"/>
  <c r="CD78" i="34"/>
  <c r="CB78" i="34"/>
  <c r="BZ78" i="34"/>
  <c r="CI78" i="34"/>
  <c r="CG78" i="34"/>
  <c r="CE78" i="34"/>
  <c r="CC78" i="34"/>
  <c r="CA78" i="34"/>
  <c r="BY78" i="34"/>
  <c r="CK78" i="34" s="1"/>
  <c r="CL78" i="34" s="1"/>
  <c r="CJ82" i="34"/>
  <c r="CH82" i="34"/>
  <c r="CF82" i="34"/>
  <c r="CD82" i="34"/>
  <c r="CB82" i="34"/>
  <c r="BZ82" i="34"/>
  <c r="CI82" i="34"/>
  <c r="CG82" i="34"/>
  <c r="CE82" i="34"/>
  <c r="CC82" i="34"/>
  <c r="CA82" i="34"/>
  <c r="BY82" i="34"/>
  <c r="CK82" i="34" s="1"/>
  <c r="CL82" i="34" s="1"/>
  <c r="CJ86" i="34"/>
  <c r="CH86" i="34"/>
  <c r="CF86" i="34"/>
  <c r="CD86" i="34"/>
  <c r="CB86" i="34"/>
  <c r="BZ86" i="34"/>
  <c r="CI86" i="34"/>
  <c r="CG86" i="34"/>
  <c r="CE86" i="34"/>
  <c r="CC86" i="34"/>
  <c r="CA86" i="34"/>
  <c r="BY86" i="34"/>
  <c r="CK86" i="34" s="1"/>
  <c r="CL86" i="34" s="1"/>
  <c r="CJ90" i="34"/>
  <c r="CH90" i="34"/>
  <c r="CF90" i="34"/>
  <c r="CD90" i="34"/>
  <c r="CB90" i="34"/>
  <c r="BZ90" i="34"/>
  <c r="CI90" i="34"/>
  <c r="CG90" i="34"/>
  <c r="CE90" i="34"/>
  <c r="CC90" i="34"/>
  <c r="CA90" i="34"/>
  <c r="BY90" i="34"/>
  <c r="CK90" i="34" s="1"/>
  <c r="CL90" i="34" s="1"/>
  <c r="CJ94" i="34"/>
  <c r="CH94" i="34"/>
  <c r="CF94" i="34"/>
  <c r="CD94" i="34"/>
  <c r="CB94" i="34"/>
  <c r="BZ94" i="34"/>
  <c r="CI94" i="34"/>
  <c r="CG94" i="34"/>
  <c r="CE94" i="34"/>
  <c r="CC94" i="34"/>
  <c r="CA94" i="34"/>
  <c r="BY94" i="34"/>
  <c r="CK94" i="34" s="1"/>
  <c r="CL94" i="34" s="1"/>
  <c r="CJ98" i="34"/>
  <c r="CH98" i="34"/>
  <c r="CF98" i="34"/>
  <c r="CD98" i="34"/>
  <c r="CB98" i="34"/>
  <c r="BZ98" i="34"/>
  <c r="CI98" i="34"/>
  <c r="CG98" i="34"/>
  <c r="CE98" i="34"/>
  <c r="CC98" i="34"/>
  <c r="CA98" i="34"/>
  <c r="BY98" i="34"/>
  <c r="CK98" i="34" s="1"/>
  <c r="CL98" i="34" s="1"/>
  <c r="CI102" i="34"/>
  <c r="CG102" i="34"/>
  <c r="CE102" i="34"/>
  <c r="CC102" i="34"/>
  <c r="CA102" i="34"/>
  <c r="BY102" i="34"/>
  <c r="CK102" i="34" s="1"/>
  <c r="CL102" i="34" s="1"/>
  <c r="CJ102" i="34"/>
  <c r="CH102" i="34"/>
  <c r="CF102" i="34"/>
  <c r="CD102" i="34"/>
  <c r="CB102" i="34"/>
  <c r="BZ102" i="34"/>
  <c r="CI106" i="34"/>
  <c r="CG106" i="34"/>
  <c r="CE106" i="34"/>
  <c r="CC106" i="34"/>
  <c r="CA106" i="34"/>
  <c r="BY106" i="34"/>
  <c r="CK106" i="34" s="1"/>
  <c r="CL106" i="34" s="1"/>
  <c r="CJ106" i="34"/>
  <c r="CH106" i="34"/>
  <c r="CF106" i="34"/>
  <c r="CD106" i="34"/>
  <c r="CB106" i="34"/>
  <c r="BZ106" i="34"/>
  <c r="CJ99" i="34"/>
  <c r="CH99" i="34"/>
  <c r="CF99" i="34"/>
  <c r="CD99" i="34"/>
  <c r="CB99" i="34"/>
  <c r="BZ99" i="34"/>
  <c r="CI99" i="34"/>
  <c r="CG99" i="34"/>
  <c r="CE99" i="34"/>
  <c r="CC99" i="34"/>
  <c r="CA99" i="34"/>
  <c r="BY99" i="34"/>
  <c r="CK99" i="34" s="1"/>
  <c r="CL99" i="34" s="1"/>
  <c r="CJ103" i="34"/>
  <c r="CH103" i="34"/>
  <c r="CF103" i="34"/>
  <c r="CD103" i="34"/>
  <c r="CB103" i="34"/>
  <c r="BZ103" i="34"/>
  <c r="CI103" i="34"/>
  <c r="CG103" i="34"/>
  <c r="CE103" i="34"/>
  <c r="CC103" i="34"/>
  <c r="CA103" i="34"/>
  <c r="BY103" i="34"/>
  <c r="CK103" i="34" s="1"/>
  <c r="CL103" i="34" s="1"/>
  <c r="CJ107" i="34"/>
  <c r="CH107" i="34"/>
  <c r="CF107" i="34"/>
  <c r="CD107" i="34"/>
  <c r="CB107" i="34"/>
  <c r="BZ107" i="34"/>
  <c r="CI107" i="34"/>
  <c r="CG107" i="34"/>
  <c r="CE107" i="34"/>
  <c r="CC107" i="34"/>
  <c r="CA107" i="34"/>
  <c r="BY107" i="34"/>
  <c r="CK107" i="34" s="1"/>
  <c r="CL107" i="34" s="1"/>
  <c r="CI111" i="34"/>
  <c r="CG111" i="34"/>
  <c r="CE111" i="34"/>
  <c r="CC111" i="34"/>
  <c r="CA111" i="34"/>
  <c r="BY111" i="34"/>
  <c r="CK111" i="34" s="1"/>
  <c r="CL111" i="34" s="1"/>
  <c r="CJ111" i="34"/>
  <c r="CH111" i="34"/>
  <c r="CF111" i="34"/>
  <c r="CD111" i="34"/>
  <c r="CB111" i="34"/>
  <c r="BZ111" i="34"/>
  <c r="CI115" i="34"/>
  <c r="CG115" i="34"/>
  <c r="CE115" i="34"/>
  <c r="CC115" i="34"/>
  <c r="CA115" i="34"/>
  <c r="BY115" i="34"/>
  <c r="CK115" i="34" s="1"/>
  <c r="CL115" i="34" s="1"/>
  <c r="CJ115" i="34"/>
  <c r="CH115" i="34"/>
  <c r="CF115" i="34"/>
  <c r="CD115" i="34"/>
  <c r="CB115" i="34"/>
  <c r="BZ115" i="34"/>
  <c r="CI119" i="34"/>
  <c r="CG119" i="34"/>
  <c r="CE119" i="34"/>
  <c r="CC119" i="34"/>
  <c r="CA119" i="34"/>
  <c r="BY119" i="34"/>
  <c r="CK119" i="34" s="1"/>
  <c r="CL119" i="34" s="1"/>
  <c r="CJ119" i="34"/>
  <c r="CH119" i="34"/>
  <c r="CF119" i="34"/>
  <c r="CD119" i="34"/>
  <c r="CB119" i="34"/>
  <c r="BZ119" i="34"/>
  <c r="CJ112" i="34"/>
  <c r="CH112" i="34"/>
  <c r="CF112" i="34"/>
  <c r="CD112" i="34"/>
  <c r="CB112" i="34"/>
  <c r="BZ112" i="34"/>
  <c r="CI112" i="34"/>
  <c r="CG112" i="34"/>
  <c r="CE112" i="34"/>
  <c r="CC112" i="34"/>
  <c r="CA112" i="34"/>
  <c r="BY112" i="34"/>
  <c r="CK112" i="34" s="1"/>
  <c r="CL112" i="34" s="1"/>
  <c r="CJ116" i="34"/>
  <c r="CH116" i="34"/>
  <c r="CF116" i="34"/>
  <c r="CD116" i="34"/>
  <c r="CB116" i="34"/>
  <c r="BZ116" i="34"/>
  <c r="CI116" i="34"/>
  <c r="CG116" i="34"/>
  <c r="CE116" i="34"/>
  <c r="CC116" i="34"/>
  <c r="CA116" i="34"/>
  <c r="BY116" i="34"/>
  <c r="CK116" i="34" s="1"/>
  <c r="CL116" i="34" s="1"/>
  <c r="CJ120" i="34"/>
  <c r="CH120" i="34"/>
  <c r="CF120" i="34"/>
  <c r="CD120" i="34"/>
  <c r="CB120" i="34"/>
  <c r="BZ120" i="34"/>
  <c r="CI120" i="34"/>
  <c r="CG120" i="34"/>
  <c r="CE120" i="34"/>
  <c r="CC120" i="34"/>
  <c r="CA120" i="34"/>
  <c r="BY120" i="34"/>
  <c r="CK120" i="34" s="1"/>
  <c r="CL120" i="34" s="1"/>
  <c r="CI124" i="34"/>
  <c r="CG124" i="34"/>
  <c r="CE124" i="34"/>
  <c r="CC124" i="34"/>
  <c r="CA124" i="34"/>
  <c r="BY124" i="34"/>
  <c r="CK124" i="34" s="1"/>
  <c r="CL124" i="34" s="1"/>
  <c r="CJ124" i="34"/>
  <c r="CH124" i="34"/>
  <c r="CF124" i="34"/>
  <c r="CD124" i="34"/>
  <c r="CB124" i="34"/>
  <c r="BZ124" i="34"/>
  <c r="CJ123" i="34"/>
  <c r="CH123" i="34"/>
  <c r="CF123" i="34"/>
  <c r="CD123" i="34"/>
  <c r="CB123" i="34"/>
  <c r="BZ123" i="34"/>
  <c r="CI123" i="34"/>
  <c r="CG123" i="34"/>
  <c r="CE123" i="34"/>
  <c r="CC123" i="34"/>
  <c r="CA123" i="34"/>
  <c r="BY123" i="34"/>
  <c r="CK123" i="34" s="1"/>
  <c r="CL123" i="34" s="1"/>
  <c r="CI127" i="34"/>
  <c r="CG127" i="34"/>
  <c r="CE127" i="34"/>
  <c r="CC127" i="34"/>
  <c r="CA127" i="34"/>
  <c r="BY127" i="34"/>
  <c r="CK127" i="34" s="1"/>
  <c r="CL127" i="34" s="1"/>
  <c r="CJ127" i="34"/>
  <c r="CH127" i="34"/>
  <c r="CF127" i="34"/>
  <c r="CD127" i="34"/>
  <c r="CB127" i="34"/>
  <c r="BZ127" i="34"/>
  <c r="CJ126" i="34"/>
  <c r="CH126" i="34"/>
  <c r="CF126" i="34"/>
  <c r="CD126" i="34"/>
  <c r="CB126" i="34"/>
  <c r="BZ126" i="34"/>
  <c r="CI126" i="34"/>
  <c r="CG126" i="34"/>
  <c r="CE126" i="34"/>
  <c r="CC126" i="34"/>
  <c r="CA126" i="34"/>
  <c r="BY126" i="34"/>
  <c r="CK126" i="34" s="1"/>
  <c r="CL126" i="34" s="1"/>
  <c r="CJ130" i="34"/>
  <c r="CH130" i="34"/>
  <c r="CF130" i="34"/>
  <c r="CD130" i="34"/>
  <c r="CB130" i="34"/>
  <c r="BZ130" i="34"/>
  <c r="CI130" i="34"/>
  <c r="CG130" i="34"/>
  <c r="CE130" i="34"/>
  <c r="CC130" i="34"/>
  <c r="CA130" i="34"/>
  <c r="BY130" i="34"/>
  <c r="CK130" i="34" s="1"/>
  <c r="CL130" i="34" s="1"/>
  <c r="CI133" i="34"/>
  <c r="CG133" i="34"/>
  <c r="CE133" i="34"/>
  <c r="CC133" i="34"/>
  <c r="CA133" i="34"/>
  <c r="BY133" i="34"/>
  <c r="CK133" i="34" s="1"/>
  <c r="CL133" i="34" s="1"/>
  <c r="CJ133" i="34"/>
  <c r="CH133" i="34"/>
  <c r="CF133" i="34"/>
  <c r="CD133" i="34"/>
  <c r="CB133" i="34"/>
  <c r="BZ133" i="34"/>
  <c r="CI134" i="34"/>
  <c r="CG134" i="34"/>
  <c r="CE134" i="34"/>
  <c r="CC134" i="34"/>
  <c r="CA134" i="34"/>
  <c r="BY134" i="34"/>
  <c r="CK134" i="34" s="1"/>
  <c r="CL134" i="34" s="1"/>
  <c r="CJ134" i="34"/>
  <c r="CH134" i="34"/>
  <c r="CF134" i="34"/>
  <c r="CD134" i="34"/>
  <c r="CB134" i="34"/>
  <c r="BZ134" i="34"/>
  <c r="CI136" i="34"/>
  <c r="CG136" i="34"/>
  <c r="CE136" i="34"/>
  <c r="CC136" i="34"/>
  <c r="CA136" i="34"/>
  <c r="BY136" i="34"/>
  <c r="CK136" i="34" s="1"/>
  <c r="CL136" i="34" s="1"/>
  <c r="CJ136" i="34"/>
  <c r="CH136" i="34"/>
  <c r="CF136" i="34"/>
  <c r="CD136" i="34"/>
  <c r="CB136" i="34"/>
  <c r="BZ136" i="34"/>
  <c r="CJ138" i="34"/>
  <c r="CH138" i="34"/>
  <c r="CF138" i="34"/>
  <c r="CD138" i="34"/>
  <c r="CB138" i="34"/>
  <c r="BZ138" i="34"/>
  <c r="CI138" i="34"/>
  <c r="CG138" i="34"/>
  <c r="CE138" i="34"/>
  <c r="CC138" i="34"/>
  <c r="CA138" i="34"/>
  <c r="BY138" i="34"/>
  <c r="CK138" i="34" s="1"/>
  <c r="CL138" i="34" s="1"/>
  <c r="CW136" i="34" l="1"/>
  <c r="CU136" i="34"/>
  <c r="CS136" i="34"/>
  <c r="CQ136" i="34"/>
  <c r="CO136" i="34"/>
  <c r="CM136" i="34"/>
  <c r="CY136" i="34" s="1"/>
  <c r="CX136" i="34"/>
  <c r="CV136" i="34"/>
  <c r="CT136" i="34"/>
  <c r="CR136" i="34"/>
  <c r="CP136" i="34"/>
  <c r="CN136" i="34"/>
  <c r="CX130" i="34"/>
  <c r="CV130" i="34"/>
  <c r="CT130" i="34"/>
  <c r="CR130" i="34"/>
  <c r="CP130" i="34"/>
  <c r="CN130" i="34"/>
  <c r="CW130" i="34"/>
  <c r="CU130" i="34"/>
  <c r="CS130" i="34"/>
  <c r="CQ130" i="34"/>
  <c r="CO130" i="34"/>
  <c r="CM130" i="34"/>
  <c r="CY130" i="34" s="1"/>
  <c r="CW127" i="34"/>
  <c r="CU127" i="34"/>
  <c r="CS127" i="34"/>
  <c r="CQ127" i="34"/>
  <c r="CO127" i="34"/>
  <c r="CM127" i="34"/>
  <c r="CY127" i="34" s="1"/>
  <c r="CX127" i="34"/>
  <c r="CV127" i="34"/>
  <c r="CT127" i="34"/>
  <c r="CR127" i="34"/>
  <c r="CP127" i="34"/>
  <c r="CN127" i="34"/>
  <c r="CW124" i="34"/>
  <c r="CU124" i="34"/>
  <c r="CS124" i="34"/>
  <c r="CQ124" i="34"/>
  <c r="CO124" i="34"/>
  <c r="CM124" i="34"/>
  <c r="CY124" i="34" s="1"/>
  <c r="CX124" i="34"/>
  <c r="CV124" i="34"/>
  <c r="CT124" i="34"/>
  <c r="CR124" i="34"/>
  <c r="CP124" i="34"/>
  <c r="CN124" i="34"/>
  <c r="CX116" i="34"/>
  <c r="CV116" i="34"/>
  <c r="CT116" i="34"/>
  <c r="CR116" i="34"/>
  <c r="CP116" i="34"/>
  <c r="CN116" i="34"/>
  <c r="CW116" i="34"/>
  <c r="CU116" i="34"/>
  <c r="CS116" i="34"/>
  <c r="CQ116" i="34"/>
  <c r="CO116" i="34"/>
  <c r="CM116" i="34"/>
  <c r="CY116" i="34" s="1"/>
  <c r="CW115" i="34"/>
  <c r="CU115" i="34"/>
  <c r="CS115" i="34"/>
  <c r="CQ115" i="34"/>
  <c r="CO115" i="34"/>
  <c r="CM115" i="34"/>
  <c r="CY115" i="34" s="1"/>
  <c r="CX115" i="34"/>
  <c r="CV115" i="34"/>
  <c r="CT115" i="34"/>
  <c r="CR115" i="34"/>
  <c r="CP115" i="34"/>
  <c r="CN115" i="34"/>
  <c r="CX107" i="34"/>
  <c r="CV107" i="34"/>
  <c r="CT107" i="34"/>
  <c r="CR107" i="34"/>
  <c r="CP107" i="34"/>
  <c r="CN107" i="34"/>
  <c r="CW107" i="34"/>
  <c r="CU107" i="34"/>
  <c r="CS107" i="34"/>
  <c r="CQ107" i="34"/>
  <c r="CO107" i="34"/>
  <c r="CM107" i="34"/>
  <c r="CY107" i="34" s="1"/>
  <c r="CX99" i="34"/>
  <c r="CV99" i="34"/>
  <c r="CT99" i="34"/>
  <c r="CR99" i="34"/>
  <c r="CP99" i="34"/>
  <c r="CN99" i="34"/>
  <c r="CW99" i="34"/>
  <c r="CU99" i="34"/>
  <c r="CS99" i="34"/>
  <c r="CQ99" i="34"/>
  <c r="CO99" i="34"/>
  <c r="CM99" i="34"/>
  <c r="CY99" i="34" s="1"/>
  <c r="CX98" i="34"/>
  <c r="CV98" i="34"/>
  <c r="CT98" i="34"/>
  <c r="CR98" i="34"/>
  <c r="CP98" i="34"/>
  <c r="CN98" i="34"/>
  <c r="CW98" i="34"/>
  <c r="CU98" i="34"/>
  <c r="CS98" i="34"/>
  <c r="CQ98" i="34"/>
  <c r="CO98" i="34"/>
  <c r="CM98" i="34"/>
  <c r="CY98" i="34" s="1"/>
  <c r="CX90" i="34"/>
  <c r="CV90" i="34"/>
  <c r="CT90" i="34"/>
  <c r="CR90" i="34"/>
  <c r="CP90" i="34"/>
  <c r="CN90" i="34"/>
  <c r="CW90" i="34"/>
  <c r="CU90" i="34"/>
  <c r="CS90" i="34"/>
  <c r="CQ90" i="34"/>
  <c r="CO90" i="34"/>
  <c r="CM90" i="34"/>
  <c r="CY90" i="34" s="1"/>
  <c r="CX78" i="34"/>
  <c r="CV78" i="34"/>
  <c r="CT78" i="34"/>
  <c r="CR78" i="34"/>
  <c r="CP78" i="34"/>
  <c r="CN78" i="34"/>
  <c r="CW78" i="34"/>
  <c r="CU78" i="34"/>
  <c r="CS78" i="34"/>
  <c r="CQ78" i="34"/>
  <c r="CO78" i="34"/>
  <c r="CM78" i="34"/>
  <c r="CY78" i="34" s="1"/>
  <c r="CW91" i="34"/>
  <c r="CU91" i="34"/>
  <c r="CS91" i="34"/>
  <c r="CQ91" i="34"/>
  <c r="CO91" i="34"/>
  <c r="CM91" i="34"/>
  <c r="CY91" i="34" s="1"/>
  <c r="CX91" i="34"/>
  <c r="CV91" i="34"/>
  <c r="CT91" i="34"/>
  <c r="CR91" i="34"/>
  <c r="CP91" i="34"/>
  <c r="CN91" i="34"/>
  <c r="CW83" i="34"/>
  <c r="CU83" i="34"/>
  <c r="CS83" i="34"/>
  <c r="CQ83" i="34"/>
  <c r="CO83" i="34"/>
  <c r="CM83" i="34"/>
  <c r="CY83" i="34" s="1"/>
  <c r="CX83" i="34"/>
  <c r="CV83" i="34"/>
  <c r="CT83" i="34"/>
  <c r="CR83" i="34"/>
  <c r="CP83" i="34"/>
  <c r="CN83" i="34"/>
  <c r="CX74" i="34"/>
  <c r="CV74" i="34"/>
  <c r="CT74" i="34"/>
  <c r="CR74" i="34"/>
  <c r="CP74" i="34"/>
  <c r="CN74" i="34"/>
  <c r="CW74" i="34"/>
  <c r="CU74" i="34"/>
  <c r="CS74" i="34"/>
  <c r="CQ74" i="34"/>
  <c r="CO74" i="34"/>
  <c r="CM74" i="34"/>
  <c r="CY74" i="34" s="1"/>
  <c r="CX66" i="34"/>
  <c r="CV66" i="34"/>
  <c r="CT66" i="34"/>
  <c r="CR66" i="34"/>
  <c r="CP66" i="34"/>
  <c r="CN66" i="34"/>
  <c r="CW66" i="34"/>
  <c r="CU66" i="34"/>
  <c r="CS66" i="34"/>
  <c r="CQ66" i="34"/>
  <c r="CO66" i="34"/>
  <c r="CM66" i="34"/>
  <c r="CY66" i="34" s="1"/>
  <c r="CX62" i="34"/>
  <c r="CV62" i="34"/>
  <c r="CT62" i="34"/>
  <c r="CR62" i="34"/>
  <c r="CP62" i="34"/>
  <c r="CN62" i="34"/>
  <c r="CW62" i="34"/>
  <c r="CU62" i="34"/>
  <c r="CS62" i="34"/>
  <c r="CQ62" i="34"/>
  <c r="CO62" i="34"/>
  <c r="CM62" i="34"/>
  <c r="CY62" i="34" s="1"/>
  <c r="CX58" i="34"/>
  <c r="CV58" i="34"/>
  <c r="CT58" i="34"/>
  <c r="CR58" i="34"/>
  <c r="CP58" i="34"/>
  <c r="CN58" i="34"/>
  <c r="CW58" i="34"/>
  <c r="CU58" i="34"/>
  <c r="CS58" i="34"/>
  <c r="CQ58" i="34"/>
  <c r="CO58" i="34"/>
  <c r="CM58" i="34"/>
  <c r="CY58" i="34" s="1"/>
  <c r="CW77" i="34"/>
  <c r="CU77" i="34"/>
  <c r="CX77" i="34"/>
  <c r="CV77" i="34"/>
  <c r="CS77" i="34"/>
  <c r="CQ77" i="34"/>
  <c r="CO77" i="34"/>
  <c r="CM77" i="34"/>
  <c r="CY77" i="34" s="1"/>
  <c r="CT77" i="34"/>
  <c r="CR77" i="34"/>
  <c r="CP77" i="34"/>
  <c r="CN77" i="34"/>
  <c r="CW73" i="34"/>
  <c r="CU73" i="34"/>
  <c r="CS73" i="34"/>
  <c r="CQ73" i="34"/>
  <c r="CO73" i="34"/>
  <c r="CM73" i="34"/>
  <c r="CY73" i="34" s="1"/>
  <c r="CX73" i="34"/>
  <c r="CV73" i="34"/>
  <c r="CT73" i="34"/>
  <c r="CR73" i="34"/>
  <c r="CP73" i="34"/>
  <c r="CN73" i="34"/>
  <c r="CW69" i="34"/>
  <c r="CU69" i="34"/>
  <c r="CS69" i="34"/>
  <c r="CQ69" i="34"/>
  <c r="CO69" i="34"/>
  <c r="CM69" i="34"/>
  <c r="CY69" i="34" s="1"/>
  <c r="CX69" i="34"/>
  <c r="CV69" i="34"/>
  <c r="CT69" i="34"/>
  <c r="CR69" i="34"/>
  <c r="CP69" i="34"/>
  <c r="CN69" i="34"/>
  <c r="CW65" i="34"/>
  <c r="CU65" i="34"/>
  <c r="CS65" i="34"/>
  <c r="CQ65" i="34"/>
  <c r="CO65" i="34"/>
  <c r="CM65" i="34"/>
  <c r="CY65" i="34" s="1"/>
  <c r="CX65" i="34"/>
  <c r="CV65" i="34"/>
  <c r="CT65" i="34"/>
  <c r="CR65" i="34"/>
  <c r="CP65" i="34"/>
  <c r="CN65" i="34"/>
  <c r="CW61" i="34"/>
  <c r="CU61" i="34"/>
  <c r="CS61" i="34"/>
  <c r="CQ61" i="34"/>
  <c r="CO61" i="34"/>
  <c r="CM61" i="34"/>
  <c r="CY61" i="34" s="1"/>
  <c r="CX61" i="34"/>
  <c r="CV61" i="34"/>
  <c r="CT61" i="34"/>
  <c r="CR61" i="34"/>
  <c r="CP61" i="34"/>
  <c r="CN61" i="34"/>
  <c r="CX54" i="34"/>
  <c r="CV54" i="34"/>
  <c r="CT54" i="34"/>
  <c r="CR54" i="34"/>
  <c r="CP54" i="34"/>
  <c r="CN54" i="34"/>
  <c r="CW54" i="34"/>
  <c r="CU54" i="34"/>
  <c r="CS54" i="34"/>
  <c r="CQ54" i="34"/>
  <c r="CO54" i="34"/>
  <c r="CM54" i="34"/>
  <c r="CY54" i="34" s="1"/>
  <c r="CX50" i="34"/>
  <c r="CV50" i="34"/>
  <c r="CT50" i="34"/>
  <c r="CR50" i="34"/>
  <c r="CP50" i="34"/>
  <c r="CN50" i="34"/>
  <c r="CW50" i="34"/>
  <c r="CU50" i="34"/>
  <c r="CS50" i="34"/>
  <c r="CQ50" i="34"/>
  <c r="CO50" i="34"/>
  <c r="CM50" i="34"/>
  <c r="CY50" i="34" s="1"/>
  <c r="CX17" i="34"/>
  <c r="CV17" i="34"/>
  <c r="CT17" i="34"/>
  <c r="CR17" i="34"/>
  <c r="CP17" i="34"/>
  <c r="CN17" i="34"/>
  <c r="CW17" i="34"/>
  <c r="CS17" i="34"/>
  <c r="CO17" i="34"/>
  <c r="CL3" i="34"/>
  <c r="CU17" i="34"/>
  <c r="CQ17" i="34"/>
  <c r="CM17" i="34"/>
  <c r="CY17" i="34" s="1"/>
  <c r="CX13" i="34"/>
  <c r="CV13" i="34"/>
  <c r="CT13" i="34"/>
  <c r="CR13" i="34"/>
  <c r="CP13" i="34"/>
  <c r="CN13" i="34"/>
  <c r="CW13" i="34"/>
  <c r="CS13" i="34"/>
  <c r="CO13" i="34"/>
  <c r="CU13" i="34"/>
  <c r="CQ13" i="34"/>
  <c r="CM13" i="34"/>
  <c r="CY13" i="34" s="1"/>
  <c r="CW47" i="34"/>
  <c r="CU47" i="34"/>
  <c r="CS47" i="34"/>
  <c r="CQ47" i="34"/>
  <c r="CO47" i="34"/>
  <c r="CM47" i="34"/>
  <c r="CY47" i="34" s="1"/>
  <c r="CX47" i="34"/>
  <c r="CT47" i="34"/>
  <c r="CP47" i="34"/>
  <c r="CV47" i="34"/>
  <c r="CR47" i="34"/>
  <c r="CN47" i="34"/>
  <c r="CX138" i="34"/>
  <c r="CV138" i="34"/>
  <c r="CT138" i="34"/>
  <c r="CR138" i="34"/>
  <c r="CP138" i="34"/>
  <c r="CN138" i="34"/>
  <c r="CW138" i="34"/>
  <c r="CU138" i="34"/>
  <c r="CS138" i="34"/>
  <c r="CQ138" i="34"/>
  <c r="CO138" i="34"/>
  <c r="CM138" i="34"/>
  <c r="CY138" i="34" s="1"/>
  <c r="CW134" i="34"/>
  <c r="CU134" i="34"/>
  <c r="CS134" i="34"/>
  <c r="CQ134" i="34"/>
  <c r="CO134" i="34"/>
  <c r="CM134" i="34"/>
  <c r="CY134" i="34" s="1"/>
  <c r="CX134" i="34"/>
  <c r="CV134" i="34"/>
  <c r="CT134" i="34"/>
  <c r="CR134" i="34"/>
  <c r="CP134" i="34"/>
  <c r="CN134" i="34"/>
  <c r="CW133" i="34"/>
  <c r="CU133" i="34"/>
  <c r="CS133" i="34"/>
  <c r="CQ133" i="34"/>
  <c r="CO133" i="34"/>
  <c r="CM133" i="34"/>
  <c r="CY133" i="34" s="1"/>
  <c r="CX133" i="34"/>
  <c r="CV133" i="34"/>
  <c r="CT133" i="34"/>
  <c r="CR133" i="34"/>
  <c r="CP133" i="34"/>
  <c r="CN133" i="34"/>
  <c r="CX126" i="34"/>
  <c r="CV126" i="34"/>
  <c r="CT126" i="34"/>
  <c r="CR126" i="34"/>
  <c r="CP126" i="34"/>
  <c r="CN126" i="34"/>
  <c r="CW126" i="34"/>
  <c r="CU126" i="34"/>
  <c r="CS126" i="34"/>
  <c r="CQ126" i="34"/>
  <c r="CO126" i="34"/>
  <c r="CM126" i="34"/>
  <c r="CY126" i="34" s="1"/>
  <c r="CX123" i="34"/>
  <c r="CV123" i="34"/>
  <c r="CT123" i="34"/>
  <c r="CR123" i="34"/>
  <c r="CP123" i="34"/>
  <c r="CN123" i="34"/>
  <c r="CW123" i="34"/>
  <c r="CU123" i="34"/>
  <c r="CS123" i="34"/>
  <c r="CQ123" i="34"/>
  <c r="CO123" i="34"/>
  <c r="CM123" i="34"/>
  <c r="CY123" i="34" s="1"/>
  <c r="CX120" i="34"/>
  <c r="CV120" i="34"/>
  <c r="CT120" i="34"/>
  <c r="CR120" i="34"/>
  <c r="CP120" i="34"/>
  <c r="CN120" i="34"/>
  <c r="CW120" i="34"/>
  <c r="CU120" i="34"/>
  <c r="CS120" i="34"/>
  <c r="CQ120" i="34"/>
  <c r="CO120" i="34"/>
  <c r="CM120" i="34"/>
  <c r="CY120" i="34" s="1"/>
  <c r="CX112" i="34"/>
  <c r="CV112" i="34"/>
  <c r="CT112" i="34"/>
  <c r="CR112" i="34"/>
  <c r="CP112" i="34"/>
  <c r="CN112" i="34"/>
  <c r="CW112" i="34"/>
  <c r="CU112" i="34"/>
  <c r="CS112" i="34"/>
  <c r="CQ112" i="34"/>
  <c r="CO112" i="34"/>
  <c r="CM112" i="34"/>
  <c r="CY112" i="34" s="1"/>
  <c r="CW119" i="34"/>
  <c r="CU119" i="34"/>
  <c r="CS119" i="34"/>
  <c r="CQ119" i="34"/>
  <c r="CO119" i="34"/>
  <c r="CM119" i="34"/>
  <c r="CY119" i="34" s="1"/>
  <c r="CX119" i="34"/>
  <c r="CV119" i="34"/>
  <c r="CT119" i="34"/>
  <c r="CR119" i="34"/>
  <c r="CP119" i="34"/>
  <c r="CN119" i="34"/>
  <c r="CW111" i="34"/>
  <c r="CU111" i="34"/>
  <c r="CS111" i="34"/>
  <c r="CQ111" i="34"/>
  <c r="CO111" i="34"/>
  <c r="CM111" i="34"/>
  <c r="CY111" i="34" s="1"/>
  <c r="CX111" i="34"/>
  <c r="CV111" i="34"/>
  <c r="CT111" i="34"/>
  <c r="CR111" i="34"/>
  <c r="CP111" i="34"/>
  <c r="CN111" i="34"/>
  <c r="CX103" i="34"/>
  <c r="CV103" i="34"/>
  <c r="CT103" i="34"/>
  <c r="CR103" i="34"/>
  <c r="CP103" i="34"/>
  <c r="CN103" i="34"/>
  <c r="CW103" i="34"/>
  <c r="CU103" i="34"/>
  <c r="CS103" i="34"/>
  <c r="CQ103" i="34"/>
  <c r="CO103" i="34"/>
  <c r="CM103" i="34"/>
  <c r="CY103" i="34" s="1"/>
  <c r="CW106" i="34"/>
  <c r="CU106" i="34"/>
  <c r="CS106" i="34"/>
  <c r="CQ106" i="34"/>
  <c r="CO106" i="34"/>
  <c r="CM106" i="34"/>
  <c r="CY106" i="34" s="1"/>
  <c r="CX106" i="34"/>
  <c r="CV106" i="34"/>
  <c r="CT106" i="34"/>
  <c r="CR106" i="34"/>
  <c r="CP106" i="34"/>
  <c r="CN106" i="34"/>
  <c r="CW102" i="34"/>
  <c r="CU102" i="34"/>
  <c r="CS102" i="34"/>
  <c r="CQ102" i="34"/>
  <c r="CO102" i="34"/>
  <c r="CM102" i="34"/>
  <c r="CY102" i="34" s="1"/>
  <c r="CX102" i="34"/>
  <c r="CV102" i="34"/>
  <c r="CT102" i="34"/>
  <c r="CR102" i="34"/>
  <c r="CP102" i="34"/>
  <c r="CN102" i="34"/>
  <c r="CX94" i="34"/>
  <c r="CV94" i="34"/>
  <c r="CT94" i="34"/>
  <c r="CR94" i="34"/>
  <c r="CP94" i="34"/>
  <c r="CN94" i="34"/>
  <c r="CW94" i="34"/>
  <c r="CU94" i="34"/>
  <c r="CS94" i="34"/>
  <c r="CQ94" i="34"/>
  <c r="CO94" i="34"/>
  <c r="CM94" i="34"/>
  <c r="CY94" i="34" s="1"/>
  <c r="CX86" i="34"/>
  <c r="CV86" i="34"/>
  <c r="CT86" i="34"/>
  <c r="CR86" i="34"/>
  <c r="CP86" i="34"/>
  <c r="CN86" i="34"/>
  <c r="CW86" i="34"/>
  <c r="CU86" i="34"/>
  <c r="CS86" i="34"/>
  <c r="CQ86" i="34"/>
  <c r="CO86" i="34"/>
  <c r="CM86" i="34"/>
  <c r="CY86" i="34" s="1"/>
  <c r="CX82" i="34"/>
  <c r="CV82" i="34"/>
  <c r="CT82" i="34"/>
  <c r="CR82" i="34"/>
  <c r="CP82" i="34"/>
  <c r="CN82" i="34"/>
  <c r="CW82" i="34"/>
  <c r="CU82" i="34"/>
  <c r="CS82" i="34"/>
  <c r="CQ82" i="34"/>
  <c r="CO82" i="34"/>
  <c r="CM82" i="34"/>
  <c r="CY82" i="34" s="1"/>
  <c r="CW95" i="34"/>
  <c r="CU95" i="34"/>
  <c r="CS95" i="34"/>
  <c r="CQ95" i="34"/>
  <c r="CO95" i="34"/>
  <c r="CM95" i="34"/>
  <c r="CY95" i="34" s="1"/>
  <c r="CX95" i="34"/>
  <c r="CV95" i="34"/>
  <c r="CT95" i="34"/>
  <c r="CR95" i="34"/>
  <c r="CP95" i="34"/>
  <c r="CN95" i="34"/>
  <c r="CW87" i="34"/>
  <c r="CU87" i="34"/>
  <c r="CS87" i="34"/>
  <c r="CQ87" i="34"/>
  <c r="CO87" i="34"/>
  <c r="CM87" i="34"/>
  <c r="CY87" i="34" s="1"/>
  <c r="CX87" i="34"/>
  <c r="CV87" i="34"/>
  <c r="CT87" i="34"/>
  <c r="CR87" i="34"/>
  <c r="CP87" i="34"/>
  <c r="CN87" i="34"/>
  <c r="CW79" i="34"/>
  <c r="CU79" i="34"/>
  <c r="CS79" i="34"/>
  <c r="CQ79" i="34"/>
  <c r="CO79" i="34"/>
  <c r="CM79" i="34"/>
  <c r="CY79" i="34" s="1"/>
  <c r="CX79" i="34"/>
  <c r="CV79" i="34"/>
  <c r="CT79" i="34"/>
  <c r="CR79" i="34"/>
  <c r="CP79" i="34"/>
  <c r="CN79" i="34"/>
  <c r="CX70" i="34"/>
  <c r="CV70" i="34"/>
  <c r="CT70" i="34"/>
  <c r="CR70" i="34"/>
  <c r="CP70" i="34"/>
  <c r="CN70" i="34"/>
  <c r="CW70" i="34"/>
  <c r="CU70" i="34"/>
  <c r="CS70" i="34"/>
  <c r="CQ70" i="34"/>
  <c r="CO70" i="34"/>
  <c r="CM70" i="34"/>
  <c r="CY70" i="34" s="1"/>
  <c r="CX46" i="34"/>
  <c r="CV46" i="34"/>
  <c r="CT46" i="34"/>
  <c r="CR46" i="34"/>
  <c r="CP46" i="34"/>
  <c r="CN46" i="34"/>
  <c r="CW46" i="34"/>
  <c r="CS46" i="34"/>
  <c r="CO46" i="34"/>
  <c r="CU46" i="34"/>
  <c r="CQ46" i="34"/>
  <c r="CM46" i="34"/>
  <c r="CY46" i="34" s="1"/>
  <c r="CX42" i="34"/>
  <c r="CV42" i="34"/>
  <c r="CT42" i="34"/>
  <c r="CR42" i="34"/>
  <c r="CP42" i="34"/>
  <c r="CN42" i="34"/>
  <c r="CW42" i="34"/>
  <c r="CS42" i="34"/>
  <c r="CO42" i="34"/>
  <c r="CU42" i="34"/>
  <c r="CQ42" i="34"/>
  <c r="CM42" i="34"/>
  <c r="CY42" i="34" s="1"/>
  <c r="CX38" i="34"/>
  <c r="CV38" i="34"/>
  <c r="CT38" i="34"/>
  <c r="CR38" i="34"/>
  <c r="CP38" i="34"/>
  <c r="CN38" i="34"/>
  <c r="CW38" i="34"/>
  <c r="CS38" i="34"/>
  <c r="CO38" i="34"/>
  <c r="CU38" i="34"/>
  <c r="CQ38" i="34"/>
  <c r="CM38" i="34"/>
  <c r="CY38" i="34" s="1"/>
  <c r="CX34" i="34"/>
  <c r="CV34" i="34"/>
  <c r="CT34" i="34"/>
  <c r="CR34" i="34"/>
  <c r="CP34" i="34"/>
  <c r="CN34" i="34"/>
  <c r="CW34" i="34"/>
  <c r="CS34" i="34"/>
  <c r="CO34" i="34"/>
  <c r="CU34" i="34"/>
  <c r="CQ34" i="34"/>
  <c r="CM34" i="34"/>
  <c r="CY34" i="34" s="1"/>
  <c r="CW51" i="34"/>
  <c r="CU51" i="34"/>
  <c r="CS51" i="34"/>
  <c r="CQ51" i="34"/>
  <c r="CO51" i="34"/>
  <c r="CM51" i="34"/>
  <c r="CY51" i="34" s="1"/>
  <c r="CX51" i="34"/>
  <c r="CV51" i="34"/>
  <c r="CT51" i="34"/>
  <c r="CR51" i="34"/>
  <c r="CP51" i="34"/>
  <c r="CN51" i="34"/>
  <c r="CZ138" i="34"/>
  <c r="CZ136" i="34"/>
  <c r="CZ134" i="34"/>
  <c r="CZ133" i="34"/>
  <c r="CZ130" i="34"/>
  <c r="CZ126" i="34"/>
  <c r="CZ127" i="34"/>
  <c r="CZ123" i="34"/>
  <c r="CZ124" i="34"/>
  <c r="CZ120" i="34"/>
  <c r="CZ116" i="34"/>
  <c r="CZ112" i="34"/>
  <c r="CZ119" i="34"/>
  <c r="CZ115" i="34"/>
  <c r="CZ111" i="34"/>
  <c r="CZ107" i="34"/>
  <c r="CZ103" i="34"/>
  <c r="CZ99" i="34"/>
  <c r="CZ106" i="34"/>
  <c r="CZ102" i="34"/>
  <c r="CZ98" i="34"/>
  <c r="CZ94" i="34"/>
  <c r="CZ90" i="34"/>
  <c r="CZ86" i="34"/>
  <c r="CZ82" i="34"/>
  <c r="CZ78" i="34"/>
  <c r="CZ95" i="34"/>
  <c r="CZ91" i="34"/>
  <c r="CZ87" i="34"/>
  <c r="CZ83" i="34"/>
  <c r="CZ79" i="34"/>
  <c r="CZ77" i="34"/>
  <c r="CZ74" i="34"/>
  <c r="CZ70" i="34"/>
  <c r="CZ66" i="34"/>
  <c r="CZ62" i="34"/>
  <c r="CZ58" i="34"/>
  <c r="CZ73" i="34"/>
  <c r="CZ69" i="34"/>
  <c r="CZ65" i="34"/>
  <c r="CZ61" i="34"/>
  <c r="CZ54" i="34"/>
  <c r="CZ50" i="34"/>
  <c r="CZ46" i="34"/>
  <c r="CZ42" i="34"/>
  <c r="CZ38" i="34"/>
  <c r="CZ34" i="34"/>
  <c r="CZ17" i="34"/>
  <c r="CZ13" i="34"/>
  <c r="CZ51" i="34"/>
  <c r="DA9" i="34"/>
  <c r="DB9" i="34" s="1"/>
  <c r="DC9" i="34" s="1"/>
  <c r="DD9" i="34" s="1"/>
  <c r="DE9" i="34" s="1"/>
  <c r="DF9" i="34" s="1"/>
  <c r="DG9" i="34" s="1"/>
  <c r="DH9" i="34" s="1"/>
  <c r="DI9" i="34" s="1"/>
  <c r="DJ9" i="34" s="1"/>
  <c r="DK9" i="34" s="1"/>
  <c r="DL9" i="34" s="1"/>
  <c r="CZ47" i="34"/>
  <c r="CW12" i="34"/>
  <c r="CU12" i="34"/>
  <c r="CS12" i="34"/>
  <c r="CQ12" i="34"/>
  <c r="CO12" i="34"/>
  <c r="CM12" i="34"/>
  <c r="CY12" i="34" s="1"/>
  <c r="CZ12" i="34" s="1"/>
  <c r="CX12" i="34"/>
  <c r="CT12" i="34"/>
  <c r="CP12" i="34"/>
  <c r="CV12" i="34"/>
  <c r="CR12" i="34"/>
  <c r="CN12" i="34"/>
  <c r="CL4" i="34"/>
  <c r="CW16" i="34"/>
  <c r="CU16" i="34"/>
  <c r="CS16" i="34"/>
  <c r="CQ16" i="34"/>
  <c r="CO16" i="34"/>
  <c r="CM16" i="34"/>
  <c r="CY16" i="34" s="1"/>
  <c r="CZ16" i="34" s="1"/>
  <c r="CX16" i="34"/>
  <c r="CT16" i="34"/>
  <c r="CP16" i="34"/>
  <c r="CV16" i="34"/>
  <c r="CR16" i="34"/>
  <c r="CN16" i="34"/>
  <c r="CW20" i="34"/>
  <c r="CU20" i="34"/>
  <c r="CS20" i="34"/>
  <c r="CQ20" i="34"/>
  <c r="CO20" i="34"/>
  <c r="CM20" i="34"/>
  <c r="CY20" i="34" s="1"/>
  <c r="CZ20" i="34" s="1"/>
  <c r="CX20" i="34"/>
  <c r="CT20" i="34"/>
  <c r="CP20" i="34"/>
  <c r="CV20" i="34"/>
  <c r="CR20" i="34"/>
  <c r="CN20" i="34"/>
  <c r="CW24" i="34"/>
  <c r="CU24" i="34"/>
  <c r="CS24" i="34"/>
  <c r="CQ24" i="34"/>
  <c r="CO24" i="34"/>
  <c r="CM24" i="34"/>
  <c r="CY24" i="34" s="1"/>
  <c r="CZ24" i="34" s="1"/>
  <c r="CX24" i="34"/>
  <c r="CT24" i="34"/>
  <c r="CP24" i="34"/>
  <c r="CV24" i="34"/>
  <c r="CR24" i="34"/>
  <c r="CN24" i="34"/>
  <c r="CW29" i="34"/>
  <c r="CU29" i="34"/>
  <c r="CS29" i="34"/>
  <c r="CQ29" i="34"/>
  <c r="CO29" i="34"/>
  <c r="CM29" i="34"/>
  <c r="CY29" i="34" s="1"/>
  <c r="CZ29" i="34" s="1"/>
  <c r="CX29" i="34"/>
  <c r="CT29" i="34"/>
  <c r="CP29" i="34"/>
  <c r="CV29" i="34"/>
  <c r="CR29" i="34"/>
  <c r="CN29" i="34"/>
  <c r="CW33" i="34"/>
  <c r="CU33" i="34"/>
  <c r="CS33" i="34"/>
  <c r="CQ33" i="34"/>
  <c r="CO33" i="34"/>
  <c r="CM33" i="34"/>
  <c r="CY33" i="34" s="1"/>
  <c r="CZ33" i="34" s="1"/>
  <c r="CX33" i="34"/>
  <c r="CT33" i="34"/>
  <c r="CP33" i="34"/>
  <c r="CV33" i="34"/>
  <c r="CR33" i="34"/>
  <c r="CN33" i="34"/>
  <c r="CW37" i="34"/>
  <c r="CU37" i="34"/>
  <c r="CS37" i="34"/>
  <c r="CQ37" i="34"/>
  <c r="CO37" i="34"/>
  <c r="CM37" i="34"/>
  <c r="CY37" i="34" s="1"/>
  <c r="CZ37" i="34" s="1"/>
  <c r="CX37" i="34"/>
  <c r="CT37" i="34"/>
  <c r="CP37" i="34"/>
  <c r="CV37" i="34"/>
  <c r="CR37" i="34"/>
  <c r="CN37" i="34"/>
  <c r="CW41" i="34"/>
  <c r="CU41" i="34"/>
  <c r="CS41" i="34"/>
  <c r="CQ41" i="34"/>
  <c r="CO41" i="34"/>
  <c r="CM41" i="34"/>
  <c r="CY41" i="34" s="1"/>
  <c r="CZ41" i="34" s="1"/>
  <c r="CX41" i="34"/>
  <c r="CT41" i="34"/>
  <c r="CP41" i="34"/>
  <c r="CV41" i="34"/>
  <c r="CR41" i="34"/>
  <c r="CN41" i="34"/>
  <c r="CW45" i="34"/>
  <c r="CU45" i="34"/>
  <c r="CS45" i="34"/>
  <c r="CQ45" i="34"/>
  <c r="CO45" i="34"/>
  <c r="CM45" i="34"/>
  <c r="CY45" i="34" s="1"/>
  <c r="CZ45" i="34" s="1"/>
  <c r="CX45" i="34"/>
  <c r="CT45" i="34"/>
  <c r="CP45" i="34"/>
  <c r="CV45" i="34"/>
  <c r="CR45" i="34"/>
  <c r="CN45" i="34"/>
  <c r="CW49" i="34"/>
  <c r="CU49" i="34"/>
  <c r="CS49" i="34"/>
  <c r="CQ49" i="34"/>
  <c r="CO49" i="34"/>
  <c r="CM49" i="34"/>
  <c r="CY49" i="34" s="1"/>
  <c r="CZ49" i="34" s="1"/>
  <c r="CX49" i="34"/>
  <c r="CV49" i="34"/>
  <c r="CT49" i="34"/>
  <c r="CR49" i="34"/>
  <c r="CP49" i="34"/>
  <c r="CN49" i="34"/>
  <c r="CW53" i="34"/>
  <c r="CU53" i="34"/>
  <c r="CS53" i="34"/>
  <c r="CQ53" i="34"/>
  <c r="CO53" i="34"/>
  <c r="CM53" i="34"/>
  <c r="CY53" i="34" s="1"/>
  <c r="CZ53" i="34" s="1"/>
  <c r="CX53" i="34"/>
  <c r="CV53" i="34"/>
  <c r="CT53" i="34"/>
  <c r="CR53" i="34"/>
  <c r="CP53" i="34"/>
  <c r="CN53" i="34"/>
  <c r="CX21" i="34"/>
  <c r="CV21" i="34"/>
  <c r="CT21" i="34"/>
  <c r="CR21" i="34"/>
  <c r="CP21" i="34"/>
  <c r="CN21" i="34"/>
  <c r="CW21" i="34"/>
  <c r="CS21" i="34"/>
  <c r="CO21" i="34"/>
  <c r="CU21" i="34"/>
  <c r="CQ21" i="34"/>
  <c r="CM21" i="34"/>
  <c r="CY21" i="34" s="1"/>
  <c r="CZ21" i="34" s="1"/>
  <c r="CX25" i="34"/>
  <c r="CV25" i="34"/>
  <c r="CT25" i="34"/>
  <c r="CR25" i="34"/>
  <c r="CP25" i="34"/>
  <c r="CN25" i="34"/>
  <c r="CW25" i="34"/>
  <c r="CS25" i="34"/>
  <c r="CO25" i="34"/>
  <c r="CU25" i="34"/>
  <c r="CQ25" i="34"/>
  <c r="CM25" i="34"/>
  <c r="CY25" i="34" s="1"/>
  <c r="CZ25" i="34" s="1"/>
  <c r="CX30" i="34"/>
  <c r="CV30" i="34"/>
  <c r="CT30" i="34"/>
  <c r="CR30" i="34"/>
  <c r="CP30" i="34"/>
  <c r="CN30" i="34"/>
  <c r="CW30" i="34"/>
  <c r="CS30" i="34"/>
  <c r="CO30" i="34"/>
  <c r="CU30" i="34"/>
  <c r="CQ30" i="34"/>
  <c r="CM30" i="34"/>
  <c r="CY30" i="34" s="1"/>
  <c r="CZ30" i="34" s="1"/>
  <c r="CW63" i="34"/>
  <c r="CU63" i="34"/>
  <c r="CS63" i="34"/>
  <c r="CQ63" i="34"/>
  <c r="CO63" i="34"/>
  <c r="CM63" i="34"/>
  <c r="CY63" i="34" s="1"/>
  <c r="CZ63" i="34" s="1"/>
  <c r="CX63" i="34"/>
  <c r="CV63" i="34"/>
  <c r="CT63" i="34"/>
  <c r="CR63" i="34"/>
  <c r="CP63" i="34"/>
  <c r="CN63" i="34"/>
  <c r="CW67" i="34"/>
  <c r="CU67" i="34"/>
  <c r="CS67" i="34"/>
  <c r="CQ67" i="34"/>
  <c r="CO67" i="34"/>
  <c r="CM67" i="34"/>
  <c r="CY67" i="34" s="1"/>
  <c r="CZ67" i="34" s="1"/>
  <c r="CX67" i="34"/>
  <c r="CV67" i="34"/>
  <c r="CT67" i="34"/>
  <c r="CR67" i="34"/>
  <c r="CP67" i="34"/>
  <c r="CN67" i="34"/>
  <c r="CW71" i="34"/>
  <c r="CU71" i="34"/>
  <c r="CS71" i="34"/>
  <c r="CQ71" i="34"/>
  <c r="CO71" i="34"/>
  <c r="CM71" i="34"/>
  <c r="CY71" i="34" s="1"/>
  <c r="CZ71" i="34" s="1"/>
  <c r="CX71" i="34"/>
  <c r="CV71" i="34"/>
  <c r="CT71" i="34"/>
  <c r="CR71" i="34"/>
  <c r="CP71" i="34"/>
  <c r="CN71" i="34"/>
  <c r="CW75" i="34"/>
  <c r="CU75" i="34"/>
  <c r="CS75" i="34"/>
  <c r="CQ75" i="34"/>
  <c r="CO75" i="34"/>
  <c r="CM75" i="34"/>
  <c r="CY75" i="34" s="1"/>
  <c r="CZ75" i="34" s="1"/>
  <c r="CX75" i="34"/>
  <c r="CV75" i="34"/>
  <c r="CT75" i="34"/>
  <c r="CR75" i="34"/>
  <c r="CP75" i="34"/>
  <c r="CN75" i="34"/>
  <c r="CX56" i="34"/>
  <c r="CV56" i="34"/>
  <c r="CT56" i="34"/>
  <c r="CR56" i="34"/>
  <c r="CP56" i="34"/>
  <c r="CN56" i="34"/>
  <c r="CW56" i="34"/>
  <c r="CU56" i="34"/>
  <c r="CS56" i="34"/>
  <c r="CQ56" i="34"/>
  <c r="CO56" i="34"/>
  <c r="CM56" i="34"/>
  <c r="CY56" i="34" s="1"/>
  <c r="CZ56" i="34" s="1"/>
  <c r="CX60" i="34"/>
  <c r="CV60" i="34"/>
  <c r="CT60" i="34"/>
  <c r="CR60" i="34"/>
  <c r="CP60" i="34"/>
  <c r="CN60" i="34"/>
  <c r="CW60" i="34"/>
  <c r="CU60" i="34"/>
  <c r="CS60" i="34"/>
  <c r="CQ60" i="34"/>
  <c r="CO60" i="34"/>
  <c r="CM60" i="34"/>
  <c r="CY60" i="34" s="1"/>
  <c r="CZ60" i="34" s="1"/>
  <c r="CX64" i="34"/>
  <c r="CV64" i="34"/>
  <c r="CT64" i="34"/>
  <c r="CR64" i="34"/>
  <c r="CP64" i="34"/>
  <c r="CN64" i="34"/>
  <c r="CW64" i="34"/>
  <c r="CU64" i="34"/>
  <c r="CS64" i="34"/>
  <c r="CQ64" i="34"/>
  <c r="CO64" i="34"/>
  <c r="CM64" i="34"/>
  <c r="CY64" i="34" s="1"/>
  <c r="CZ64" i="34" s="1"/>
  <c r="CX68" i="34"/>
  <c r="CV68" i="34"/>
  <c r="CT68" i="34"/>
  <c r="CR68" i="34"/>
  <c r="CP68" i="34"/>
  <c r="CN68" i="34"/>
  <c r="CW68" i="34"/>
  <c r="CU68" i="34"/>
  <c r="CS68" i="34"/>
  <c r="CQ68" i="34"/>
  <c r="CO68" i="34"/>
  <c r="CM68" i="34"/>
  <c r="CY68" i="34" s="1"/>
  <c r="CZ68" i="34" s="1"/>
  <c r="CX72" i="34"/>
  <c r="CV72" i="34"/>
  <c r="CT72" i="34"/>
  <c r="CR72" i="34"/>
  <c r="CP72" i="34"/>
  <c r="CN72" i="34"/>
  <c r="CW72" i="34"/>
  <c r="CU72" i="34"/>
  <c r="CS72" i="34"/>
  <c r="CQ72" i="34"/>
  <c r="CO72" i="34"/>
  <c r="CM72" i="34"/>
  <c r="CY72" i="34" s="1"/>
  <c r="CZ72" i="34" s="1"/>
  <c r="CX76" i="34"/>
  <c r="CV76" i="34"/>
  <c r="CT76" i="34"/>
  <c r="CR76" i="34"/>
  <c r="CP76" i="34"/>
  <c r="CN76" i="34"/>
  <c r="CW76" i="34"/>
  <c r="CU76" i="34"/>
  <c r="CS76" i="34"/>
  <c r="CQ76" i="34"/>
  <c r="CO76" i="34"/>
  <c r="CM76" i="34"/>
  <c r="CY76" i="34" s="1"/>
  <c r="CZ76" i="34" s="1"/>
  <c r="CW81" i="34"/>
  <c r="CU81" i="34"/>
  <c r="CS81" i="34"/>
  <c r="CQ81" i="34"/>
  <c r="CO81" i="34"/>
  <c r="CM81" i="34"/>
  <c r="CY81" i="34" s="1"/>
  <c r="CZ81" i="34" s="1"/>
  <c r="CX81" i="34"/>
  <c r="CV81" i="34"/>
  <c r="CT81" i="34"/>
  <c r="CR81" i="34"/>
  <c r="CP81" i="34"/>
  <c r="CN81" i="34"/>
  <c r="CW85" i="34"/>
  <c r="CU85" i="34"/>
  <c r="CS85" i="34"/>
  <c r="CQ85" i="34"/>
  <c r="CO85" i="34"/>
  <c r="CM85" i="34"/>
  <c r="CY85" i="34" s="1"/>
  <c r="CZ85" i="34" s="1"/>
  <c r="CX85" i="34"/>
  <c r="CV85" i="34"/>
  <c r="CT85" i="34"/>
  <c r="CR85" i="34"/>
  <c r="CP85" i="34"/>
  <c r="CN85" i="34"/>
  <c r="CW89" i="34"/>
  <c r="CU89" i="34"/>
  <c r="CS89" i="34"/>
  <c r="CQ89" i="34"/>
  <c r="CO89" i="34"/>
  <c r="CM89" i="34"/>
  <c r="CY89" i="34" s="1"/>
  <c r="CZ89" i="34" s="1"/>
  <c r="CX89" i="34"/>
  <c r="CV89" i="34"/>
  <c r="CT89" i="34"/>
  <c r="CR89" i="34"/>
  <c r="CP89" i="34"/>
  <c r="CN89" i="34"/>
  <c r="CW93" i="34"/>
  <c r="CU93" i="34"/>
  <c r="CS93" i="34"/>
  <c r="CQ93" i="34"/>
  <c r="CO93" i="34"/>
  <c r="CM93" i="34"/>
  <c r="CY93" i="34" s="1"/>
  <c r="CZ93" i="34" s="1"/>
  <c r="CX93" i="34"/>
  <c r="CV93" i="34"/>
  <c r="CT93" i="34"/>
  <c r="CR93" i="34"/>
  <c r="CP93" i="34"/>
  <c r="CN93" i="34"/>
  <c r="CW97" i="34"/>
  <c r="CU97" i="34"/>
  <c r="CS97" i="34"/>
  <c r="CQ97" i="34"/>
  <c r="CO97" i="34"/>
  <c r="CM97" i="34"/>
  <c r="CY97" i="34" s="1"/>
  <c r="CZ97" i="34" s="1"/>
  <c r="CX97" i="34"/>
  <c r="CV97" i="34"/>
  <c r="CT97" i="34"/>
  <c r="CR97" i="34"/>
  <c r="CP97" i="34"/>
  <c r="CN97" i="34"/>
  <c r="CX80" i="34"/>
  <c r="CV80" i="34"/>
  <c r="CT80" i="34"/>
  <c r="CR80" i="34"/>
  <c r="CP80" i="34"/>
  <c r="CN80" i="34"/>
  <c r="CW80" i="34"/>
  <c r="CU80" i="34"/>
  <c r="CS80" i="34"/>
  <c r="CQ80" i="34"/>
  <c r="CO80" i="34"/>
  <c r="CM80" i="34"/>
  <c r="CY80" i="34" s="1"/>
  <c r="CZ80" i="34" s="1"/>
  <c r="CX84" i="34"/>
  <c r="CV84" i="34"/>
  <c r="CT84" i="34"/>
  <c r="CR84" i="34"/>
  <c r="CP84" i="34"/>
  <c r="CN84" i="34"/>
  <c r="CW84" i="34"/>
  <c r="CU84" i="34"/>
  <c r="CS84" i="34"/>
  <c r="CQ84" i="34"/>
  <c r="CO84" i="34"/>
  <c r="CM84" i="34"/>
  <c r="CY84" i="34" s="1"/>
  <c r="CZ84" i="34" s="1"/>
  <c r="CX88" i="34"/>
  <c r="CV88" i="34"/>
  <c r="CT88" i="34"/>
  <c r="CR88" i="34"/>
  <c r="CP88" i="34"/>
  <c r="CN88" i="34"/>
  <c r="CW88" i="34"/>
  <c r="CU88" i="34"/>
  <c r="CS88" i="34"/>
  <c r="CQ88" i="34"/>
  <c r="CO88" i="34"/>
  <c r="CM88" i="34"/>
  <c r="CY88" i="34" s="1"/>
  <c r="CZ88" i="34" s="1"/>
  <c r="CX92" i="34"/>
  <c r="CV92" i="34"/>
  <c r="CT92" i="34"/>
  <c r="CR92" i="34"/>
  <c r="CP92" i="34"/>
  <c r="CN92" i="34"/>
  <c r="CW92" i="34"/>
  <c r="CU92" i="34"/>
  <c r="CS92" i="34"/>
  <c r="CQ92" i="34"/>
  <c r="CO92" i="34"/>
  <c r="CM92" i="34"/>
  <c r="CY92" i="34" s="1"/>
  <c r="CZ92" i="34" s="1"/>
  <c r="CX96" i="34"/>
  <c r="CV96" i="34"/>
  <c r="CT96" i="34"/>
  <c r="CR96" i="34"/>
  <c r="CP96" i="34"/>
  <c r="CN96" i="34"/>
  <c r="CW96" i="34"/>
  <c r="CU96" i="34"/>
  <c r="CS96" i="34"/>
  <c r="CQ96" i="34"/>
  <c r="CO96" i="34"/>
  <c r="CM96" i="34"/>
  <c r="CY96" i="34" s="1"/>
  <c r="CZ96" i="34" s="1"/>
  <c r="CW100" i="34"/>
  <c r="CU100" i="34"/>
  <c r="CS100" i="34"/>
  <c r="CQ100" i="34"/>
  <c r="CO100" i="34"/>
  <c r="CM100" i="34"/>
  <c r="CY100" i="34" s="1"/>
  <c r="CZ100" i="34" s="1"/>
  <c r="CX100" i="34"/>
  <c r="CV100" i="34"/>
  <c r="CT100" i="34"/>
  <c r="CR100" i="34"/>
  <c r="CP100" i="34"/>
  <c r="CN100" i="34"/>
  <c r="CW104" i="34"/>
  <c r="CU104" i="34"/>
  <c r="CS104" i="34"/>
  <c r="CQ104" i="34"/>
  <c r="CO104" i="34"/>
  <c r="CM104" i="34"/>
  <c r="CY104" i="34" s="1"/>
  <c r="CZ104" i="34" s="1"/>
  <c r="CX104" i="34"/>
  <c r="CV104" i="34"/>
  <c r="CT104" i="34"/>
  <c r="CR104" i="34"/>
  <c r="CP104" i="34"/>
  <c r="CN104" i="34"/>
  <c r="CW108" i="34"/>
  <c r="CU108" i="34"/>
  <c r="CS108" i="34"/>
  <c r="CQ108" i="34"/>
  <c r="CO108" i="34"/>
  <c r="CM108" i="34"/>
  <c r="CY108" i="34" s="1"/>
  <c r="CZ108" i="34" s="1"/>
  <c r="CX108" i="34"/>
  <c r="CV108" i="34"/>
  <c r="CT108" i="34"/>
  <c r="CR108" i="34"/>
  <c r="CP108" i="34"/>
  <c r="CN108" i="34"/>
  <c r="CX101" i="34"/>
  <c r="CV101" i="34"/>
  <c r="CT101" i="34"/>
  <c r="CR101" i="34"/>
  <c r="CP101" i="34"/>
  <c r="CN101" i="34"/>
  <c r="CW101" i="34"/>
  <c r="CU101" i="34"/>
  <c r="CS101" i="34"/>
  <c r="CQ101" i="34"/>
  <c r="CO101" i="34"/>
  <c r="CM101" i="34"/>
  <c r="CY101" i="34" s="1"/>
  <c r="CZ101" i="34" s="1"/>
  <c r="CX105" i="34"/>
  <c r="CV105" i="34"/>
  <c r="CT105" i="34"/>
  <c r="CR105" i="34"/>
  <c r="CP105" i="34"/>
  <c r="CN105" i="34"/>
  <c r="CW105" i="34"/>
  <c r="CU105" i="34"/>
  <c r="CS105" i="34"/>
  <c r="CQ105" i="34"/>
  <c r="CO105" i="34"/>
  <c r="CM105" i="34"/>
  <c r="CY105" i="34" s="1"/>
  <c r="CZ105" i="34" s="1"/>
  <c r="CX109" i="34"/>
  <c r="CV109" i="34"/>
  <c r="CT109" i="34"/>
  <c r="CR109" i="34"/>
  <c r="CP109" i="34"/>
  <c r="CN109" i="34"/>
  <c r="CW109" i="34"/>
  <c r="CU109" i="34"/>
  <c r="CS109" i="34"/>
  <c r="CQ109" i="34"/>
  <c r="CO109" i="34"/>
  <c r="CM109" i="34"/>
  <c r="CY109" i="34" s="1"/>
  <c r="CZ109" i="34" s="1"/>
  <c r="CW113" i="34"/>
  <c r="CU113" i="34"/>
  <c r="CS113" i="34"/>
  <c r="CQ113" i="34"/>
  <c r="CO113" i="34"/>
  <c r="CM113" i="34"/>
  <c r="CY113" i="34" s="1"/>
  <c r="CZ113" i="34" s="1"/>
  <c r="CX113" i="34"/>
  <c r="CV113" i="34"/>
  <c r="CT113" i="34"/>
  <c r="CR113" i="34"/>
  <c r="CP113" i="34"/>
  <c r="CN113" i="34"/>
  <c r="CW117" i="34"/>
  <c r="CU117" i="34"/>
  <c r="CS117" i="34"/>
  <c r="CQ117" i="34"/>
  <c r="CO117" i="34"/>
  <c r="CM117" i="34"/>
  <c r="CY117" i="34" s="1"/>
  <c r="CZ117" i="34" s="1"/>
  <c r="CX117" i="34"/>
  <c r="CV117" i="34"/>
  <c r="CT117" i="34"/>
  <c r="CR117" i="34"/>
  <c r="CP117" i="34"/>
  <c r="CN117" i="34"/>
  <c r="CX110" i="34"/>
  <c r="CV110" i="34"/>
  <c r="CT110" i="34"/>
  <c r="CR110" i="34"/>
  <c r="CP110" i="34"/>
  <c r="CN110" i="34"/>
  <c r="CW110" i="34"/>
  <c r="CU110" i="34"/>
  <c r="CS110" i="34"/>
  <c r="CQ110" i="34"/>
  <c r="CO110" i="34"/>
  <c r="CM110" i="34"/>
  <c r="CY110" i="34" s="1"/>
  <c r="CZ110" i="34" s="1"/>
  <c r="CX114" i="34"/>
  <c r="CV114" i="34"/>
  <c r="CT114" i="34"/>
  <c r="CR114" i="34"/>
  <c r="CP114" i="34"/>
  <c r="CN114" i="34"/>
  <c r="CW114" i="34"/>
  <c r="CU114" i="34"/>
  <c r="CS114" i="34"/>
  <c r="CQ114" i="34"/>
  <c r="CO114" i="34"/>
  <c r="CM114" i="34"/>
  <c r="CY114" i="34" s="1"/>
  <c r="CZ114" i="34" s="1"/>
  <c r="CX118" i="34"/>
  <c r="CV118" i="34"/>
  <c r="CT118" i="34"/>
  <c r="CR118" i="34"/>
  <c r="CP118" i="34"/>
  <c r="CN118" i="34"/>
  <c r="CW118" i="34"/>
  <c r="CU118" i="34"/>
  <c r="CS118" i="34"/>
  <c r="CQ118" i="34"/>
  <c r="CO118" i="34"/>
  <c r="CM118" i="34"/>
  <c r="CY118" i="34" s="1"/>
  <c r="CZ118" i="34" s="1"/>
  <c r="CW122" i="34"/>
  <c r="CU122" i="34"/>
  <c r="CS122" i="34"/>
  <c r="CQ122" i="34"/>
  <c r="CO122" i="34"/>
  <c r="CM122" i="34"/>
  <c r="CY122" i="34" s="1"/>
  <c r="CZ122" i="34" s="1"/>
  <c r="CX122" i="34"/>
  <c r="CV122" i="34"/>
  <c r="CT122" i="34"/>
  <c r="CR122" i="34"/>
  <c r="CP122" i="34"/>
  <c r="CN122" i="34"/>
  <c r="CX121" i="34"/>
  <c r="CV121" i="34"/>
  <c r="CT121" i="34"/>
  <c r="CR121" i="34"/>
  <c r="CP121" i="34"/>
  <c r="CN121" i="34"/>
  <c r="CW121" i="34"/>
  <c r="CU121" i="34"/>
  <c r="CS121" i="34"/>
  <c r="CQ121" i="34"/>
  <c r="CO121" i="34"/>
  <c r="CM121" i="34"/>
  <c r="CY121" i="34" s="1"/>
  <c r="CZ121" i="34" s="1"/>
  <c r="CX125" i="34"/>
  <c r="CV125" i="34"/>
  <c r="CT125" i="34"/>
  <c r="CR125" i="34"/>
  <c r="CP125" i="34"/>
  <c r="CN125" i="34"/>
  <c r="CW125" i="34"/>
  <c r="CU125" i="34"/>
  <c r="CS125" i="34"/>
  <c r="CQ125" i="34"/>
  <c r="CO125" i="34"/>
  <c r="CM125" i="34"/>
  <c r="CY125" i="34" s="1"/>
  <c r="CZ125" i="34" s="1"/>
  <c r="CW129" i="34"/>
  <c r="CU129" i="34"/>
  <c r="CS129" i="34"/>
  <c r="CQ129" i="34"/>
  <c r="CO129" i="34"/>
  <c r="CM129" i="34"/>
  <c r="CY129" i="34" s="1"/>
  <c r="CZ129" i="34" s="1"/>
  <c r="CX129" i="34"/>
  <c r="CV129" i="34"/>
  <c r="CT129" i="34"/>
  <c r="CR129" i="34"/>
  <c r="CP129" i="34"/>
  <c r="CN129" i="34"/>
  <c r="CX128" i="34"/>
  <c r="CV128" i="34"/>
  <c r="CT128" i="34"/>
  <c r="CR128" i="34"/>
  <c r="CP128" i="34"/>
  <c r="CN128" i="34"/>
  <c r="CW128" i="34"/>
  <c r="CU128" i="34"/>
  <c r="CS128" i="34"/>
  <c r="CQ128" i="34"/>
  <c r="CO128" i="34"/>
  <c r="CM128" i="34"/>
  <c r="CY128" i="34" s="1"/>
  <c r="CZ128" i="34" s="1"/>
  <c r="CX131" i="34"/>
  <c r="CV131" i="34"/>
  <c r="CT131" i="34"/>
  <c r="CR131" i="34"/>
  <c r="CP131" i="34"/>
  <c r="CN131" i="34"/>
  <c r="CW131" i="34"/>
  <c r="CS131" i="34"/>
  <c r="CO131" i="34"/>
  <c r="CU131" i="34"/>
  <c r="CQ131" i="34"/>
  <c r="CM131" i="34"/>
  <c r="CY131" i="34" s="1"/>
  <c r="CZ131" i="34" s="1"/>
  <c r="CX132" i="34"/>
  <c r="CV132" i="34"/>
  <c r="CT132" i="34"/>
  <c r="CR132" i="34"/>
  <c r="CP132" i="34"/>
  <c r="CN132" i="34"/>
  <c r="CW132" i="34"/>
  <c r="CU132" i="34"/>
  <c r="CS132" i="34"/>
  <c r="CQ132" i="34"/>
  <c r="CO132" i="34"/>
  <c r="CM132" i="34"/>
  <c r="CY132" i="34" s="1"/>
  <c r="CZ132" i="34" s="1"/>
  <c r="CX135" i="34"/>
  <c r="CV135" i="34"/>
  <c r="CT135" i="34"/>
  <c r="CR135" i="34"/>
  <c r="CP135" i="34"/>
  <c r="CN135" i="34"/>
  <c r="CW135" i="34"/>
  <c r="CU135" i="34"/>
  <c r="CS135" i="34"/>
  <c r="CQ135" i="34"/>
  <c r="CO135" i="34"/>
  <c r="CM135" i="34"/>
  <c r="CY135" i="34" s="1"/>
  <c r="CZ135" i="34" s="1"/>
  <c r="CX137" i="34"/>
  <c r="CV137" i="34"/>
  <c r="CT137" i="34"/>
  <c r="CR137" i="34"/>
  <c r="CP137" i="34"/>
  <c r="CN137" i="34"/>
  <c r="CU137" i="34"/>
  <c r="CQ137" i="34"/>
  <c r="CM137" i="34"/>
  <c r="CY137" i="34" s="1"/>
  <c r="CZ137" i="34" s="1"/>
  <c r="CW137" i="34"/>
  <c r="CS137" i="34"/>
  <c r="CO137" i="34"/>
  <c r="BY8" i="34"/>
  <c r="CK10" i="34"/>
  <c r="CW11" i="34"/>
  <c r="CU11" i="34"/>
  <c r="CS11" i="34"/>
  <c r="CQ11" i="34"/>
  <c r="CO11" i="34"/>
  <c r="CM11" i="34"/>
  <c r="CY11" i="34" s="1"/>
  <c r="CZ11" i="34" s="1"/>
  <c r="CX11" i="34"/>
  <c r="CV11" i="34"/>
  <c r="CT11" i="34"/>
  <c r="CR11" i="34"/>
  <c r="CP11" i="34"/>
  <c r="CN11" i="34"/>
  <c r="CW14" i="34"/>
  <c r="CU14" i="34"/>
  <c r="CS14" i="34"/>
  <c r="CQ14" i="34"/>
  <c r="CO14" i="34"/>
  <c r="CM14" i="34"/>
  <c r="CY14" i="34" s="1"/>
  <c r="CZ14" i="34" s="1"/>
  <c r="CX14" i="34"/>
  <c r="CT14" i="34"/>
  <c r="CP14" i="34"/>
  <c r="CV14" i="34"/>
  <c r="CR14" i="34"/>
  <c r="CN14" i="34"/>
  <c r="CW18" i="34"/>
  <c r="CU18" i="34"/>
  <c r="CS18" i="34"/>
  <c r="CQ18" i="34"/>
  <c r="CO18" i="34"/>
  <c r="CM18" i="34"/>
  <c r="CY18" i="34" s="1"/>
  <c r="CZ18" i="34" s="1"/>
  <c r="CX18" i="34"/>
  <c r="CT18" i="34"/>
  <c r="CP18" i="34"/>
  <c r="CV18" i="34"/>
  <c r="CR18" i="34"/>
  <c r="CN18" i="34"/>
  <c r="CW22" i="34"/>
  <c r="CU22" i="34"/>
  <c r="CS22" i="34"/>
  <c r="CQ22" i="34"/>
  <c r="CO22" i="34"/>
  <c r="CM22" i="34"/>
  <c r="CY22" i="34" s="1"/>
  <c r="CZ22" i="34" s="1"/>
  <c r="CX22" i="34"/>
  <c r="CT22" i="34"/>
  <c r="CP22" i="34"/>
  <c r="CV22" i="34"/>
  <c r="CR22" i="34"/>
  <c r="CN22" i="34"/>
  <c r="CW26" i="34"/>
  <c r="CU26" i="34"/>
  <c r="CS26" i="34"/>
  <c r="CQ26" i="34"/>
  <c r="CO26" i="34"/>
  <c r="CM26" i="34"/>
  <c r="CY26" i="34" s="1"/>
  <c r="CZ26" i="34" s="1"/>
  <c r="CX26" i="34"/>
  <c r="CT26" i="34"/>
  <c r="CP26" i="34"/>
  <c r="CV26" i="34"/>
  <c r="CR26" i="34"/>
  <c r="CN26" i="34"/>
  <c r="CW31" i="34"/>
  <c r="CU31" i="34"/>
  <c r="CS31" i="34"/>
  <c r="CQ31" i="34"/>
  <c r="CO31" i="34"/>
  <c r="CM31" i="34"/>
  <c r="CY31" i="34" s="1"/>
  <c r="CZ31" i="34" s="1"/>
  <c r="CX31" i="34"/>
  <c r="CT31" i="34"/>
  <c r="CP31" i="34"/>
  <c r="CL1" i="34"/>
  <c r="CV31" i="34"/>
  <c r="CR31" i="34"/>
  <c r="CN31" i="34"/>
  <c r="CW35" i="34"/>
  <c r="CU35" i="34"/>
  <c r="CS35" i="34"/>
  <c r="CQ35" i="34"/>
  <c r="CO35" i="34"/>
  <c r="CM35" i="34"/>
  <c r="CY35" i="34" s="1"/>
  <c r="CZ35" i="34" s="1"/>
  <c r="CX35" i="34"/>
  <c r="CT35" i="34"/>
  <c r="CP35" i="34"/>
  <c r="CV35" i="34"/>
  <c r="CR35" i="34"/>
  <c r="CN35" i="34"/>
  <c r="CW39" i="34"/>
  <c r="CU39" i="34"/>
  <c r="CS39" i="34"/>
  <c r="CQ39" i="34"/>
  <c r="CO39" i="34"/>
  <c r="CM39" i="34"/>
  <c r="CY39" i="34" s="1"/>
  <c r="CZ39" i="34" s="1"/>
  <c r="CX39" i="34"/>
  <c r="CT39" i="34"/>
  <c r="CP39" i="34"/>
  <c r="CV39" i="34"/>
  <c r="CR39" i="34"/>
  <c r="CN39" i="34"/>
  <c r="CW43" i="34"/>
  <c r="CU43" i="34"/>
  <c r="CS43" i="34"/>
  <c r="CQ43" i="34"/>
  <c r="CO43" i="34"/>
  <c r="CM43" i="34"/>
  <c r="CY43" i="34" s="1"/>
  <c r="CZ43" i="34" s="1"/>
  <c r="CX43" i="34"/>
  <c r="CT43" i="34"/>
  <c r="CP43" i="34"/>
  <c r="CV43" i="34"/>
  <c r="CR43" i="34"/>
  <c r="CN43" i="34"/>
  <c r="CX15" i="34"/>
  <c r="CV15" i="34"/>
  <c r="CT15" i="34"/>
  <c r="CR15" i="34"/>
  <c r="CP15" i="34"/>
  <c r="CN15" i="34"/>
  <c r="CW15" i="34"/>
  <c r="CS15" i="34"/>
  <c r="CO15" i="34"/>
  <c r="CU15" i="34"/>
  <c r="CQ15" i="34"/>
  <c r="CM15" i="34"/>
  <c r="CY15" i="34" s="1"/>
  <c r="CZ15" i="34" s="1"/>
  <c r="CX19" i="34"/>
  <c r="CV19" i="34"/>
  <c r="CT19" i="34"/>
  <c r="CR19" i="34"/>
  <c r="CP19" i="34"/>
  <c r="CN19" i="34"/>
  <c r="CW19" i="34"/>
  <c r="CS19" i="34"/>
  <c r="CO19" i="34"/>
  <c r="CU19" i="34"/>
  <c r="CQ19" i="34"/>
  <c r="CM19" i="34"/>
  <c r="CY19" i="34" s="1"/>
  <c r="CZ19" i="34" s="1"/>
  <c r="CX23" i="34"/>
  <c r="CV23" i="34"/>
  <c r="CT23" i="34"/>
  <c r="CR23" i="34"/>
  <c r="CP23" i="34"/>
  <c r="CN23" i="34"/>
  <c r="CW23" i="34"/>
  <c r="CS23" i="34"/>
  <c r="CO23" i="34"/>
  <c r="CU23" i="34"/>
  <c r="CQ23" i="34"/>
  <c r="CM23" i="34"/>
  <c r="CY23" i="34" s="1"/>
  <c r="CZ23" i="34" s="1"/>
  <c r="CX27" i="34"/>
  <c r="CV27" i="34"/>
  <c r="CT27" i="34"/>
  <c r="CR27" i="34"/>
  <c r="CP27" i="34"/>
  <c r="CN27" i="34"/>
  <c r="CW27" i="34"/>
  <c r="CS27" i="34"/>
  <c r="CO27" i="34"/>
  <c r="CU27" i="34"/>
  <c r="CQ27" i="34"/>
  <c r="CM27" i="34"/>
  <c r="CY27" i="34" s="1"/>
  <c r="CZ27" i="34" s="1"/>
  <c r="CX32" i="34"/>
  <c r="CV32" i="34"/>
  <c r="CT32" i="34"/>
  <c r="CR32" i="34"/>
  <c r="CP32" i="34"/>
  <c r="CN32" i="34"/>
  <c r="CW32" i="34"/>
  <c r="CS32" i="34"/>
  <c r="CO32" i="34"/>
  <c r="CU32" i="34"/>
  <c r="CQ32" i="34"/>
  <c r="CM32" i="34"/>
  <c r="CY32" i="34" s="1"/>
  <c r="CZ32" i="34" s="1"/>
  <c r="CX36" i="34"/>
  <c r="CV36" i="34"/>
  <c r="CT36" i="34"/>
  <c r="CR36" i="34"/>
  <c r="CP36" i="34"/>
  <c r="CN36" i="34"/>
  <c r="CW36" i="34"/>
  <c r="CS36" i="34"/>
  <c r="CO36" i="34"/>
  <c r="CU36" i="34"/>
  <c r="CQ36" i="34"/>
  <c r="CM36" i="34"/>
  <c r="CY36" i="34" s="1"/>
  <c r="CZ36" i="34" s="1"/>
  <c r="CX40" i="34"/>
  <c r="CV40" i="34"/>
  <c r="CT40" i="34"/>
  <c r="CR40" i="34"/>
  <c r="CP40" i="34"/>
  <c r="CN40" i="34"/>
  <c r="CW40" i="34"/>
  <c r="CS40" i="34"/>
  <c r="CO40" i="34"/>
  <c r="CU40" i="34"/>
  <c r="CQ40" i="34"/>
  <c r="CM40" i="34"/>
  <c r="CY40" i="34" s="1"/>
  <c r="CZ40" i="34" s="1"/>
  <c r="CX44" i="34"/>
  <c r="CV44" i="34"/>
  <c r="CT44" i="34"/>
  <c r="CR44" i="34"/>
  <c r="CP44" i="34"/>
  <c r="CN44" i="34"/>
  <c r="CW44" i="34"/>
  <c r="CS44" i="34"/>
  <c r="CO44" i="34"/>
  <c r="CU44" i="34"/>
  <c r="CQ44" i="34"/>
  <c r="CM44" i="34"/>
  <c r="CY44" i="34" s="1"/>
  <c r="CZ44" i="34" s="1"/>
  <c r="CX48" i="34"/>
  <c r="CV48" i="34"/>
  <c r="CT48" i="34"/>
  <c r="CR48" i="34"/>
  <c r="CP48" i="34"/>
  <c r="CN48" i="34"/>
  <c r="CW48" i="34"/>
  <c r="CS48" i="34"/>
  <c r="CO48" i="34"/>
  <c r="CU48" i="34"/>
  <c r="CQ48" i="34"/>
  <c r="CM48" i="34"/>
  <c r="CY48" i="34" s="1"/>
  <c r="CZ48" i="34" s="1"/>
  <c r="CX52" i="34"/>
  <c r="CV52" i="34"/>
  <c r="CT52" i="34"/>
  <c r="CR52" i="34"/>
  <c r="CP52" i="34"/>
  <c r="CN52" i="34"/>
  <c r="CW52" i="34"/>
  <c r="CU52" i="34"/>
  <c r="CS52" i="34"/>
  <c r="CQ52" i="34"/>
  <c r="CO52" i="34"/>
  <c r="CM52" i="34"/>
  <c r="CY52" i="34" s="1"/>
  <c r="CZ52" i="34" s="1"/>
  <c r="CW57" i="34"/>
  <c r="CU57" i="34"/>
  <c r="CS57" i="34"/>
  <c r="CQ57" i="34"/>
  <c r="CO57" i="34"/>
  <c r="CM57" i="34"/>
  <c r="CY57" i="34" s="1"/>
  <c r="CZ57" i="34" s="1"/>
  <c r="CX57" i="34"/>
  <c r="CV57" i="34"/>
  <c r="CT57" i="34"/>
  <c r="CR57" i="34"/>
  <c r="CP57" i="34"/>
  <c r="CN57" i="34"/>
  <c r="CK59" i="34"/>
  <c r="CL59" i="34" s="1"/>
  <c r="CK55" i="34"/>
  <c r="CL55" i="34" s="1"/>
  <c r="DK31" i="34" l="1"/>
  <c r="DI31" i="34"/>
  <c r="DG31" i="34"/>
  <c r="DE31" i="34"/>
  <c r="DC31" i="34"/>
  <c r="DA31" i="34"/>
  <c r="DM31" i="34" s="1"/>
  <c r="DJ31" i="34"/>
  <c r="DF31" i="34"/>
  <c r="DB31" i="34"/>
  <c r="DL31" i="34"/>
  <c r="DH31" i="34"/>
  <c r="DD31" i="34"/>
  <c r="CZ1" i="34"/>
  <c r="DK22" i="34"/>
  <c r="DI22" i="34"/>
  <c r="DG22" i="34"/>
  <c r="DE22" i="34"/>
  <c r="DC22" i="34"/>
  <c r="DA22" i="34"/>
  <c r="DM22" i="34" s="1"/>
  <c r="DJ22" i="34"/>
  <c r="DF22" i="34"/>
  <c r="DB22" i="34"/>
  <c r="DL22" i="34"/>
  <c r="DH22" i="34"/>
  <c r="DD22" i="34"/>
  <c r="DL11" i="34"/>
  <c r="DJ11" i="34"/>
  <c r="DH11" i="34"/>
  <c r="DF11" i="34"/>
  <c r="DI11" i="34"/>
  <c r="DE11" i="34"/>
  <c r="DC11" i="34"/>
  <c r="DA11" i="34"/>
  <c r="DM11" i="34" s="1"/>
  <c r="DK11" i="34"/>
  <c r="DG11" i="34"/>
  <c r="DD11" i="34"/>
  <c r="DB11" i="34"/>
  <c r="DK131" i="34"/>
  <c r="DI131" i="34"/>
  <c r="DG131" i="34"/>
  <c r="DE131" i="34"/>
  <c r="DL131" i="34"/>
  <c r="DJ131" i="34"/>
  <c r="DH131" i="34"/>
  <c r="DF131" i="34"/>
  <c r="DD131" i="34"/>
  <c r="DB131" i="34"/>
  <c r="DA131" i="34"/>
  <c r="DM131" i="34" s="1"/>
  <c r="DC131" i="34"/>
  <c r="DK129" i="34"/>
  <c r="DI129" i="34"/>
  <c r="DG129" i="34"/>
  <c r="DE129" i="34"/>
  <c r="DC129" i="34"/>
  <c r="DA129" i="34"/>
  <c r="DM129" i="34" s="1"/>
  <c r="DL129" i="34"/>
  <c r="DJ129" i="34"/>
  <c r="DH129" i="34"/>
  <c r="DF129" i="34"/>
  <c r="DD129" i="34"/>
  <c r="DB129" i="34"/>
  <c r="DL121" i="34"/>
  <c r="DJ121" i="34"/>
  <c r="DH121" i="34"/>
  <c r="DF121" i="34"/>
  <c r="DD121" i="34"/>
  <c r="DB121" i="34"/>
  <c r="DK121" i="34"/>
  <c r="DI121" i="34"/>
  <c r="DG121" i="34"/>
  <c r="DE121" i="34"/>
  <c r="DC121" i="34"/>
  <c r="DA121" i="34"/>
  <c r="DM121" i="34" s="1"/>
  <c r="DL114" i="34"/>
  <c r="DJ114" i="34"/>
  <c r="DH114" i="34"/>
  <c r="DF114" i="34"/>
  <c r="DD114" i="34"/>
  <c r="DB114" i="34"/>
  <c r="DK114" i="34"/>
  <c r="DI114" i="34"/>
  <c r="DG114" i="34"/>
  <c r="DE114" i="34"/>
  <c r="DC114" i="34"/>
  <c r="DA114" i="34"/>
  <c r="DM114" i="34" s="1"/>
  <c r="DK117" i="34"/>
  <c r="DI117" i="34"/>
  <c r="DG117" i="34"/>
  <c r="DE117" i="34"/>
  <c r="DC117" i="34"/>
  <c r="DA117" i="34"/>
  <c r="DM117" i="34" s="1"/>
  <c r="DL117" i="34"/>
  <c r="DJ117" i="34"/>
  <c r="DH117" i="34"/>
  <c r="DF117" i="34"/>
  <c r="DD117" i="34"/>
  <c r="DB117" i="34"/>
  <c r="DL105" i="34"/>
  <c r="DJ105" i="34"/>
  <c r="DH105" i="34"/>
  <c r="DF105" i="34"/>
  <c r="DD105" i="34"/>
  <c r="DB105" i="34"/>
  <c r="DK105" i="34"/>
  <c r="DI105" i="34"/>
  <c r="DG105" i="34"/>
  <c r="DE105" i="34"/>
  <c r="DC105" i="34"/>
  <c r="DA105" i="34"/>
  <c r="DM105" i="34" s="1"/>
  <c r="DK108" i="34"/>
  <c r="DI108" i="34"/>
  <c r="DG108" i="34"/>
  <c r="DE108" i="34"/>
  <c r="DC108" i="34"/>
  <c r="DA108" i="34"/>
  <c r="DM108" i="34" s="1"/>
  <c r="DL108" i="34"/>
  <c r="DJ108" i="34"/>
  <c r="DH108" i="34"/>
  <c r="DF108" i="34"/>
  <c r="DD108" i="34"/>
  <c r="DB108" i="34"/>
  <c r="DL96" i="34"/>
  <c r="DJ96" i="34"/>
  <c r="DH96" i="34"/>
  <c r="DF96" i="34"/>
  <c r="DD96" i="34"/>
  <c r="DB96" i="34"/>
  <c r="DK96" i="34"/>
  <c r="DI96" i="34"/>
  <c r="DG96" i="34"/>
  <c r="DE96" i="34"/>
  <c r="DC96" i="34"/>
  <c r="DA96" i="34"/>
  <c r="DM96" i="34" s="1"/>
  <c r="DL88" i="34"/>
  <c r="DJ88" i="34"/>
  <c r="DH88" i="34"/>
  <c r="DF88" i="34"/>
  <c r="DD88" i="34"/>
  <c r="DB88" i="34"/>
  <c r="DK88" i="34"/>
  <c r="DI88" i="34"/>
  <c r="DG88" i="34"/>
  <c r="DE88" i="34"/>
  <c r="DC88" i="34"/>
  <c r="DA88" i="34"/>
  <c r="DM88" i="34" s="1"/>
  <c r="DK97" i="34"/>
  <c r="DI97" i="34"/>
  <c r="DG97" i="34"/>
  <c r="DE97" i="34"/>
  <c r="DC97" i="34"/>
  <c r="DA97" i="34"/>
  <c r="DM97" i="34" s="1"/>
  <c r="DL97" i="34"/>
  <c r="DJ97" i="34"/>
  <c r="DH97" i="34"/>
  <c r="DF97" i="34"/>
  <c r="DD97" i="34"/>
  <c r="DB97" i="34"/>
  <c r="DK93" i="34"/>
  <c r="DI93" i="34"/>
  <c r="DG93" i="34"/>
  <c r="DE93" i="34"/>
  <c r="DC93" i="34"/>
  <c r="DA93" i="34"/>
  <c r="DM93" i="34" s="1"/>
  <c r="DL93" i="34"/>
  <c r="DJ93" i="34"/>
  <c r="DH93" i="34"/>
  <c r="DF93" i="34"/>
  <c r="DD93" i="34"/>
  <c r="DB93" i="34"/>
  <c r="DK89" i="34"/>
  <c r="DI89" i="34"/>
  <c r="DG89" i="34"/>
  <c r="DE89" i="34"/>
  <c r="DC89" i="34"/>
  <c r="DA89" i="34"/>
  <c r="DM89" i="34" s="1"/>
  <c r="DL89" i="34"/>
  <c r="DJ89" i="34"/>
  <c r="DH89" i="34"/>
  <c r="DF89" i="34"/>
  <c r="DD89" i="34"/>
  <c r="DB89" i="34"/>
  <c r="DK85" i="34"/>
  <c r="DI85" i="34"/>
  <c r="DG85" i="34"/>
  <c r="DE85" i="34"/>
  <c r="DC85" i="34"/>
  <c r="DA85" i="34"/>
  <c r="DM85" i="34" s="1"/>
  <c r="DL85" i="34"/>
  <c r="DJ85" i="34"/>
  <c r="DH85" i="34"/>
  <c r="DF85" i="34"/>
  <c r="DD85" i="34"/>
  <c r="DB85" i="34"/>
  <c r="DK81" i="34"/>
  <c r="DI81" i="34"/>
  <c r="DG81" i="34"/>
  <c r="DE81" i="34"/>
  <c r="DC81" i="34"/>
  <c r="DA81" i="34"/>
  <c r="DM81" i="34" s="1"/>
  <c r="DL81" i="34"/>
  <c r="DJ81" i="34"/>
  <c r="DH81" i="34"/>
  <c r="DF81" i="34"/>
  <c r="DD81" i="34"/>
  <c r="DB81" i="34"/>
  <c r="DL76" i="34"/>
  <c r="DJ76" i="34"/>
  <c r="DH76" i="34"/>
  <c r="DF76" i="34"/>
  <c r="DD76" i="34"/>
  <c r="DB76" i="34"/>
  <c r="DK76" i="34"/>
  <c r="DI76" i="34"/>
  <c r="DG76" i="34"/>
  <c r="DE76" i="34"/>
  <c r="DC76" i="34"/>
  <c r="DA76" i="34"/>
  <c r="DM76" i="34" s="1"/>
  <c r="DL72" i="34"/>
  <c r="DJ72" i="34"/>
  <c r="DH72" i="34"/>
  <c r="DF72" i="34"/>
  <c r="DD72" i="34"/>
  <c r="DB72" i="34"/>
  <c r="DK72" i="34"/>
  <c r="DI72" i="34"/>
  <c r="DG72" i="34"/>
  <c r="DE72" i="34"/>
  <c r="DC72" i="34"/>
  <c r="DA72" i="34"/>
  <c r="DM72" i="34" s="1"/>
  <c r="DL68" i="34"/>
  <c r="DJ68" i="34"/>
  <c r="DH68" i="34"/>
  <c r="DF68" i="34"/>
  <c r="DD68" i="34"/>
  <c r="DB68" i="34"/>
  <c r="DK68" i="34"/>
  <c r="DI68" i="34"/>
  <c r="DG68" i="34"/>
  <c r="DE68" i="34"/>
  <c r="DC68" i="34"/>
  <c r="DA68" i="34"/>
  <c r="DM68" i="34" s="1"/>
  <c r="DL64" i="34"/>
  <c r="DJ64" i="34"/>
  <c r="DH64" i="34"/>
  <c r="DF64" i="34"/>
  <c r="DD64" i="34"/>
  <c r="DB64" i="34"/>
  <c r="DK64" i="34"/>
  <c r="DI64" i="34"/>
  <c r="DG64" i="34"/>
  <c r="DE64" i="34"/>
  <c r="DC64" i="34"/>
  <c r="DA64" i="34"/>
  <c r="DM64" i="34" s="1"/>
  <c r="DL60" i="34"/>
  <c r="DJ60" i="34"/>
  <c r="DH60" i="34"/>
  <c r="DF60" i="34"/>
  <c r="DD60" i="34"/>
  <c r="DB60" i="34"/>
  <c r="DK60" i="34"/>
  <c r="DI60" i="34"/>
  <c r="DG60" i="34"/>
  <c r="DE60" i="34"/>
  <c r="DC60" i="34"/>
  <c r="DA60" i="34"/>
  <c r="DM60" i="34" s="1"/>
  <c r="DL56" i="34"/>
  <c r="DJ56" i="34"/>
  <c r="DH56" i="34"/>
  <c r="DF56" i="34"/>
  <c r="DD56" i="34"/>
  <c r="DB56" i="34"/>
  <c r="DK56" i="34"/>
  <c r="DI56" i="34"/>
  <c r="DG56" i="34"/>
  <c r="DE56" i="34"/>
  <c r="DC56" i="34"/>
  <c r="DA56" i="34"/>
  <c r="DM56" i="34" s="1"/>
  <c r="DK75" i="34"/>
  <c r="DI75" i="34"/>
  <c r="DG75" i="34"/>
  <c r="DE75" i="34"/>
  <c r="DC75" i="34"/>
  <c r="DA75" i="34"/>
  <c r="DM75" i="34" s="1"/>
  <c r="DL75" i="34"/>
  <c r="DJ75" i="34"/>
  <c r="DH75" i="34"/>
  <c r="DF75" i="34"/>
  <c r="DD75" i="34"/>
  <c r="DB75" i="34"/>
  <c r="DK71" i="34"/>
  <c r="DI71" i="34"/>
  <c r="DG71" i="34"/>
  <c r="DE71" i="34"/>
  <c r="DC71" i="34"/>
  <c r="DA71" i="34"/>
  <c r="DM71" i="34" s="1"/>
  <c r="DL71" i="34"/>
  <c r="DJ71" i="34"/>
  <c r="DH71" i="34"/>
  <c r="DF71" i="34"/>
  <c r="DD71" i="34"/>
  <c r="DB71" i="34"/>
  <c r="DK67" i="34"/>
  <c r="DI67" i="34"/>
  <c r="DG67" i="34"/>
  <c r="DE67" i="34"/>
  <c r="DC67" i="34"/>
  <c r="DA67" i="34"/>
  <c r="DM67" i="34" s="1"/>
  <c r="DL67" i="34"/>
  <c r="DJ67" i="34"/>
  <c r="DH67" i="34"/>
  <c r="DF67" i="34"/>
  <c r="DD67" i="34"/>
  <c r="DB67" i="34"/>
  <c r="DK63" i="34"/>
  <c r="DI63" i="34"/>
  <c r="DG63" i="34"/>
  <c r="DE63" i="34"/>
  <c r="DC63" i="34"/>
  <c r="DA63" i="34"/>
  <c r="DM63" i="34" s="1"/>
  <c r="DL63" i="34"/>
  <c r="DJ63" i="34"/>
  <c r="DH63" i="34"/>
  <c r="DF63" i="34"/>
  <c r="DD63" i="34"/>
  <c r="DB63" i="34"/>
  <c r="DL30" i="34"/>
  <c r="DJ30" i="34"/>
  <c r="DH30" i="34"/>
  <c r="DF30" i="34"/>
  <c r="DD30" i="34"/>
  <c r="DB30" i="34"/>
  <c r="DI30" i="34"/>
  <c r="DE30" i="34"/>
  <c r="DA30" i="34"/>
  <c r="DM30" i="34" s="1"/>
  <c r="DK30" i="34"/>
  <c r="DG30" i="34"/>
  <c r="DC30" i="34"/>
  <c r="DL25" i="34"/>
  <c r="DJ25" i="34"/>
  <c r="DH25" i="34"/>
  <c r="DF25" i="34"/>
  <c r="DD25" i="34"/>
  <c r="DB25" i="34"/>
  <c r="DI25" i="34"/>
  <c r="DE25" i="34"/>
  <c r="DA25" i="34"/>
  <c r="DM25" i="34" s="1"/>
  <c r="DK25" i="34"/>
  <c r="DG25" i="34"/>
  <c r="DC25" i="34"/>
  <c r="DL21" i="34"/>
  <c r="DJ21" i="34"/>
  <c r="DH21" i="34"/>
  <c r="DF21" i="34"/>
  <c r="DD21" i="34"/>
  <c r="DB21" i="34"/>
  <c r="DI21" i="34"/>
  <c r="DE21" i="34"/>
  <c r="DA21" i="34"/>
  <c r="DM21" i="34" s="1"/>
  <c r="DK21" i="34"/>
  <c r="DG21" i="34"/>
  <c r="DC21" i="34"/>
  <c r="DK53" i="34"/>
  <c r="DI53" i="34"/>
  <c r="DG53" i="34"/>
  <c r="DE53" i="34"/>
  <c r="DC53" i="34"/>
  <c r="DA53" i="34"/>
  <c r="DM53" i="34" s="1"/>
  <c r="DL53" i="34"/>
  <c r="DJ53" i="34"/>
  <c r="DH53" i="34"/>
  <c r="DF53" i="34"/>
  <c r="DD53" i="34"/>
  <c r="DB53" i="34"/>
  <c r="DK49" i="34"/>
  <c r="DI49" i="34"/>
  <c r="DG49" i="34"/>
  <c r="DE49" i="34"/>
  <c r="DC49" i="34"/>
  <c r="DA49" i="34"/>
  <c r="DM49" i="34" s="1"/>
  <c r="DL49" i="34"/>
  <c r="DJ49" i="34"/>
  <c r="DH49" i="34"/>
  <c r="DF49" i="34"/>
  <c r="DD49" i="34"/>
  <c r="DB49" i="34"/>
  <c r="DK45" i="34"/>
  <c r="DI45" i="34"/>
  <c r="DG45" i="34"/>
  <c r="DE45" i="34"/>
  <c r="DC45" i="34"/>
  <c r="DA45" i="34"/>
  <c r="DM45" i="34" s="1"/>
  <c r="DJ45" i="34"/>
  <c r="DF45" i="34"/>
  <c r="DB45" i="34"/>
  <c r="DL45" i="34"/>
  <c r="DH45" i="34"/>
  <c r="DD45" i="34"/>
  <c r="DK41" i="34"/>
  <c r="DI41" i="34"/>
  <c r="DG41" i="34"/>
  <c r="DE41" i="34"/>
  <c r="DC41" i="34"/>
  <c r="DA41" i="34"/>
  <c r="DM41" i="34" s="1"/>
  <c r="DJ41" i="34"/>
  <c r="DF41" i="34"/>
  <c r="DB41" i="34"/>
  <c r="DL41" i="34"/>
  <c r="DH41" i="34"/>
  <c r="DD41" i="34"/>
  <c r="DK37" i="34"/>
  <c r="DI37" i="34"/>
  <c r="DG37" i="34"/>
  <c r="DE37" i="34"/>
  <c r="DC37" i="34"/>
  <c r="DA37" i="34"/>
  <c r="DM37" i="34" s="1"/>
  <c r="DJ37" i="34"/>
  <c r="DF37" i="34"/>
  <c r="DB37" i="34"/>
  <c r="DL37" i="34"/>
  <c r="DH37" i="34"/>
  <c r="DD37" i="34"/>
  <c r="DK33" i="34"/>
  <c r="DI33" i="34"/>
  <c r="DG33" i="34"/>
  <c r="DE33" i="34"/>
  <c r="DC33" i="34"/>
  <c r="DA33" i="34"/>
  <c r="DM33" i="34" s="1"/>
  <c r="DJ33" i="34"/>
  <c r="DF33" i="34"/>
  <c r="DB33" i="34"/>
  <c r="DL33" i="34"/>
  <c r="DH33" i="34"/>
  <c r="DD33" i="34"/>
  <c r="DK29" i="34"/>
  <c r="DI29" i="34"/>
  <c r="DG29" i="34"/>
  <c r="DE29" i="34"/>
  <c r="DC29" i="34"/>
  <c r="DA29" i="34"/>
  <c r="DM29" i="34" s="1"/>
  <c r="DJ29" i="34"/>
  <c r="DF29" i="34"/>
  <c r="DB29" i="34"/>
  <c r="DL29" i="34"/>
  <c r="DH29" i="34"/>
  <c r="DD29" i="34"/>
  <c r="DK24" i="34"/>
  <c r="DI24" i="34"/>
  <c r="DG24" i="34"/>
  <c r="DE24" i="34"/>
  <c r="DC24" i="34"/>
  <c r="DA24" i="34"/>
  <c r="DM24" i="34" s="1"/>
  <c r="DJ24" i="34"/>
  <c r="DF24" i="34"/>
  <c r="DB24" i="34"/>
  <c r="DL24" i="34"/>
  <c r="DH24" i="34"/>
  <c r="DD24" i="34"/>
  <c r="DK20" i="34"/>
  <c r="DI20" i="34"/>
  <c r="DG20" i="34"/>
  <c r="DE20" i="34"/>
  <c r="DC20" i="34"/>
  <c r="DA20" i="34"/>
  <c r="DM20" i="34" s="1"/>
  <c r="DJ20" i="34"/>
  <c r="DF20" i="34"/>
  <c r="DB20" i="34"/>
  <c r="DL20" i="34"/>
  <c r="DH20" i="34"/>
  <c r="DD20" i="34"/>
  <c r="DK16" i="34"/>
  <c r="DI16" i="34"/>
  <c r="DG16" i="34"/>
  <c r="DE16" i="34"/>
  <c r="DC16" i="34"/>
  <c r="DA16" i="34"/>
  <c r="DM16" i="34" s="1"/>
  <c r="DJ16" i="34"/>
  <c r="DF16" i="34"/>
  <c r="DB16" i="34"/>
  <c r="DL16" i="34"/>
  <c r="DH16" i="34"/>
  <c r="DD16" i="34"/>
  <c r="DK26" i="34"/>
  <c r="DI26" i="34"/>
  <c r="DG26" i="34"/>
  <c r="DE26" i="34"/>
  <c r="DC26" i="34"/>
  <c r="DA26" i="34"/>
  <c r="DM26" i="34" s="1"/>
  <c r="DJ26" i="34"/>
  <c r="DF26" i="34"/>
  <c r="DB26" i="34"/>
  <c r="DL26" i="34"/>
  <c r="DH26" i="34"/>
  <c r="DD26" i="34"/>
  <c r="DK18" i="34"/>
  <c r="DI18" i="34"/>
  <c r="DG18" i="34"/>
  <c r="DE18" i="34"/>
  <c r="DC18" i="34"/>
  <c r="DA18" i="34"/>
  <c r="DM18" i="34" s="1"/>
  <c r="DJ18" i="34"/>
  <c r="DF18" i="34"/>
  <c r="DB18" i="34"/>
  <c r="DL18" i="34"/>
  <c r="DH18" i="34"/>
  <c r="DD18" i="34"/>
  <c r="DK14" i="34"/>
  <c r="DI14" i="34"/>
  <c r="DG14" i="34"/>
  <c r="DE14" i="34"/>
  <c r="DC14" i="34"/>
  <c r="DA14" i="34"/>
  <c r="DM14" i="34" s="1"/>
  <c r="DJ14" i="34"/>
  <c r="DF14" i="34"/>
  <c r="DB14" i="34"/>
  <c r="DL14" i="34"/>
  <c r="DH14" i="34"/>
  <c r="DD14" i="34"/>
  <c r="DL135" i="34"/>
  <c r="DJ135" i="34"/>
  <c r="DH135" i="34"/>
  <c r="DF135" i="34"/>
  <c r="DD135" i="34"/>
  <c r="DB135" i="34"/>
  <c r="DK135" i="34"/>
  <c r="DI135" i="34"/>
  <c r="DG135" i="34"/>
  <c r="DE135" i="34"/>
  <c r="DC135" i="34"/>
  <c r="DA135" i="34"/>
  <c r="DM135" i="34" s="1"/>
  <c r="DL132" i="34"/>
  <c r="DJ132" i="34"/>
  <c r="DH132" i="34"/>
  <c r="DF132" i="34"/>
  <c r="DD132" i="34"/>
  <c r="DB132" i="34"/>
  <c r="DK132" i="34"/>
  <c r="DI132" i="34"/>
  <c r="DG132" i="34"/>
  <c r="DE132" i="34"/>
  <c r="DC132" i="34"/>
  <c r="DA132" i="34"/>
  <c r="DM132" i="34" s="1"/>
  <c r="DL128" i="34"/>
  <c r="DJ128" i="34"/>
  <c r="DH128" i="34"/>
  <c r="DF128" i="34"/>
  <c r="DD128" i="34"/>
  <c r="DB128" i="34"/>
  <c r="DK128" i="34"/>
  <c r="DI128" i="34"/>
  <c r="DG128" i="34"/>
  <c r="DE128" i="34"/>
  <c r="DC128" i="34"/>
  <c r="DA128" i="34"/>
  <c r="DM128" i="34" s="1"/>
  <c r="DL125" i="34"/>
  <c r="DJ125" i="34"/>
  <c r="DH125" i="34"/>
  <c r="DF125" i="34"/>
  <c r="DD125" i="34"/>
  <c r="DB125" i="34"/>
  <c r="DK125" i="34"/>
  <c r="DI125" i="34"/>
  <c r="DG125" i="34"/>
  <c r="DE125" i="34"/>
  <c r="DC125" i="34"/>
  <c r="DA125" i="34"/>
  <c r="DM125" i="34" s="1"/>
  <c r="DK122" i="34"/>
  <c r="DI122" i="34"/>
  <c r="DG122" i="34"/>
  <c r="DE122" i="34"/>
  <c r="DC122" i="34"/>
  <c r="DA122" i="34"/>
  <c r="DM122" i="34" s="1"/>
  <c r="DL122" i="34"/>
  <c r="DJ122" i="34"/>
  <c r="DH122" i="34"/>
  <c r="DF122" i="34"/>
  <c r="DD122" i="34"/>
  <c r="DB122" i="34"/>
  <c r="DL118" i="34"/>
  <c r="DJ118" i="34"/>
  <c r="DH118" i="34"/>
  <c r="DF118" i="34"/>
  <c r="DD118" i="34"/>
  <c r="DB118" i="34"/>
  <c r="DK118" i="34"/>
  <c r="DI118" i="34"/>
  <c r="DG118" i="34"/>
  <c r="DE118" i="34"/>
  <c r="DC118" i="34"/>
  <c r="DA118" i="34"/>
  <c r="DM118" i="34" s="1"/>
  <c r="DL110" i="34"/>
  <c r="DJ110" i="34"/>
  <c r="DH110" i="34"/>
  <c r="DF110" i="34"/>
  <c r="DD110" i="34"/>
  <c r="DB110" i="34"/>
  <c r="DK110" i="34"/>
  <c r="DI110" i="34"/>
  <c r="DG110" i="34"/>
  <c r="DE110" i="34"/>
  <c r="DC110" i="34"/>
  <c r="DA110" i="34"/>
  <c r="DM110" i="34" s="1"/>
  <c r="DK113" i="34"/>
  <c r="DI113" i="34"/>
  <c r="DG113" i="34"/>
  <c r="DE113" i="34"/>
  <c r="DC113" i="34"/>
  <c r="DA113" i="34"/>
  <c r="DM113" i="34" s="1"/>
  <c r="DL113" i="34"/>
  <c r="DJ113" i="34"/>
  <c r="DH113" i="34"/>
  <c r="DF113" i="34"/>
  <c r="DD113" i="34"/>
  <c r="DB113" i="34"/>
  <c r="DL109" i="34"/>
  <c r="DJ109" i="34"/>
  <c r="DH109" i="34"/>
  <c r="DF109" i="34"/>
  <c r="DD109" i="34"/>
  <c r="DB109" i="34"/>
  <c r="DK109" i="34"/>
  <c r="DI109" i="34"/>
  <c r="DG109" i="34"/>
  <c r="DE109" i="34"/>
  <c r="DC109" i="34"/>
  <c r="DA109" i="34"/>
  <c r="DM109" i="34" s="1"/>
  <c r="DL101" i="34"/>
  <c r="DJ101" i="34"/>
  <c r="DH101" i="34"/>
  <c r="DF101" i="34"/>
  <c r="DD101" i="34"/>
  <c r="DB101" i="34"/>
  <c r="DK101" i="34"/>
  <c r="DI101" i="34"/>
  <c r="DG101" i="34"/>
  <c r="DE101" i="34"/>
  <c r="DC101" i="34"/>
  <c r="DA101" i="34"/>
  <c r="DM101" i="34" s="1"/>
  <c r="DK104" i="34"/>
  <c r="DI104" i="34"/>
  <c r="DG104" i="34"/>
  <c r="DE104" i="34"/>
  <c r="DC104" i="34"/>
  <c r="DA104" i="34"/>
  <c r="DM104" i="34" s="1"/>
  <c r="DL104" i="34"/>
  <c r="DJ104" i="34"/>
  <c r="DH104" i="34"/>
  <c r="DF104" i="34"/>
  <c r="DD104" i="34"/>
  <c r="DB104" i="34"/>
  <c r="DK100" i="34"/>
  <c r="DI100" i="34"/>
  <c r="DG100" i="34"/>
  <c r="DE100" i="34"/>
  <c r="DC100" i="34"/>
  <c r="DA100" i="34"/>
  <c r="DM100" i="34" s="1"/>
  <c r="DL100" i="34"/>
  <c r="DJ100" i="34"/>
  <c r="DH100" i="34"/>
  <c r="DF100" i="34"/>
  <c r="DD100" i="34"/>
  <c r="DB100" i="34"/>
  <c r="DL92" i="34"/>
  <c r="DJ92" i="34"/>
  <c r="DH92" i="34"/>
  <c r="DF92" i="34"/>
  <c r="DD92" i="34"/>
  <c r="DB92" i="34"/>
  <c r="DK92" i="34"/>
  <c r="DI92" i="34"/>
  <c r="DG92" i="34"/>
  <c r="DE92" i="34"/>
  <c r="DC92" i="34"/>
  <c r="DA92" i="34"/>
  <c r="DM92" i="34" s="1"/>
  <c r="DL84" i="34"/>
  <c r="DJ84" i="34"/>
  <c r="DH84" i="34"/>
  <c r="DF84" i="34"/>
  <c r="DD84" i="34"/>
  <c r="DB84" i="34"/>
  <c r="DK84" i="34"/>
  <c r="DI84" i="34"/>
  <c r="DG84" i="34"/>
  <c r="DE84" i="34"/>
  <c r="DC84" i="34"/>
  <c r="DA84" i="34"/>
  <c r="DM84" i="34" s="1"/>
  <c r="DL80" i="34"/>
  <c r="DJ80" i="34"/>
  <c r="DH80" i="34"/>
  <c r="DF80" i="34"/>
  <c r="DD80" i="34"/>
  <c r="DB80" i="34"/>
  <c r="DK80" i="34"/>
  <c r="DI80" i="34"/>
  <c r="DG80" i="34"/>
  <c r="DE80" i="34"/>
  <c r="DC80" i="34"/>
  <c r="DA80" i="34"/>
  <c r="DM80" i="34" s="1"/>
  <c r="DK57" i="34"/>
  <c r="DI57" i="34"/>
  <c r="DG57" i="34"/>
  <c r="DE57" i="34"/>
  <c r="DC57" i="34"/>
  <c r="DA57" i="34"/>
  <c r="DM57" i="34" s="1"/>
  <c r="DL57" i="34"/>
  <c r="DJ57" i="34"/>
  <c r="DH57" i="34"/>
  <c r="DF57" i="34"/>
  <c r="DD57" i="34"/>
  <c r="DB57" i="34"/>
  <c r="DL52" i="34"/>
  <c r="DJ52" i="34"/>
  <c r="DH52" i="34"/>
  <c r="DF52" i="34"/>
  <c r="DD52" i="34"/>
  <c r="DB52" i="34"/>
  <c r="DK52" i="34"/>
  <c r="DI52" i="34"/>
  <c r="DG52" i="34"/>
  <c r="DE52" i="34"/>
  <c r="DC52" i="34"/>
  <c r="DA52" i="34"/>
  <c r="DM52" i="34" s="1"/>
  <c r="DL48" i="34"/>
  <c r="DJ48" i="34"/>
  <c r="DH48" i="34"/>
  <c r="DF48" i="34"/>
  <c r="DD48" i="34"/>
  <c r="DB48" i="34"/>
  <c r="DI48" i="34"/>
  <c r="DE48" i="34"/>
  <c r="DA48" i="34"/>
  <c r="DM48" i="34" s="1"/>
  <c r="DK48" i="34"/>
  <c r="DG48" i="34"/>
  <c r="DC48" i="34"/>
  <c r="DL44" i="34"/>
  <c r="DJ44" i="34"/>
  <c r="DH44" i="34"/>
  <c r="DF44" i="34"/>
  <c r="DD44" i="34"/>
  <c r="DB44" i="34"/>
  <c r="DI44" i="34"/>
  <c r="DE44" i="34"/>
  <c r="DA44" i="34"/>
  <c r="DM44" i="34" s="1"/>
  <c r="DK44" i="34"/>
  <c r="DG44" i="34"/>
  <c r="DC44" i="34"/>
  <c r="DL40" i="34"/>
  <c r="DJ40" i="34"/>
  <c r="DH40" i="34"/>
  <c r="DF40" i="34"/>
  <c r="DD40" i="34"/>
  <c r="DB40" i="34"/>
  <c r="DI40" i="34"/>
  <c r="DE40" i="34"/>
  <c r="DA40" i="34"/>
  <c r="DM40" i="34" s="1"/>
  <c r="DK40" i="34"/>
  <c r="DG40" i="34"/>
  <c r="DC40" i="34"/>
  <c r="DL36" i="34"/>
  <c r="DJ36" i="34"/>
  <c r="DH36" i="34"/>
  <c r="DF36" i="34"/>
  <c r="DD36" i="34"/>
  <c r="DB36" i="34"/>
  <c r="DI36" i="34"/>
  <c r="DE36" i="34"/>
  <c r="DA36" i="34"/>
  <c r="DM36" i="34" s="1"/>
  <c r="DK36" i="34"/>
  <c r="DG36" i="34"/>
  <c r="DC36" i="34"/>
  <c r="DL32" i="34"/>
  <c r="DJ32" i="34"/>
  <c r="DH32" i="34"/>
  <c r="DF32" i="34"/>
  <c r="DD32" i="34"/>
  <c r="DB32" i="34"/>
  <c r="DI32" i="34"/>
  <c r="DE32" i="34"/>
  <c r="DA32" i="34"/>
  <c r="DM32" i="34" s="1"/>
  <c r="DK32" i="34"/>
  <c r="DG32" i="34"/>
  <c r="DC32" i="34"/>
  <c r="DL27" i="34"/>
  <c r="DJ27" i="34"/>
  <c r="DH27" i="34"/>
  <c r="DF27" i="34"/>
  <c r="DD27" i="34"/>
  <c r="DB27" i="34"/>
  <c r="DI27" i="34"/>
  <c r="DE27" i="34"/>
  <c r="DA27" i="34"/>
  <c r="DM27" i="34" s="1"/>
  <c r="DK27" i="34"/>
  <c r="DG27" i="34"/>
  <c r="DC27" i="34"/>
  <c r="DL23" i="34"/>
  <c r="DJ23" i="34"/>
  <c r="DH23" i="34"/>
  <c r="DF23" i="34"/>
  <c r="DD23" i="34"/>
  <c r="DB23" i="34"/>
  <c r="DI23" i="34"/>
  <c r="DE23" i="34"/>
  <c r="DA23" i="34"/>
  <c r="DM23" i="34" s="1"/>
  <c r="DK23" i="34"/>
  <c r="DG23" i="34"/>
  <c r="DC23" i="34"/>
  <c r="DL19" i="34"/>
  <c r="DJ19" i="34"/>
  <c r="DH19" i="34"/>
  <c r="DF19" i="34"/>
  <c r="DD19" i="34"/>
  <c r="DB19" i="34"/>
  <c r="DI19" i="34"/>
  <c r="DE19" i="34"/>
  <c r="DA19" i="34"/>
  <c r="DM19" i="34" s="1"/>
  <c r="DK19" i="34"/>
  <c r="DG19" i="34"/>
  <c r="DC19" i="34"/>
  <c r="DL15" i="34"/>
  <c r="DJ15" i="34"/>
  <c r="DH15" i="34"/>
  <c r="DF15" i="34"/>
  <c r="DD15" i="34"/>
  <c r="DB15" i="34"/>
  <c r="DI15" i="34"/>
  <c r="DE15" i="34"/>
  <c r="DA15" i="34"/>
  <c r="DM15" i="34" s="1"/>
  <c r="DK15" i="34"/>
  <c r="DG15" i="34"/>
  <c r="DC15" i="34"/>
  <c r="DK43" i="34"/>
  <c r="DI43" i="34"/>
  <c r="DG43" i="34"/>
  <c r="DE43" i="34"/>
  <c r="DC43" i="34"/>
  <c r="DA43" i="34"/>
  <c r="DM43" i="34" s="1"/>
  <c r="DJ43" i="34"/>
  <c r="DF43" i="34"/>
  <c r="DB43" i="34"/>
  <c r="DL43" i="34"/>
  <c r="DH43" i="34"/>
  <c r="DD43" i="34"/>
  <c r="DK39" i="34"/>
  <c r="DI39" i="34"/>
  <c r="DG39" i="34"/>
  <c r="DE39" i="34"/>
  <c r="DC39" i="34"/>
  <c r="DA39" i="34"/>
  <c r="DM39" i="34" s="1"/>
  <c r="DJ39" i="34"/>
  <c r="DF39" i="34"/>
  <c r="DB39" i="34"/>
  <c r="DL39" i="34"/>
  <c r="DH39" i="34"/>
  <c r="DD39" i="34"/>
  <c r="DK35" i="34"/>
  <c r="DI35" i="34"/>
  <c r="DG35" i="34"/>
  <c r="DE35" i="34"/>
  <c r="DC35" i="34"/>
  <c r="DA35" i="34"/>
  <c r="DM35" i="34" s="1"/>
  <c r="DJ35" i="34"/>
  <c r="DF35" i="34"/>
  <c r="DB35" i="34"/>
  <c r="DL35" i="34"/>
  <c r="DH35" i="34"/>
  <c r="DD35" i="34"/>
  <c r="DL137" i="34"/>
  <c r="DJ137" i="34"/>
  <c r="DH137" i="34"/>
  <c r="DF137" i="34"/>
  <c r="DD137" i="34"/>
  <c r="DB137" i="34"/>
  <c r="DK137" i="34"/>
  <c r="DG137" i="34"/>
  <c r="DC137" i="34"/>
  <c r="DI137" i="34"/>
  <c r="DE137" i="34"/>
  <c r="DA137" i="34"/>
  <c r="DM137" i="34" s="1"/>
  <c r="DK12" i="34"/>
  <c r="DI12" i="34"/>
  <c r="DG12" i="34"/>
  <c r="DE12" i="34"/>
  <c r="DC12" i="34"/>
  <c r="DA12" i="34"/>
  <c r="DM12" i="34" s="1"/>
  <c r="DJ12" i="34"/>
  <c r="DF12" i="34"/>
  <c r="DB12" i="34"/>
  <c r="CZ4" i="34"/>
  <c r="DL12" i="34"/>
  <c r="DH12" i="34"/>
  <c r="DD12" i="34"/>
  <c r="CW59" i="34"/>
  <c r="CU59" i="34"/>
  <c r="CS59" i="34"/>
  <c r="CQ59" i="34"/>
  <c r="CO59" i="34"/>
  <c r="CM59" i="34"/>
  <c r="CX59" i="34"/>
  <c r="CV59" i="34"/>
  <c r="CT59" i="34"/>
  <c r="CR59" i="34"/>
  <c r="CP59" i="34"/>
  <c r="CN59" i="34"/>
  <c r="CW55" i="34"/>
  <c r="CU55" i="34"/>
  <c r="CS55" i="34"/>
  <c r="CQ55" i="34"/>
  <c r="CO55" i="34"/>
  <c r="CM55" i="34"/>
  <c r="CX55" i="34"/>
  <c r="CV55" i="34"/>
  <c r="CT55" i="34"/>
  <c r="CR55" i="34"/>
  <c r="CP55" i="34"/>
  <c r="CN55" i="34"/>
  <c r="DK47" i="34"/>
  <c r="DI47" i="34"/>
  <c r="DG47" i="34"/>
  <c r="DE47" i="34"/>
  <c r="DC47" i="34"/>
  <c r="DA47" i="34"/>
  <c r="DM47" i="34" s="1"/>
  <c r="DJ47" i="34"/>
  <c r="DF47" i="34"/>
  <c r="DB47" i="34"/>
  <c r="DL47" i="34"/>
  <c r="DH47" i="34"/>
  <c r="DD47" i="34"/>
  <c r="DK51" i="34"/>
  <c r="DI51" i="34"/>
  <c r="DG51" i="34"/>
  <c r="DE51" i="34"/>
  <c r="DC51" i="34"/>
  <c r="DA51" i="34"/>
  <c r="DM51" i="34" s="1"/>
  <c r="DL51" i="34"/>
  <c r="DJ51" i="34"/>
  <c r="DH51" i="34"/>
  <c r="DF51" i="34"/>
  <c r="DD51" i="34"/>
  <c r="DB51" i="34"/>
  <c r="DK61" i="34"/>
  <c r="DI61" i="34"/>
  <c r="DG61" i="34"/>
  <c r="DE61" i="34"/>
  <c r="DC61" i="34"/>
  <c r="DA61" i="34"/>
  <c r="DM61" i="34" s="1"/>
  <c r="DL61" i="34"/>
  <c r="DJ61" i="34"/>
  <c r="DH61" i="34"/>
  <c r="DF61" i="34"/>
  <c r="DD61" i="34"/>
  <c r="DB61" i="34"/>
  <c r="DK65" i="34"/>
  <c r="DI65" i="34"/>
  <c r="DG65" i="34"/>
  <c r="DE65" i="34"/>
  <c r="DC65" i="34"/>
  <c r="DA65" i="34"/>
  <c r="DM65" i="34" s="1"/>
  <c r="DL65" i="34"/>
  <c r="DJ65" i="34"/>
  <c r="DH65" i="34"/>
  <c r="DF65" i="34"/>
  <c r="DD65" i="34"/>
  <c r="DB65" i="34"/>
  <c r="DK69" i="34"/>
  <c r="DI69" i="34"/>
  <c r="DG69" i="34"/>
  <c r="DE69" i="34"/>
  <c r="DC69" i="34"/>
  <c r="DA69" i="34"/>
  <c r="DM69" i="34" s="1"/>
  <c r="DL69" i="34"/>
  <c r="DJ69" i="34"/>
  <c r="DH69" i="34"/>
  <c r="DF69" i="34"/>
  <c r="DD69" i="34"/>
  <c r="DB69" i="34"/>
  <c r="DK73" i="34"/>
  <c r="DI73" i="34"/>
  <c r="DG73" i="34"/>
  <c r="DE73" i="34"/>
  <c r="DC73" i="34"/>
  <c r="DA73" i="34"/>
  <c r="DM73" i="34" s="1"/>
  <c r="DL73" i="34"/>
  <c r="DJ73" i="34"/>
  <c r="DH73" i="34"/>
  <c r="DF73" i="34"/>
  <c r="DD73" i="34"/>
  <c r="DB73" i="34"/>
  <c r="DK79" i="34"/>
  <c r="DI79" i="34"/>
  <c r="DG79" i="34"/>
  <c r="DE79" i="34"/>
  <c r="DC79" i="34"/>
  <c r="DA79" i="34"/>
  <c r="DM79" i="34" s="1"/>
  <c r="DL79" i="34"/>
  <c r="DJ79" i="34"/>
  <c r="DH79" i="34"/>
  <c r="DF79" i="34"/>
  <c r="DD79" i="34"/>
  <c r="DB79" i="34"/>
  <c r="DK83" i="34"/>
  <c r="DI83" i="34"/>
  <c r="DG83" i="34"/>
  <c r="DE83" i="34"/>
  <c r="DC83" i="34"/>
  <c r="DA83" i="34"/>
  <c r="DM83" i="34" s="1"/>
  <c r="DL83" i="34"/>
  <c r="DJ83" i="34"/>
  <c r="DH83" i="34"/>
  <c r="DF83" i="34"/>
  <c r="DD83" i="34"/>
  <c r="DB83" i="34"/>
  <c r="DK87" i="34"/>
  <c r="DI87" i="34"/>
  <c r="DG87" i="34"/>
  <c r="DE87" i="34"/>
  <c r="DC87" i="34"/>
  <c r="DA87" i="34"/>
  <c r="DM87" i="34" s="1"/>
  <c r="DL87" i="34"/>
  <c r="DJ87" i="34"/>
  <c r="DH87" i="34"/>
  <c r="DF87" i="34"/>
  <c r="DD87" i="34"/>
  <c r="DB87" i="34"/>
  <c r="DK91" i="34"/>
  <c r="DI91" i="34"/>
  <c r="DG91" i="34"/>
  <c r="DE91" i="34"/>
  <c r="DC91" i="34"/>
  <c r="DA91" i="34"/>
  <c r="DM91" i="34" s="1"/>
  <c r="DL91" i="34"/>
  <c r="DJ91" i="34"/>
  <c r="DH91" i="34"/>
  <c r="DF91" i="34"/>
  <c r="DD91" i="34"/>
  <c r="DB91" i="34"/>
  <c r="DK95" i="34"/>
  <c r="DI95" i="34"/>
  <c r="DG95" i="34"/>
  <c r="DE95" i="34"/>
  <c r="DC95" i="34"/>
  <c r="DA95" i="34"/>
  <c r="DM95" i="34" s="1"/>
  <c r="DL95" i="34"/>
  <c r="DJ95" i="34"/>
  <c r="DH95" i="34"/>
  <c r="DF95" i="34"/>
  <c r="DD95" i="34"/>
  <c r="DB95" i="34"/>
  <c r="DL78" i="34"/>
  <c r="DJ78" i="34"/>
  <c r="DH78" i="34"/>
  <c r="DF78" i="34"/>
  <c r="DD78" i="34"/>
  <c r="DB78" i="34"/>
  <c r="DK78" i="34"/>
  <c r="DI78" i="34"/>
  <c r="DG78" i="34"/>
  <c r="DE78" i="34"/>
  <c r="DC78" i="34"/>
  <c r="DA78" i="34"/>
  <c r="DM78" i="34" s="1"/>
  <c r="DL82" i="34"/>
  <c r="DJ82" i="34"/>
  <c r="DH82" i="34"/>
  <c r="DF82" i="34"/>
  <c r="DD82" i="34"/>
  <c r="DB82" i="34"/>
  <c r="DK82" i="34"/>
  <c r="DI82" i="34"/>
  <c r="DG82" i="34"/>
  <c r="DE82" i="34"/>
  <c r="DC82" i="34"/>
  <c r="DA82" i="34"/>
  <c r="DM82" i="34" s="1"/>
  <c r="DL86" i="34"/>
  <c r="DJ86" i="34"/>
  <c r="DH86" i="34"/>
  <c r="DF86" i="34"/>
  <c r="DD86" i="34"/>
  <c r="DB86" i="34"/>
  <c r="DK86" i="34"/>
  <c r="DI86" i="34"/>
  <c r="DG86" i="34"/>
  <c r="DE86" i="34"/>
  <c r="DC86" i="34"/>
  <c r="DA86" i="34"/>
  <c r="DM86" i="34" s="1"/>
  <c r="DL90" i="34"/>
  <c r="DJ90" i="34"/>
  <c r="DH90" i="34"/>
  <c r="DF90" i="34"/>
  <c r="DD90" i="34"/>
  <c r="DB90" i="34"/>
  <c r="DK90" i="34"/>
  <c r="DI90" i="34"/>
  <c r="DG90" i="34"/>
  <c r="DE90" i="34"/>
  <c r="DC90" i="34"/>
  <c r="DA90" i="34"/>
  <c r="DM90" i="34" s="1"/>
  <c r="DL94" i="34"/>
  <c r="DJ94" i="34"/>
  <c r="DH94" i="34"/>
  <c r="DF94" i="34"/>
  <c r="DD94" i="34"/>
  <c r="DB94" i="34"/>
  <c r="DK94" i="34"/>
  <c r="DI94" i="34"/>
  <c r="DG94" i="34"/>
  <c r="DE94" i="34"/>
  <c r="DC94" i="34"/>
  <c r="DA94" i="34"/>
  <c r="DM94" i="34" s="1"/>
  <c r="DL98" i="34"/>
  <c r="DJ98" i="34"/>
  <c r="DH98" i="34"/>
  <c r="DF98" i="34"/>
  <c r="DD98" i="34"/>
  <c r="DB98" i="34"/>
  <c r="DK98" i="34"/>
  <c r="DI98" i="34"/>
  <c r="DG98" i="34"/>
  <c r="DE98" i="34"/>
  <c r="DC98" i="34"/>
  <c r="DA98" i="34"/>
  <c r="DM98" i="34" s="1"/>
  <c r="DK102" i="34"/>
  <c r="DI102" i="34"/>
  <c r="DG102" i="34"/>
  <c r="DE102" i="34"/>
  <c r="DC102" i="34"/>
  <c r="DA102" i="34"/>
  <c r="DM102" i="34" s="1"/>
  <c r="DL102" i="34"/>
  <c r="DJ102" i="34"/>
  <c r="DH102" i="34"/>
  <c r="DF102" i="34"/>
  <c r="DD102" i="34"/>
  <c r="DB102" i="34"/>
  <c r="DK106" i="34"/>
  <c r="DI106" i="34"/>
  <c r="DG106" i="34"/>
  <c r="DE106" i="34"/>
  <c r="DC106" i="34"/>
  <c r="DA106" i="34"/>
  <c r="DM106" i="34" s="1"/>
  <c r="DL106" i="34"/>
  <c r="DJ106" i="34"/>
  <c r="DH106" i="34"/>
  <c r="DF106" i="34"/>
  <c r="DD106" i="34"/>
  <c r="DB106" i="34"/>
  <c r="DL99" i="34"/>
  <c r="DJ99" i="34"/>
  <c r="DH99" i="34"/>
  <c r="DF99" i="34"/>
  <c r="DD99" i="34"/>
  <c r="DB99" i="34"/>
  <c r="DK99" i="34"/>
  <c r="DI99" i="34"/>
  <c r="DG99" i="34"/>
  <c r="DE99" i="34"/>
  <c r="DC99" i="34"/>
  <c r="DA99" i="34"/>
  <c r="DM99" i="34" s="1"/>
  <c r="DL103" i="34"/>
  <c r="DJ103" i="34"/>
  <c r="DH103" i="34"/>
  <c r="DF103" i="34"/>
  <c r="DD103" i="34"/>
  <c r="DB103" i="34"/>
  <c r="DK103" i="34"/>
  <c r="DI103" i="34"/>
  <c r="DG103" i="34"/>
  <c r="DE103" i="34"/>
  <c r="DC103" i="34"/>
  <c r="DA103" i="34"/>
  <c r="DM103" i="34" s="1"/>
  <c r="DL107" i="34"/>
  <c r="DJ107" i="34"/>
  <c r="DH107" i="34"/>
  <c r="DF107" i="34"/>
  <c r="DD107" i="34"/>
  <c r="DB107" i="34"/>
  <c r="DK107" i="34"/>
  <c r="DI107" i="34"/>
  <c r="DG107" i="34"/>
  <c r="DE107" i="34"/>
  <c r="DC107" i="34"/>
  <c r="DA107" i="34"/>
  <c r="DM107" i="34" s="1"/>
  <c r="DK111" i="34"/>
  <c r="DI111" i="34"/>
  <c r="DG111" i="34"/>
  <c r="DE111" i="34"/>
  <c r="DC111" i="34"/>
  <c r="DA111" i="34"/>
  <c r="DM111" i="34" s="1"/>
  <c r="DL111" i="34"/>
  <c r="DJ111" i="34"/>
  <c r="DH111" i="34"/>
  <c r="DF111" i="34"/>
  <c r="DD111" i="34"/>
  <c r="DB111" i="34"/>
  <c r="DK115" i="34"/>
  <c r="DI115" i="34"/>
  <c r="DG115" i="34"/>
  <c r="DE115" i="34"/>
  <c r="DC115" i="34"/>
  <c r="DA115" i="34"/>
  <c r="DM115" i="34" s="1"/>
  <c r="DL115" i="34"/>
  <c r="DJ115" i="34"/>
  <c r="DH115" i="34"/>
  <c r="DF115" i="34"/>
  <c r="DD115" i="34"/>
  <c r="DB115" i="34"/>
  <c r="DK119" i="34"/>
  <c r="DI119" i="34"/>
  <c r="DG119" i="34"/>
  <c r="DE119" i="34"/>
  <c r="DC119" i="34"/>
  <c r="DA119" i="34"/>
  <c r="DM119" i="34" s="1"/>
  <c r="DL119" i="34"/>
  <c r="DJ119" i="34"/>
  <c r="DH119" i="34"/>
  <c r="DF119" i="34"/>
  <c r="DD119" i="34"/>
  <c r="DB119" i="34"/>
  <c r="DL112" i="34"/>
  <c r="DJ112" i="34"/>
  <c r="DH112" i="34"/>
  <c r="DF112" i="34"/>
  <c r="DD112" i="34"/>
  <c r="DB112" i="34"/>
  <c r="DK112" i="34"/>
  <c r="DI112" i="34"/>
  <c r="DG112" i="34"/>
  <c r="DE112" i="34"/>
  <c r="DC112" i="34"/>
  <c r="DA112" i="34"/>
  <c r="DM112" i="34" s="1"/>
  <c r="DL116" i="34"/>
  <c r="DJ116" i="34"/>
  <c r="DH116" i="34"/>
  <c r="DF116" i="34"/>
  <c r="DD116" i="34"/>
  <c r="DB116" i="34"/>
  <c r="DK116" i="34"/>
  <c r="DI116" i="34"/>
  <c r="DG116" i="34"/>
  <c r="DE116" i="34"/>
  <c r="DC116" i="34"/>
  <c r="DA116" i="34"/>
  <c r="DM116" i="34" s="1"/>
  <c r="DK120" i="34"/>
  <c r="DI120" i="34"/>
  <c r="DL120" i="34"/>
  <c r="DH120" i="34"/>
  <c r="DF120" i="34"/>
  <c r="DD120" i="34"/>
  <c r="DB120" i="34"/>
  <c r="DJ120" i="34"/>
  <c r="DG120" i="34"/>
  <c r="DE120" i="34"/>
  <c r="DC120" i="34"/>
  <c r="DA120" i="34"/>
  <c r="DM120" i="34" s="1"/>
  <c r="DK124" i="34"/>
  <c r="DI124" i="34"/>
  <c r="DG124" i="34"/>
  <c r="DE124" i="34"/>
  <c r="DC124" i="34"/>
  <c r="DA124" i="34"/>
  <c r="DM124" i="34" s="1"/>
  <c r="DL124" i="34"/>
  <c r="DJ124" i="34"/>
  <c r="DH124" i="34"/>
  <c r="DF124" i="34"/>
  <c r="DD124" i="34"/>
  <c r="DB124" i="34"/>
  <c r="DL123" i="34"/>
  <c r="DJ123" i="34"/>
  <c r="DH123" i="34"/>
  <c r="DF123" i="34"/>
  <c r="DD123" i="34"/>
  <c r="DB123" i="34"/>
  <c r="DK123" i="34"/>
  <c r="DI123" i="34"/>
  <c r="DG123" i="34"/>
  <c r="DE123" i="34"/>
  <c r="DC123" i="34"/>
  <c r="DA123" i="34"/>
  <c r="DM123" i="34" s="1"/>
  <c r="DK127" i="34"/>
  <c r="DI127" i="34"/>
  <c r="DG127" i="34"/>
  <c r="DE127" i="34"/>
  <c r="DC127" i="34"/>
  <c r="DA127" i="34"/>
  <c r="DM127" i="34" s="1"/>
  <c r="DL127" i="34"/>
  <c r="DJ127" i="34"/>
  <c r="DH127" i="34"/>
  <c r="DF127" i="34"/>
  <c r="DD127" i="34"/>
  <c r="DB127" i="34"/>
  <c r="DL126" i="34"/>
  <c r="DJ126" i="34"/>
  <c r="DH126" i="34"/>
  <c r="DF126" i="34"/>
  <c r="DD126" i="34"/>
  <c r="DB126" i="34"/>
  <c r="DK126" i="34"/>
  <c r="DI126" i="34"/>
  <c r="DG126" i="34"/>
  <c r="DE126" i="34"/>
  <c r="DC126" i="34"/>
  <c r="DA126" i="34"/>
  <c r="DM126" i="34" s="1"/>
  <c r="DL130" i="34"/>
  <c r="DJ130" i="34"/>
  <c r="DH130" i="34"/>
  <c r="DF130" i="34"/>
  <c r="DD130" i="34"/>
  <c r="DB130" i="34"/>
  <c r="DK130" i="34"/>
  <c r="DI130" i="34"/>
  <c r="DG130" i="34"/>
  <c r="DE130" i="34"/>
  <c r="DC130" i="34"/>
  <c r="DA130" i="34"/>
  <c r="DM130" i="34" s="1"/>
  <c r="DL133" i="34"/>
  <c r="DJ133" i="34"/>
  <c r="DI133" i="34"/>
  <c r="DG133" i="34"/>
  <c r="DE133" i="34"/>
  <c r="DC133" i="34"/>
  <c r="DA133" i="34"/>
  <c r="DM133" i="34" s="1"/>
  <c r="DK133" i="34"/>
  <c r="DH133" i="34"/>
  <c r="DF133" i="34"/>
  <c r="DD133" i="34"/>
  <c r="DB133" i="34"/>
  <c r="DK134" i="34"/>
  <c r="DI134" i="34"/>
  <c r="DG134" i="34"/>
  <c r="DE134" i="34"/>
  <c r="DC134" i="34"/>
  <c r="DA134" i="34"/>
  <c r="DM134" i="34" s="1"/>
  <c r="DL134" i="34"/>
  <c r="DJ134" i="34"/>
  <c r="DH134" i="34"/>
  <c r="DF134" i="34"/>
  <c r="DD134" i="34"/>
  <c r="DB134" i="34"/>
  <c r="DK136" i="34"/>
  <c r="DI136" i="34"/>
  <c r="DG136" i="34"/>
  <c r="DE136" i="34"/>
  <c r="DC136" i="34"/>
  <c r="DA136" i="34"/>
  <c r="DM136" i="34" s="1"/>
  <c r="DL136" i="34"/>
  <c r="DJ136" i="34"/>
  <c r="DH136" i="34"/>
  <c r="DF136" i="34"/>
  <c r="DD136" i="34"/>
  <c r="DB136" i="34"/>
  <c r="DL138" i="34"/>
  <c r="DJ138" i="34"/>
  <c r="DH138" i="34"/>
  <c r="DF138" i="34"/>
  <c r="DD138" i="34"/>
  <c r="DB138" i="34"/>
  <c r="DK138" i="34"/>
  <c r="DI138" i="34"/>
  <c r="DG138" i="34"/>
  <c r="DE138" i="34"/>
  <c r="DC138" i="34"/>
  <c r="DA138" i="34"/>
  <c r="DM138" i="34" s="1"/>
  <c r="CK8" i="34"/>
  <c r="CL10" i="34"/>
  <c r="DN138" i="34"/>
  <c r="DN137" i="34"/>
  <c r="DN136" i="34"/>
  <c r="DN135" i="34"/>
  <c r="DN133" i="34"/>
  <c r="DN134" i="34"/>
  <c r="DN132" i="34"/>
  <c r="DN131" i="34"/>
  <c r="DN130" i="34"/>
  <c r="DN128" i="34"/>
  <c r="DN126" i="34"/>
  <c r="DN129" i="34"/>
  <c r="DN127" i="34"/>
  <c r="DN125" i="34"/>
  <c r="DN123" i="34"/>
  <c r="DN121" i="34"/>
  <c r="DN124" i="34"/>
  <c r="DN122" i="34"/>
  <c r="DN120" i="34"/>
  <c r="DN118" i="34"/>
  <c r="DN116" i="34"/>
  <c r="DN114" i="34"/>
  <c r="DN112" i="34"/>
  <c r="DN110" i="34"/>
  <c r="DN119" i="34"/>
  <c r="DN117" i="34"/>
  <c r="DN115" i="34"/>
  <c r="DN113" i="34"/>
  <c r="DN111" i="34"/>
  <c r="DN109" i="34"/>
  <c r="DN107" i="34"/>
  <c r="DN105" i="34"/>
  <c r="DN103" i="34"/>
  <c r="DN101" i="34"/>
  <c r="DN99" i="34"/>
  <c r="DN108" i="34"/>
  <c r="DN106" i="34"/>
  <c r="DN104" i="34"/>
  <c r="DN102" i="34"/>
  <c r="DN100" i="34"/>
  <c r="DN98" i="34"/>
  <c r="DN96" i="34"/>
  <c r="DN94" i="34"/>
  <c r="DN92" i="34"/>
  <c r="DN90" i="34"/>
  <c r="DN88" i="34"/>
  <c r="DN86" i="34"/>
  <c r="DN84" i="34"/>
  <c r="DN82" i="34"/>
  <c r="DN80" i="34"/>
  <c r="DN78" i="34"/>
  <c r="DN97" i="34"/>
  <c r="DN95" i="34"/>
  <c r="DN93" i="34"/>
  <c r="DN91" i="34"/>
  <c r="DN89" i="34"/>
  <c r="DN87" i="34"/>
  <c r="DN85" i="34"/>
  <c r="DN83" i="34"/>
  <c r="DN81" i="34"/>
  <c r="DN79" i="34"/>
  <c r="DN76" i="34"/>
  <c r="DN72" i="34"/>
  <c r="DN68" i="34"/>
  <c r="DN64" i="34"/>
  <c r="DN60" i="34"/>
  <c r="DN56" i="34"/>
  <c r="DN75" i="34"/>
  <c r="DN73" i="34"/>
  <c r="DN71" i="34"/>
  <c r="DN69" i="34"/>
  <c r="DN67" i="34"/>
  <c r="DN65" i="34"/>
  <c r="DN63" i="34"/>
  <c r="DN61" i="34"/>
  <c r="DN57" i="34"/>
  <c r="DN52" i="34"/>
  <c r="DN48" i="34"/>
  <c r="DN44" i="34"/>
  <c r="DN40" i="34"/>
  <c r="DN36" i="34"/>
  <c r="DN32" i="34"/>
  <c r="DN30" i="34"/>
  <c r="DN27" i="34"/>
  <c r="DN25" i="34"/>
  <c r="DN23" i="34"/>
  <c r="DN21" i="34"/>
  <c r="DN19" i="34"/>
  <c r="DN15" i="34"/>
  <c r="DN11" i="34"/>
  <c r="DN53" i="34"/>
  <c r="DN51" i="34"/>
  <c r="DN49" i="34"/>
  <c r="DN47" i="34"/>
  <c r="DN45" i="34"/>
  <c r="DN43" i="34"/>
  <c r="DN41" i="34"/>
  <c r="DN39" i="34"/>
  <c r="DN37" i="34"/>
  <c r="DN35" i="34"/>
  <c r="DN33" i="34"/>
  <c r="DN31" i="34"/>
  <c r="DN29" i="34"/>
  <c r="DN26" i="34"/>
  <c r="DN24" i="34"/>
  <c r="DN22" i="34"/>
  <c r="DN20" i="34"/>
  <c r="DN18" i="34"/>
  <c r="DN16" i="34"/>
  <c r="DN14" i="34"/>
  <c r="DN12" i="34"/>
  <c r="DO9" i="34"/>
  <c r="DP9" i="34" s="1"/>
  <c r="DQ9" i="34" s="1"/>
  <c r="DR9" i="34" s="1"/>
  <c r="DS9" i="34" s="1"/>
  <c r="DT9" i="34" s="1"/>
  <c r="DU9" i="34" s="1"/>
  <c r="DV9" i="34" s="1"/>
  <c r="DW9" i="34" s="1"/>
  <c r="DX9" i="34" s="1"/>
  <c r="DY9" i="34" s="1"/>
  <c r="DZ9" i="34" s="1"/>
  <c r="DL13" i="34"/>
  <c r="DJ13" i="34"/>
  <c r="DH13" i="34"/>
  <c r="DF13" i="34"/>
  <c r="DD13" i="34"/>
  <c r="DB13" i="34"/>
  <c r="DI13" i="34"/>
  <c r="DE13" i="34"/>
  <c r="DA13" i="34"/>
  <c r="DM13" i="34" s="1"/>
  <c r="DN13" i="34" s="1"/>
  <c r="DK13" i="34"/>
  <c r="DG13" i="34"/>
  <c r="DC13" i="34"/>
  <c r="DL17" i="34"/>
  <c r="DJ17" i="34"/>
  <c r="DH17" i="34"/>
  <c r="DF17" i="34"/>
  <c r="DD17" i="34"/>
  <c r="DB17" i="34"/>
  <c r="DI17" i="34"/>
  <c r="DE17" i="34"/>
  <c r="DA17" i="34"/>
  <c r="DM17" i="34" s="1"/>
  <c r="DN17" i="34" s="1"/>
  <c r="DK17" i="34"/>
  <c r="DG17" i="34"/>
  <c r="DC17" i="34"/>
  <c r="CZ3" i="34"/>
  <c r="DL34" i="34"/>
  <c r="DJ34" i="34"/>
  <c r="DH34" i="34"/>
  <c r="DF34" i="34"/>
  <c r="DD34" i="34"/>
  <c r="DB34" i="34"/>
  <c r="DI34" i="34"/>
  <c r="DE34" i="34"/>
  <c r="DA34" i="34"/>
  <c r="DM34" i="34" s="1"/>
  <c r="DN34" i="34" s="1"/>
  <c r="DK34" i="34"/>
  <c r="DG34" i="34"/>
  <c r="DC34" i="34"/>
  <c r="DL38" i="34"/>
  <c r="DJ38" i="34"/>
  <c r="DH38" i="34"/>
  <c r="DF38" i="34"/>
  <c r="DD38" i="34"/>
  <c r="DB38" i="34"/>
  <c r="DI38" i="34"/>
  <c r="DE38" i="34"/>
  <c r="DA38" i="34"/>
  <c r="DM38" i="34" s="1"/>
  <c r="DN38" i="34" s="1"/>
  <c r="DK38" i="34"/>
  <c r="DG38" i="34"/>
  <c r="DC38" i="34"/>
  <c r="DL42" i="34"/>
  <c r="DJ42" i="34"/>
  <c r="DH42" i="34"/>
  <c r="DF42" i="34"/>
  <c r="DD42" i="34"/>
  <c r="DB42" i="34"/>
  <c r="DI42" i="34"/>
  <c r="DE42" i="34"/>
  <c r="DA42" i="34"/>
  <c r="DM42" i="34" s="1"/>
  <c r="DN42" i="34" s="1"/>
  <c r="DK42" i="34"/>
  <c r="DG42" i="34"/>
  <c r="DC42" i="34"/>
  <c r="DL46" i="34"/>
  <c r="DJ46" i="34"/>
  <c r="DH46" i="34"/>
  <c r="DF46" i="34"/>
  <c r="DD46" i="34"/>
  <c r="DB46" i="34"/>
  <c r="DI46" i="34"/>
  <c r="DE46" i="34"/>
  <c r="DA46" i="34"/>
  <c r="DM46" i="34" s="1"/>
  <c r="DN46" i="34" s="1"/>
  <c r="DK46" i="34"/>
  <c r="DG46" i="34"/>
  <c r="DC46" i="34"/>
  <c r="DL50" i="34"/>
  <c r="DJ50" i="34"/>
  <c r="DH50" i="34"/>
  <c r="DF50" i="34"/>
  <c r="DD50" i="34"/>
  <c r="DB50" i="34"/>
  <c r="DK50" i="34"/>
  <c r="DI50" i="34"/>
  <c r="DG50" i="34"/>
  <c r="DE50" i="34"/>
  <c r="DC50" i="34"/>
  <c r="DA50" i="34"/>
  <c r="DM50" i="34" s="1"/>
  <c r="DN50" i="34" s="1"/>
  <c r="DL54" i="34"/>
  <c r="DJ54" i="34"/>
  <c r="DH54" i="34"/>
  <c r="DF54" i="34"/>
  <c r="DD54" i="34"/>
  <c r="DB54" i="34"/>
  <c r="DK54" i="34"/>
  <c r="DI54" i="34"/>
  <c r="DG54" i="34"/>
  <c r="DE54" i="34"/>
  <c r="DC54" i="34"/>
  <c r="DA54" i="34"/>
  <c r="DM54" i="34" s="1"/>
  <c r="DN54" i="34" s="1"/>
  <c r="DL58" i="34"/>
  <c r="DJ58" i="34"/>
  <c r="DH58" i="34"/>
  <c r="DF58" i="34"/>
  <c r="DD58" i="34"/>
  <c r="DB58" i="34"/>
  <c r="DK58" i="34"/>
  <c r="DI58" i="34"/>
  <c r="DG58" i="34"/>
  <c r="DE58" i="34"/>
  <c r="DC58" i="34"/>
  <c r="DA58" i="34"/>
  <c r="DM58" i="34" s="1"/>
  <c r="DN58" i="34" s="1"/>
  <c r="DL62" i="34"/>
  <c r="DJ62" i="34"/>
  <c r="DH62" i="34"/>
  <c r="DF62" i="34"/>
  <c r="DD62" i="34"/>
  <c r="DB62" i="34"/>
  <c r="DK62" i="34"/>
  <c r="DI62" i="34"/>
  <c r="DG62" i="34"/>
  <c r="DE62" i="34"/>
  <c r="DC62" i="34"/>
  <c r="DA62" i="34"/>
  <c r="DM62" i="34" s="1"/>
  <c r="DN62" i="34" s="1"/>
  <c r="DL66" i="34"/>
  <c r="DJ66" i="34"/>
  <c r="DH66" i="34"/>
  <c r="DF66" i="34"/>
  <c r="DD66" i="34"/>
  <c r="DB66" i="34"/>
  <c r="DK66" i="34"/>
  <c r="DI66" i="34"/>
  <c r="DG66" i="34"/>
  <c r="DE66" i="34"/>
  <c r="DC66" i="34"/>
  <c r="DA66" i="34"/>
  <c r="DM66" i="34" s="1"/>
  <c r="DN66" i="34" s="1"/>
  <c r="DL70" i="34"/>
  <c r="DJ70" i="34"/>
  <c r="DH70" i="34"/>
  <c r="DF70" i="34"/>
  <c r="DD70" i="34"/>
  <c r="DB70" i="34"/>
  <c r="DK70" i="34"/>
  <c r="DI70" i="34"/>
  <c r="DG70" i="34"/>
  <c r="DE70" i="34"/>
  <c r="DC70" i="34"/>
  <c r="DA70" i="34"/>
  <c r="DM70" i="34" s="1"/>
  <c r="DN70" i="34" s="1"/>
  <c r="DL74" i="34"/>
  <c r="DJ74" i="34"/>
  <c r="DH74" i="34"/>
  <c r="DF74" i="34"/>
  <c r="DD74" i="34"/>
  <c r="DB74" i="34"/>
  <c r="DK74" i="34"/>
  <c r="DI74" i="34"/>
  <c r="DG74" i="34"/>
  <c r="DE74" i="34"/>
  <c r="DC74" i="34"/>
  <c r="DA74" i="34"/>
  <c r="DM74" i="34" s="1"/>
  <c r="DN74" i="34" s="1"/>
  <c r="DK77" i="34"/>
  <c r="DI77" i="34"/>
  <c r="DG77" i="34"/>
  <c r="DE77" i="34"/>
  <c r="DC77" i="34"/>
  <c r="DA77" i="34"/>
  <c r="DM77" i="34" s="1"/>
  <c r="DN77" i="34" s="1"/>
  <c r="DL77" i="34"/>
  <c r="DJ77" i="34"/>
  <c r="DH77" i="34"/>
  <c r="DF77" i="34"/>
  <c r="DD77" i="34"/>
  <c r="DB77" i="34"/>
  <c r="DZ46" i="34" l="1"/>
  <c r="DX46" i="34"/>
  <c r="DV46" i="34"/>
  <c r="DT46" i="34"/>
  <c r="DR46" i="34"/>
  <c r="DP46" i="34"/>
  <c r="DY46" i="34"/>
  <c r="DU46" i="34"/>
  <c r="DQ46" i="34"/>
  <c r="DW46" i="34"/>
  <c r="DS46" i="34"/>
  <c r="DO46" i="34"/>
  <c r="EA46" i="34" s="1"/>
  <c r="DZ34" i="34"/>
  <c r="DX34" i="34"/>
  <c r="DV34" i="34"/>
  <c r="DT34" i="34"/>
  <c r="DR34" i="34"/>
  <c r="DP34" i="34"/>
  <c r="DY34" i="34"/>
  <c r="DU34" i="34"/>
  <c r="DQ34" i="34"/>
  <c r="DW34" i="34"/>
  <c r="DS34" i="34"/>
  <c r="DO34" i="34"/>
  <c r="EA34" i="34" s="1"/>
  <c r="DZ42" i="34"/>
  <c r="DX42" i="34"/>
  <c r="DV42" i="34"/>
  <c r="DT42" i="34"/>
  <c r="DR42" i="34"/>
  <c r="DP42" i="34"/>
  <c r="DY42" i="34"/>
  <c r="DU42" i="34"/>
  <c r="DQ42" i="34"/>
  <c r="DW42" i="34"/>
  <c r="DS42" i="34"/>
  <c r="DO42" i="34"/>
  <c r="EA42" i="34" s="1"/>
  <c r="DZ38" i="34"/>
  <c r="DX38" i="34"/>
  <c r="DV38" i="34"/>
  <c r="DT38" i="34"/>
  <c r="DR38" i="34"/>
  <c r="DP38" i="34"/>
  <c r="DY38" i="34"/>
  <c r="DU38" i="34"/>
  <c r="DQ38" i="34"/>
  <c r="DW38" i="34"/>
  <c r="DS38" i="34"/>
  <c r="DO38" i="34"/>
  <c r="EA38" i="34" s="1"/>
  <c r="DY77" i="34"/>
  <c r="DW77" i="34"/>
  <c r="DU77" i="34"/>
  <c r="DS77" i="34"/>
  <c r="DQ77" i="34"/>
  <c r="DO77" i="34"/>
  <c r="EA77" i="34" s="1"/>
  <c r="DZ77" i="34"/>
  <c r="DX77" i="34"/>
  <c r="DV77" i="34"/>
  <c r="DT77" i="34"/>
  <c r="DR77" i="34"/>
  <c r="DP77" i="34"/>
  <c r="DZ74" i="34"/>
  <c r="DX74" i="34"/>
  <c r="DV74" i="34"/>
  <c r="DT74" i="34"/>
  <c r="DR74" i="34"/>
  <c r="DP74" i="34"/>
  <c r="DY74" i="34"/>
  <c r="DW74" i="34"/>
  <c r="DU74" i="34"/>
  <c r="DS74" i="34"/>
  <c r="DQ74" i="34"/>
  <c r="DO74" i="34"/>
  <c r="EA74" i="34" s="1"/>
  <c r="DZ70" i="34"/>
  <c r="DX70" i="34"/>
  <c r="DV70" i="34"/>
  <c r="DT70" i="34"/>
  <c r="DR70" i="34"/>
  <c r="DP70" i="34"/>
  <c r="DY70" i="34"/>
  <c r="DW70" i="34"/>
  <c r="DU70" i="34"/>
  <c r="DS70" i="34"/>
  <c r="DQ70" i="34"/>
  <c r="DO70" i="34"/>
  <c r="EA70" i="34" s="1"/>
  <c r="DZ66" i="34"/>
  <c r="DX66" i="34"/>
  <c r="DV66" i="34"/>
  <c r="DT66" i="34"/>
  <c r="DR66" i="34"/>
  <c r="DP66" i="34"/>
  <c r="DY66" i="34"/>
  <c r="DW66" i="34"/>
  <c r="DU66" i="34"/>
  <c r="DS66" i="34"/>
  <c r="DQ66" i="34"/>
  <c r="DO66" i="34"/>
  <c r="EA66" i="34" s="1"/>
  <c r="DZ62" i="34"/>
  <c r="DX62" i="34"/>
  <c r="DV62" i="34"/>
  <c r="DT62" i="34"/>
  <c r="DR62" i="34"/>
  <c r="DP62" i="34"/>
  <c r="DY62" i="34"/>
  <c r="DW62" i="34"/>
  <c r="DU62" i="34"/>
  <c r="DS62" i="34"/>
  <c r="DQ62" i="34"/>
  <c r="DO62" i="34"/>
  <c r="EA62" i="34" s="1"/>
  <c r="DZ58" i="34"/>
  <c r="DX58" i="34"/>
  <c r="DV58" i="34"/>
  <c r="DT58" i="34"/>
  <c r="DR58" i="34"/>
  <c r="DP58" i="34"/>
  <c r="DY58" i="34"/>
  <c r="DW58" i="34"/>
  <c r="DU58" i="34"/>
  <c r="DS58" i="34"/>
  <c r="DQ58" i="34"/>
  <c r="DO58" i="34"/>
  <c r="EA58" i="34" s="1"/>
  <c r="DZ54" i="34"/>
  <c r="DX54" i="34"/>
  <c r="DV54" i="34"/>
  <c r="DT54" i="34"/>
  <c r="DR54" i="34"/>
  <c r="DP54" i="34"/>
  <c r="DY54" i="34"/>
  <c r="DW54" i="34"/>
  <c r="DU54" i="34"/>
  <c r="DS54" i="34"/>
  <c r="DQ54" i="34"/>
  <c r="DO54" i="34"/>
  <c r="EA54" i="34" s="1"/>
  <c r="DZ50" i="34"/>
  <c r="DX50" i="34"/>
  <c r="DV50" i="34"/>
  <c r="DT50" i="34"/>
  <c r="DR50" i="34"/>
  <c r="DP50" i="34"/>
  <c r="DY50" i="34"/>
  <c r="DW50" i="34"/>
  <c r="DU50" i="34"/>
  <c r="DS50" i="34"/>
  <c r="DQ50" i="34"/>
  <c r="DO50" i="34"/>
  <c r="EA50" i="34" s="1"/>
  <c r="DZ17" i="34"/>
  <c r="DX17" i="34"/>
  <c r="DV17" i="34"/>
  <c r="DT17" i="34"/>
  <c r="DR17" i="34"/>
  <c r="DP17" i="34"/>
  <c r="DY17" i="34"/>
  <c r="DU17" i="34"/>
  <c r="DQ17" i="34"/>
  <c r="DN3" i="34"/>
  <c r="DW17" i="34"/>
  <c r="DS17" i="34"/>
  <c r="DO17" i="34"/>
  <c r="EA17" i="34" s="1"/>
  <c r="DZ13" i="34"/>
  <c r="DX13" i="34"/>
  <c r="DV13" i="34"/>
  <c r="DT13" i="34"/>
  <c r="DR13" i="34"/>
  <c r="DP13" i="34"/>
  <c r="DY13" i="34"/>
  <c r="DU13" i="34"/>
  <c r="DQ13" i="34"/>
  <c r="DW13" i="34"/>
  <c r="DS13" i="34"/>
  <c r="DO13" i="34"/>
  <c r="EA13" i="34" s="1"/>
  <c r="DY14" i="34"/>
  <c r="DW14" i="34"/>
  <c r="DU14" i="34"/>
  <c r="DS14" i="34"/>
  <c r="DQ14" i="34"/>
  <c r="DO14" i="34"/>
  <c r="EA14" i="34" s="1"/>
  <c r="DZ14" i="34"/>
  <c r="DV14" i="34"/>
  <c r="DR14" i="34"/>
  <c r="DX14" i="34"/>
  <c r="DT14" i="34"/>
  <c r="DP14" i="34"/>
  <c r="DY18" i="34"/>
  <c r="DW18" i="34"/>
  <c r="DU18" i="34"/>
  <c r="DS18" i="34"/>
  <c r="DQ18" i="34"/>
  <c r="DO18" i="34"/>
  <c r="EA18" i="34" s="1"/>
  <c r="DZ18" i="34"/>
  <c r="DV18" i="34"/>
  <c r="DR18" i="34"/>
  <c r="DX18" i="34"/>
  <c r="DT18" i="34"/>
  <c r="DP18" i="34"/>
  <c r="DY22" i="34"/>
  <c r="DW22" i="34"/>
  <c r="DU22" i="34"/>
  <c r="DS22" i="34"/>
  <c r="DQ22" i="34"/>
  <c r="DO22" i="34"/>
  <c r="EA22" i="34" s="1"/>
  <c r="DZ22" i="34"/>
  <c r="DV22" i="34"/>
  <c r="DR22" i="34"/>
  <c r="DX22" i="34"/>
  <c r="DT22" i="34"/>
  <c r="DP22" i="34"/>
  <c r="DY26" i="34"/>
  <c r="DW26" i="34"/>
  <c r="DU26" i="34"/>
  <c r="DS26" i="34"/>
  <c r="DQ26" i="34"/>
  <c r="DO26" i="34"/>
  <c r="EA26" i="34" s="1"/>
  <c r="DZ26" i="34"/>
  <c r="DV26" i="34"/>
  <c r="DR26" i="34"/>
  <c r="DX26" i="34"/>
  <c r="DT26" i="34"/>
  <c r="DP26" i="34"/>
  <c r="DY31" i="34"/>
  <c r="DW31" i="34"/>
  <c r="DU31" i="34"/>
  <c r="DS31" i="34"/>
  <c r="DQ31" i="34"/>
  <c r="DO31" i="34"/>
  <c r="EA31" i="34" s="1"/>
  <c r="DZ31" i="34"/>
  <c r="DV31" i="34"/>
  <c r="DR31" i="34"/>
  <c r="DN1" i="34"/>
  <c r="DX31" i="34"/>
  <c r="DT31" i="34"/>
  <c r="DP31" i="34"/>
  <c r="DY35" i="34"/>
  <c r="DW35" i="34"/>
  <c r="DU35" i="34"/>
  <c r="DS35" i="34"/>
  <c r="DQ35" i="34"/>
  <c r="DO35" i="34"/>
  <c r="EA35" i="34" s="1"/>
  <c r="DZ35" i="34"/>
  <c r="DV35" i="34"/>
  <c r="DR35" i="34"/>
  <c r="DX35" i="34"/>
  <c r="DT35" i="34"/>
  <c r="DP35" i="34"/>
  <c r="DY39" i="34"/>
  <c r="DW39" i="34"/>
  <c r="DU39" i="34"/>
  <c r="DS39" i="34"/>
  <c r="DQ39" i="34"/>
  <c r="DO39" i="34"/>
  <c r="EA39" i="34" s="1"/>
  <c r="DZ39" i="34"/>
  <c r="DV39" i="34"/>
  <c r="DR39" i="34"/>
  <c r="DX39" i="34"/>
  <c r="DT39" i="34"/>
  <c r="DP39" i="34"/>
  <c r="DY43" i="34"/>
  <c r="DW43" i="34"/>
  <c r="DU43" i="34"/>
  <c r="DS43" i="34"/>
  <c r="DQ43" i="34"/>
  <c r="DO43" i="34"/>
  <c r="EA43" i="34" s="1"/>
  <c r="DZ43" i="34"/>
  <c r="DV43" i="34"/>
  <c r="DR43" i="34"/>
  <c r="DX43" i="34"/>
  <c r="DT43" i="34"/>
  <c r="DP43" i="34"/>
  <c r="DY47" i="34"/>
  <c r="DW47" i="34"/>
  <c r="DU47" i="34"/>
  <c r="DS47" i="34"/>
  <c r="DQ47" i="34"/>
  <c r="DO47" i="34"/>
  <c r="EA47" i="34" s="1"/>
  <c r="DZ47" i="34"/>
  <c r="DV47" i="34"/>
  <c r="DR47" i="34"/>
  <c r="DX47" i="34"/>
  <c r="DT47" i="34"/>
  <c r="DP47" i="34"/>
  <c r="DY51" i="34"/>
  <c r="DW51" i="34"/>
  <c r="DU51" i="34"/>
  <c r="DS51" i="34"/>
  <c r="DQ51" i="34"/>
  <c r="DO51" i="34"/>
  <c r="EA51" i="34" s="1"/>
  <c r="DZ51" i="34"/>
  <c r="DX51" i="34"/>
  <c r="DV51" i="34"/>
  <c r="DT51" i="34"/>
  <c r="DR51" i="34"/>
  <c r="DP51" i="34"/>
  <c r="DZ21" i="34"/>
  <c r="DX21" i="34"/>
  <c r="DV21" i="34"/>
  <c r="DT21" i="34"/>
  <c r="DR21" i="34"/>
  <c r="DP21" i="34"/>
  <c r="DY21" i="34"/>
  <c r="DU21" i="34"/>
  <c r="DQ21" i="34"/>
  <c r="DW21" i="34"/>
  <c r="DS21" i="34"/>
  <c r="DO21" i="34"/>
  <c r="EA21" i="34" s="1"/>
  <c r="DZ25" i="34"/>
  <c r="DX25" i="34"/>
  <c r="DV25" i="34"/>
  <c r="DT25" i="34"/>
  <c r="DR25" i="34"/>
  <c r="DP25" i="34"/>
  <c r="DY25" i="34"/>
  <c r="DU25" i="34"/>
  <c r="DQ25" i="34"/>
  <c r="DW25" i="34"/>
  <c r="DS25" i="34"/>
  <c r="DO25" i="34"/>
  <c r="EA25" i="34" s="1"/>
  <c r="DZ30" i="34"/>
  <c r="DX30" i="34"/>
  <c r="DV30" i="34"/>
  <c r="DT30" i="34"/>
  <c r="DR30" i="34"/>
  <c r="DP30" i="34"/>
  <c r="DY30" i="34"/>
  <c r="DU30" i="34"/>
  <c r="DQ30" i="34"/>
  <c r="DW30" i="34"/>
  <c r="DS30" i="34"/>
  <c r="DO30" i="34"/>
  <c r="EA30" i="34" s="1"/>
  <c r="DY63" i="34"/>
  <c r="DW63" i="34"/>
  <c r="DU63" i="34"/>
  <c r="DS63" i="34"/>
  <c r="DQ63" i="34"/>
  <c r="DO63" i="34"/>
  <c r="EA63" i="34" s="1"/>
  <c r="DZ63" i="34"/>
  <c r="DX63" i="34"/>
  <c r="DV63" i="34"/>
  <c r="DT63" i="34"/>
  <c r="DR63" i="34"/>
  <c r="DP63" i="34"/>
  <c r="DY67" i="34"/>
  <c r="DW67" i="34"/>
  <c r="DU67" i="34"/>
  <c r="DS67" i="34"/>
  <c r="DQ67" i="34"/>
  <c r="DO67" i="34"/>
  <c r="EA67" i="34" s="1"/>
  <c r="DZ67" i="34"/>
  <c r="DX67" i="34"/>
  <c r="DV67" i="34"/>
  <c r="DT67" i="34"/>
  <c r="DR67" i="34"/>
  <c r="DP67" i="34"/>
  <c r="DY71" i="34"/>
  <c r="DW71" i="34"/>
  <c r="DU71" i="34"/>
  <c r="DS71" i="34"/>
  <c r="DQ71" i="34"/>
  <c r="DO71" i="34"/>
  <c r="EA71" i="34" s="1"/>
  <c r="DZ71" i="34"/>
  <c r="DX71" i="34"/>
  <c r="DV71" i="34"/>
  <c r="DT71" i="34"/>
  <c r="DR71" i="34"/>
  <c r="DP71" i="34"/>
  <c r="DY75" i="34"/>
  <c r="DW75" i="34"/>
  <c r="DU75" i="34"/>
  <c r="DS75" i="34"/>
  <c r="DQ75" i="34"/>
  <c r="DO75" i="34"/>
  <c r="EA75" i="34" s="1"/>
  <c r="DZ75" i="34"/>
  <c r="DX75" i="34"/>
  <c r="DV75" i="34"/>
  <c r="DT75" i="34"/>
  <c r="DR75" i="34"/>
  <c r="DP75" i="34"/>
  <c r="DY81" i="34"/>
  <c r="DW81" i="34"/>
  <c r="DU81" i="34"/>
  <c r="DS81" i="34"/>
  <c r="DQ81" i="34"/>
  <c r="DO81" i="34"/>
  <c r="EA81" i="34" s="1"/>
  <c r="DZ81" i="34"/>
  <c r="DX81" i="34"/>
  <c r="DV81" i="34"/>
  <c r="DT81" i="34"/>
  <c r="DR81" i="34"/>
  <c r="DP81" i="34"/>
  <c r="DY85" i="34"/>
  <c r="DW85" i="34"/>
  <c r="DU85" i="34"/>
  <c r="DS85" i="34"/>
  <c r="DQ85" i="34"/>
  <c r="DO85" i="34"/>
  <c r="EA85" i="34" s="1"/>
  <c r="DZ85" i="34"/>
  <c r="DX85" i="34"/>
  <c r="DV85" i="34"/>
  <c r="DT85" i="34"/>
  <c r="DR85" i="34"/>
  <c r="DP85" i="34"/>
  <c r="DY89" i="34"/>
  <c r="DW89" i="34"/>
  <c r="DU89" i="34"/>
  <c r="DS89" i="34"/>
  <c r="DQ89" i="34"/>
  <c r="DO89" i="34"/>
  <c r="EA89" i="34" s="1"/>
  <c r="DZ89" i="34"/>
  <c r="DX89" i="34"/>
  <c r="DV89" i="34"/>
  <c r="DT89" i="34"/>
  <c r="DR89" i="34"/>
  <c r="DP89" i="34"/>
  <c r="DY93" i="34"/>
  <c r="DW93" i="34"/>
  <c r="DU93" i="34"/>
  <c r="DS93" i="34"/>
  <c r="DQ93" i="34"/>
  <c r="DO93" i="34"/>
  <c r="EA93" i="34" s="1"/>
  <c r="DZ93" i="34"/>
  <c r="DX93" i="34"/>
  <c r="DV93" i="34"/>
  <c r="DT93" i="34"/>
  <c r="DR93" i="34"/>
  <c r="DP93" i="34"/>
  <c r="DY97" i="34"/>
  <c r="DW97" i="34"/>
  <c r="DU97" i="34"/>
  <c r="DS97" i="34"/>
  <c r="DQ97" i="34"/>
  <c r="DO97" i="34"/>
  <c r="EA97" i="34" s="1"/>
  <c r="DZ97" i="34"/>
  <c r="DX97" i="34"/>
  <c r="DV97" i="34"/>
  <c r="DT97" i="34"/>
  <c r="DR97" i="34"/>
  <c r="DP97" i="34"/>
  <c r="DZ80" i="34"/>
  <c r="DX80" i="34"/>
  <c r="DV80" i="34"/>
  <c r="DT80" i="34"/>
  <c r="DR80" i="34"/>
  <c r="DP80" i="34"/>
  <c r="DY80" i="34"/>
  <c r="DW80" i="34"/>
  <c r="DU80" i="34"/>
  <c r="DS80" i="34"/>
  <c r="DQ80" i="34"/>
  <c r="DO80" i="34"/>
  <c r="EA80" i="34" s="1"/>
  <c r="DZ84" i="34"/>
  <c r="DX84" i="34"/>
  <c r="DV84" i="34"/>
  <c r="DT84" i="34"/>
  <c r="DR84" i="34"/>
  <c r="DP84" i="34"/>
  <c r="DY84" i="34"/>
  <c r="DW84" i="34"/>
  <c r="DU84" i="34"/>
  <c r="DS84" i="34"/>
  <c r="DQ84" i="34"/>
  <c r="DO84" i="34"/>
  <c r="EA84" i="34" s="1"/>
  <c r="DZ88" i="34"/>
  <c r="DX88" i="34"/>
  <c r="DV88" i="34"/>
  <c r="DT88" i="34"/>
  <c r="DR88" i="34"/>
  <c r="DP88" i="34"/>
  <c r="DY88" i="34"/>
  <c r="DW88" i="34"/>
  <c r="DU88" i="34"/>
  <c r="DS88" i="34"/>
  <c r="DQ88" i="34"/>
  <c r="DO88" i="34"/>
  <c r="EA88" i="34" s="1"/>
  <c r="DZ92" i="34"/>
  <c r="DX92" i="34"/>
  <c r="DV92" i="34"/>
  <c r="DT92" i="34"/>
  <c r="DR92" i="34"/>
  <c r="DP92" i="34"/>
  <c r="DY92" i="34"/>
  <c r="DW92" i="34"/>
  <c r="DU92" i="34"/>
  <c r="DS92" i="34"/>
  <c r="DQ92" i="34"/>
  <c r="DO92" i="34"/>
  <c r="EA92" i="34" s="1"/>
  <c r="DZ96" i="34"/>
  <c r="DX96" i="34"/>
  <c r="DV96" i="34"/>
  <c r="DT96" i="34"/>
  <c r="DR96" i="34"/>
  <c r="DP96" i="34"/>
  <c r="DY96" i="34"/>
  <c r="DW96" i="34"/>
  <c r="DU96" i="34"/>
  <c r="DS96" i="34"/>
  <c r="DQ96" i="34"/>
  <c r="DO96" i="34"/>
  <c r="EA96" i="34" s="1"/>
  <c r="DY100" i="34"/>
  <c r="DW100" i="34"/>
  <c r="DU100" i="34"/>
  <c r="DS100" i="34"/>
  <c r="DQ100" i="34"/>
  <c r="DO100" i="34"/>
  <c r="EA100" i="34" s="1"/>
  <c r="DZ100" i="34"/>
  <c r="DX100" i="34"/>
  <c r="DV100" i="34"/>
  <c r="DT100" i="34"/>
  <c r="DR100" i="34"/>
  <c r="DP100" i="34"/>
  <c r="DY104" i="34"/>
  <c r="DW104" i="34"/>
  <c r="DU104" i="34"/>
  <c r="DS104" i="34"/>
  <c r="DQ104" i="34"/>
  <c r="DO104" i="34"/>
  <c r="EA104" i="34" s="1"/>
  <c r="DZ104" i="34"/>
  <c r="DX104" i="34"/>
  <c r="DV104" i="34"/>
  <c r="DT104" i="34"/>
  <c r="DR104" i="34"/>
  <c r="DP104" i="34"/>
  <c r="DY108" i="34"/>
  <c r="DW108" i="34"/>
  <c r="DU108" i="34"/>
  <c r="DS108" i="34"/>
  <c r="DQ108" i="34"/>
  <c r="DO108" i="34"/>
  <c r="EA108" i="34" s="1"/>
  <c r="DZ108" i="34"/>
  <c r="DX108" i="34"/>
  <c r="DV108" i="34"/>
  <c r="DT108" i="34"/>
  <c r="DR108" i="34"/>
  <c r="DP108" i="34"/>
  <c r="DZ101" i="34"/>
  <c r="DX101" i="34"/>
  <c r="DV101" i="34"/>
  <c r="DT101" i="34"/>
  <c r="DR101" i="34"/>
  <c r="DP101" i="34"/>
  <c r="DY101" i="34"/>
  <c r="DW101" i="34"/>
  <c r="DU101" i="34"/>
  <c r="DS101" i="34"/>
  <c r="DQ101" i="34"/>
  <c r="DO101" i="34"/>
  <c r="EA101" i="34" s="1"/>
  <c r="DZ105" i="34"/>
  <c r="DX105" i="34"/>
  <c r="DV105" i="34"/>
  <c r="DT105" i="34"/>
  <c r="DR105" i="34"/>
  <c r="DP105" i="34"/>
  <c r="DY105" i="34"/>
  <c r="DW105" i="34"/>
  <c r="DU105" i="34"/>
  <c r="DS105" i="34"/>
  <c r="DQ105" i="34"/>
  <c r="DO105" i="34"/>
  <c r="EA105" i="34" s="1"/>
  <c r="DZ109" i="34"/>
  <c r="DX109" i="34"/>
  <c r="DV109" i="34"/>
  <c r="DT109" i="34"/>
  <c r="DR109" i="34"/>
  <c r="DP109" i="34"/>
  <c r="DY109" i="34"/>
  <c r="DW109" i="34"/>
  <c r="DU109" i="34"/>
  <c r="DS109" i="34"/>
  <c r="DQ109" i="34"/>
  <c r="DO109" i="34"/>
  <c r="EA109" i="34" s="1"/>
  <c r="DY113" i="34"/>
  <c r="DW113" i="34"/>
  <c r="DU113" i="34"/>
  <c r="DS113" i="34"/>
  <c r="DQ113" i="34"/>
  <c r="DO113" i="34"/>
  <c r="EA113" i="34" s="1"/>
  <c r="DZ113" i="34"/>
  <c r="DX113" i="34"/>
  <c r="DV113" i="34"/>
  <c r="DT113" i="34"/>
  <c r="DR113" i="34"/>
  <c r="DP113" i="34"/>
  <c r="DY117" i="34"/>
  <c r="DW117" i="34"/>
  <c r="DU117" i="34"/>
  <c r="DS117" i="34"/>
  <c r="DQ117" i="34"/>
  <c r="DO117" i="34"/>
  <c r="EA117" i="34" s="1"/>
  <c r="DZ117" i="34"/>
  <c r="DX117" i="34"/>
  <c r="DV117" i="34"/>
  <c r="DT117" i="34"/>
  <c r="DR117" i="34"/>
  <c r="DP117" i="34"/>
  <c r="DZ110" i="34"/>
  <c r="DX110" i="34"/>
  <c r="DV110" i="34"/>
  <c r="DT110" i="34"/>
  <c r="DR110" i="34"/>
  <c r="DP110" i="34"/>
  <c r="DY110" i="34"/>
  <c r="DW110" i="34"/>
  <c r="DU110" i="34"/>
  <c r="DS110" i="34"/>
  <c r="DQ110" i="34"/>
  <c r="DO110" i="34"/>
  <c r="EA110" i="34" s="1"/>
  <c r="DZ114" i="34"/>
  <c r="DX114" i="34"/>
  <c r="DV114" i="34"/>
  <c r="DT114" i="34"/>
  <c r="DR114" i="34"/>
  <c r="DP114" i="34"/>
  <c r="DY114" i="34"/>
  <c r="DW114" i="34"/>
  <c r="DU114" i="34"/>
  <c r="DS114" i="34"/>
  <c r="DQ114" i="34"/>
  <c r="DO114" i="34"/>
  <c r="EA114" i="34" s="1"/>
  <c r="DZ118" i="34"/>
  <c r="DX118" i="34"/>
  <c r="DV118" i="34"/>
  <c r="DT118" i="34"/>
  <c r="DR118" i="34"/>
  <c r="DP118" i="34"/>
  <c r="DY118" i="34"/>
  <c r="DW118" i="34"/>
  <c r="DU118" i="34"/>
  <c r="DS118" i="34"/>
  <c r="DQ118" i="34"/>
  <c r="DO118" i="34"/>
  <c r="EA118" i="34" s="1"/>
  <c r="DY122" i="34"/>
  <c r="DW122" i="34"/>
  <c r="DU122" i="34"/>
  <c r="DS122" i="34"/>
  <c r="DQ122" i="34"/>
  <c r="DO122" i="34"/>
  <c r="EA122" i="34" s="1"/>
  <c r="DZ122" i="34"/>
  <c r="DX122" i="34"/>
  <c r="DV122" i="34"/>
  <c r="DT122" i="34"/>
  <c r="DR122" i="34"/>
  <c r="DP122" i="34"/>
  <c r="DZ121" i="34"/>
  <c r="DX121" i="34"/>
  <c r="DV121" i="34"/>
  <c r="DT121" i="34"/>
  <c r="DR121" i="34"/>
  <c r="DP121" i="34"/>
  <c r="DY121" i="34"/>
  <c r="DW121" i="34"/>
  <c r="DU121" i="34"/>
  <c r="DS121" i="34"/>
  <c r="DQ121" i="34"/>
  <c r="DO121" i="34"/>
  <c r="EA121" i="34" s="1"/>
  <c r="DZ125" i="34"/>
  <c r="DX125" i="34"/>
  <c r="DV125" i="34"/>
  <c r="DT125" i="34"/>
  <c r="DR125" i="34"/>
  <c r="DP125" i="34"/>
  <c r="DY125" i="34"/>
  <c r="DW125" i="34"/>
  <c r="DU125" i="34"/>
  <c r="DS125" i="34"/>
  <c r="DQ125" i="34"/>
  <c r="DO125" i="34"/>
  <c r="EA125" i="34" s="1"/>
  <c r="DY129" i="34"/>
  <c r="DW129" i="34"/>
  <c r="DU129" i="34"/>
  <c r="DS129" i="34"/>
  <c r="DQ129" i="34"/>
  <c r="DO129" i="34"/>
  <c r="EA129" i="34" s="1"/>
  <c r="DZ129" i="34"/>
  <c r="DX129" i="34"/>
  <c r="DV129" i="34"/>
  <c r="DT129" i="34"/>
  <c r="DR129" i="34"/>
  <c r="DP129" i="34"/>
  <c r="DZ128" i="34"/>
  <c r="DX128" i="34"/>
  <c r="DV128" i="34"/>
  <c r="DT128" i="34"/>
  <c r="DR128" i="34"/>
  <c r="DP128" i="34"/>
  <c r="DY128" i="34"/>
  <c r="DW128" i="34"/>
  <c r="DU128" i="34"/>
  <c r="DS128" i="34"/>
  <c r="DQ128" i="34"/>
  <c r="DO128" i="34"/>
  <c r="EA128" i="34" s="1"/>
  <c r="DY131" i="34"/>
  <c r="DW131" i="34"/>
  <c r="DU131" i="34"/>
  <c r="DS131" i="34"/>
  <c r="DQ131" i="34"/>
  <c r="DO131" i="34"/>
  <c r="EA131" i="34" s="1"/>
  <c r="DZ131" i="34"/>
  <c r="DX131" i="34"/>
  <c r="DV131" i="34"/>
  <c r="DT131" i="34"/>
  <c r="DR131" i="34"/>
  <c r="DP131" i="34"/>
  <c r="DY134" i="34"/>
  <c r="DW134" i="34"/>
  <c r="DU134" i="34"/>
  <c r="DS134" i="34"/>
  <c r="DQ134" i="34"/>
  <c r="DO134" i="34"/>
  <c r="EA134" i="34" s="1"/>
  <c r="DZ134" i="34"/>
  <c r="DX134" i="34"/>
  <c r="DV134" i="34"/>
  <c r="DT134" i="34"/>
  <c r="DR134" i="34"/>
  <c r="DP134" i="34"/>
  <c r="DZ135" i="34"/>
  <c r="DX135" i="34"/>
  <c r="DV135" i="34"/>
  <c r="DT135" i="34"/>
  <c r="DR135" i="34"/>
  <c r="DP135" i="34"/>
  <c r="DY135" i="34"/>
  <c r="DW135" i="34"/>
  <c r="DU135" i="34"/>
  <c r="DS135" i="34"/>
  <c r="DQ135" i="34"/>
  <c r="DO135" i="34"/>
  <c r="EA135" i="34" s="1"/>
  <c r="DZ137" i="34"/>
  <c r="DX137" i="34"/>
  <c r="DV137" i="34"/>
  <c r="DT137" i="34"/>
  <c r="DR137" i="34"/>
  <c r="DP137" i="34"/>
  <c r="DW137" i="34"/>
  <c r="DS137" i="34"/>
  <c r="DO137" i="34"/>
  <c r="EA137" i="34" s="1"/>
  <c r="DY137" i="34"/>
  <c r="DU137" i="34"/>
  <c r="DQ137" i="34"/>
  <c r="CX10" i="34"/>
  <c r="CX8" i="34" s="1"/>
  <c r="CV10" i="34"/>
  <c r="CV8" i="34" s="1"/>
  <c r="CT10" i="34"/>
  <c r="CT8" i="34" s="1"/>
  <c r="CR10" i="34"/>
  <c r="CR8" i="34" s="1"/>
  <c r="CP10" i="34"/>
  <c r="CP8" i="34" s="1"/>
  <c r="CN10" i="34"/>
  <c r="CN8" i="34" s="1"/>
  <c r="CW10" i="34"/>
  <c r="CW8" i="34" s="1"/>
  <c r="CU10" i="34"/>
  <c r="CU8" i="34" s="1"/>
  <c r="CS10" i="34"/>
  <c r="CS8" i="34" s="1"/>
  <c r="CQ10" i="34"/>
  <c r="CQ8" i="34" s="1"/>
  <c r="CO10" i="34"/>
  <c r="CO8" i="34" s="1"/>
  <c r="CM10" i="34"/>
  <c r="CL8" i="34"/>
  <c r="CL2" i="34"/>
  <c r="CY55" i="34"/>
  <c r="CZ55" i="34" s="1"/>
  <c r="CY59" i="34"/>
  <c r="CZ59" i="34" s="1"/>
  <c r="EB137" i="34"/>
  <c r="EB135" i="34"/>
  <c r="EB134" i="34"/>
  <c r="EB131" i="34"/>
  <c r="EB128" i="34"/>
  <c r="EB129" i="34"/>
  <c r="EB125" i="34"/>
  <c r="EB121" i="34"/>
  <c r="EB122" i="34"/>
  <c r="EB118" i="34"/>
  <c r="EB114" i="34"/>
  <c r="EB110" i="34"/>
  <c r="EB117" i="34"/>
  <c r="EB113" i="34"/>
  <c r="EB109" i="34"/>
  <c r="EB105" i="34"/>
  <c r="EB101" i="34"/>
  <c r="EB108" i="34"/>
  <c r="EB104" i="34"/>
  <c r="EB100" i="34"/>
  <c r="EB96" i="34"/>
  <c r="EB92" i="34"/>
  <c r="EB88" i="34"/>
  <c r="EB84" i="34"/>
  <c r="EB80" i="34"/>
  <c r="EB97" i="34"/>
  <c r="EB93" i="34"/>
  <c r="EB89" i="34"/>
  <c r="EB85" i="34"/>
  <c r="EB81" i="34"/>
  <c r="EB77" i="34"/>
  <c r="EB74" i="34"/>
  <c r="EB70" i="34"/>
  <c r="EB66" i="34"/>
  <c r="EB62" i="34"/>
  <c r="EB58" i="34"/>
  <c r="EB75" i="34"/>
  <c r="EB71" i="34"/>
  <c r="EB67" i="34"/>
  <c r="EB63" i="34"/>
  <c r="EB54" i="34"/>
  <c r="EB50" i="34"/>
  <c r="EB46" i="34"/>
  <c r="EB42" i="34"/>
  <c r="EB38" i="34"/>
  <c r="EB34" i="34"/>
  <c r="EB30" i="34"/>
  <c r="EB25" i="34"/>
  <c r="EB21" i="34"/>
  <c r="EB17" i="34"/>
  <c r="EB3" i="34" s="1"/>
  <c r="EB13" i="34"/>
  <c r="EB51" i="34"/>
  <c r="EB47" i="34"/>
  <c r="EB43" i="34"/>
  <c r="EB39" i="34"/>
  <c r="EB35" i="34"/>
  <c r="EB33" i="34"/>
  <c r="EB31" i="34"/>
  <c r="EB1" i="34" s="1"/>
  <c r="EB29" i="34"/>
  <c r="EB26" i="34"/>
  <c r="EB24" i="34"/>
  <c r="EB22" i="34"/>
  <c r="EB20" i="34"/>
  <c r="EB18" i="34"/>
  <c r="EB16" i="34"/>
  <c r="EB14" i="34"/>
  <c r="DY12" i="34"/>
  <c r="DW12" i="34"/>
  <c r="DU12" i="34"/>
  <c r="DS12" i="34"/>
  <c r="DQ12" i="34"/>
  <c r="DO12" i="34"/>
  <c r="EA12" i="34" s="1"/>
  <c r="EB12" i="34" s="1"/>
  <c r="EB4" i="34" s="1"/>
  <c r="DZ12" i="34"/>
  <c r="DV12" i="34"/>
  <c r="DR12" i="34"/>
  <c r="DX12" i="34"/>
  <c r="DT12" i="34"/>
  <c r="DP12" i="34"/>
  <c r="DN4" i="34"/>
  <c r="DY16" i="34"/>
  <c r="DW16" i="34"/>
  <c r="DU16" i="34"/>
  <c r="DS16" i="34"/>
  <c r="DQ16" i="34"/>
  <c r="DO16" i="34"/>
  <c r="EA16" i="34" s="1"/>
  <c r="DZ16" i="34"/>
  <c r="DV16" i="34"/>
  <c r="DR16" i="34"/>
  <c r="DX16" i="34"/>
  <c r="DT16" i="34"/>
  <c r="DP16" i="34"/>
  <c r="DY20" i="34"/>
  <c r="DW20" i="34"/>
  <c r="DU20" i="34"/>
  <c r="DS20" i="34"/>
  <c r="DQ20" i="34"/>
  <c r="DO20" i="34"/>
  <c r="EA20" i="34" s="1"/>
  <c r="DZ20" i="34"/>
  <c r="DV20" i="34"/>
  <c r="DR20" i="34"/>
  <c r="DX20" i="34"/>
  <c r="DT20" i="34"/>
  <c r="DP20" i="34"/>
  <c r="DY24" i="34"/>
  <c r="DW24" i="34"/>
  <c r="DU24" i="34"/>
  <c r="DS24" i="34"/>
  <c r="DQ24" i="34"/>
  <c r="DO24" i="34"/>
  <c r="EA24" i="34" s="1"/>
  <c r="DZ24" i="34"/>
  <c r="DV24" i="34"/>
  <c r="DR24" i="34"/>
  <c r="DX24" i="34"/>
  <c r="DT24" i="34"/>
  <c r="DP24" i="34"/>
  <c r="DY29" i="34"/>
  <c r="DW29" i="34"/>
  <c r="DU29" i="34"/>
  <c r="DS29" i="34"/>
  <c r="DQ29" i="34"/>
  <c r="DO29" i="34"/>
  <c r="EA29" i="34" s="1"/>
  <c r="DZ29" i="34"/>
  <c r="DV29" i="34"/>
  <c r="DR29" i="34"/>
  <c r="DX29" i="34"/>
  <c r="DT29" i="34"/>
  <c r="DP29" i="34"/>
  <c r="DY33" i="34"/>
  <c r="DW33" i="34"/>
  <c r="DU33" i="34"/>
  <c r="DS33" i="34"/>
  <c r="DQ33" i="34"/>
  <c r="DO33" i="34"/>
  <c r="EA33" i="34" s="1"/>
  <c r="DZ33" i="34"/>
  <c r="DV33" i="34"/>
  <c r="DR33" i="34"/>
  <c r="DX33" i="34"/>
  <c r="DT33" i="34"/>
  <c r="DP33" i="34"/>
  <c r="DY37" i="34"/>
  <c r="DW37" i="34"/>
  <c r="DU37" i="34"/>
  <c r="DS37" i="34"/>
  <c r="DQ37" i="34"/>
  <c r="DO37" i="34"/>
  <c r="EA37" i="34" s="1"/>
  <c r="EB37" i="34" s="1"/>
  <c r="DZ37" i="34"/>
  <c r="DV37" i="34"/>
  <c r="DR37" i="34"/>
  <c r="DX37" i="34"/>
  <c r="DT37" i="34"/>
  <c r="DP37" i="34"/>
  <c r="DY41" i="34"/>
  <c r="DW41" i="34"/>
  <c r="DU41" i="34"/>
  <c r="DS41" i="34"/>
  <c r="DQ41" i="34"/>
  <c r="DO41" i="34"/>
  <c r="EA41" i="34" s="1"/>
  <c r="EB41" i="34" s="1"/>
  <c r="DZ41" i="34"/>
  <c r="DV41" i="34"/>
  <c r="DR41" i="34"/>
  <c r="DX41" i="34"/>
  <c r="DT41" i="34"/>
  <c r="DP41" i="34"/>
  <c r="DY45" i="34"/>
  <c r="DW45" i="34"/>
  <c r="DU45" i="34"/>
  <c r="DS45" i="34"/>
  <c r="DQ45" i="34"/>
  <c r="DO45" i="34"/>
  <c r="EA45" i="34" s="1"/>
  <c r="EB45" i="34" s="1"/>
  <c r="DZ45" i="34"/>
  <c r="DV45" i="34"/>
  <c r="DR45" i="34"/>
  <c r="DX45" i="34"/>
  <c r="DT45" i="34"/>
  <c r="DP45" i="34"/>
  <c r="DY49" i="34"/>
  <c r="DW49" i="34"/>
  <c r="DU49" i="34"/>
  <c r="DS49" i="34"/>
  <c r="DQ49" i="34"/>
  <c r="DO49" i="34"/>
  <c r="EA49" i="34" s="1"/>
  <c r="EB49" i="34" s="1"/>
  <c r="DZ49" i="34"/>
  <c r="DX49" i="34"/>
  <c r="DV49" i="34"/>
  <c r="DT49" i="34"/>
  <c r="DR49" i="34"/>
  <c r="DP49" i="34"/>
  <c r="DY53" i="34"/>
  <c r="DW53" i="34"/>
  <c r="DU53" i="34"/>
  <c r="DS53" i="34"/>
  <c r="DQ53" i="34"/>
  <c r="DO53" i="34"/>
  <c r="EA53" i="34" s="1"/>
  <c r="EB53" i="34" s="1"/>
  <c r="DZ53" i="34"/>
  <c r="DX53" i="34"/>
  <c r="DV53" i="34"/>
  <c r="DT53" i="34"/>
  <c r="DR53" i="34"/>
  <c r="DP53" i="34"/>
  <c r="DZ11" i="34"/>
  <c r="DX11" i="34"/>
  <c r="DV11" i="34"/>
  <c r="DT11" i="34"/>
  <c r="DR11" i="34"/>
  <c r="DP11" i="34"/>
  <c r="DY11" i="34"/>
  <c r="DU11" i="34"/>
  <c r="DQ11" i="34"/>
  <c r="DW11" i="34"/>
  <c r="DS11" i="34"/>
  <c r="DO11" i="34"/>
  <c r="EA11" i="34" s="1"/>
  <c r="EB11" i="34" s="1"/>
  <c r="DZ15" i="34"/>
  <c r="DX15" i="34"/>
  <c r="DV15" i="34"/>
  <c r="DT15" i="34"/>
  <c r="DR15" i="34"/>
  <c r="DP15" i="34"/>
  <c r="DY15" i="34"/>
  <c r="DU15" i="34"/>
  <c r="DQ15" i="34"/>
  <c r="DW15" i="34"/>
  <c r="DS15" i="34"/>
  <c r="DO15" i="34"/>
  <c r="EA15" i="34" s="1"/>
  <c r="EB15" i="34" s="1"/>
  <c r="DZ19" i="34"/>
  <c r="DX19" i="34"/>
  <c r="DV19" i="34"/>
  <c r="DT19" i="34"/>
  <c r="DR19" i="34"/>
  <c r="DP19" i="34"/>
  <c r="DY19" i="34"/>
  <c r="DU19" i="34"/>
  <c r="DQ19" i="34"/>
  <c r="DW19" i="34"/>
  <c r="DS19" i="34"/>
  <c r="DO19" i="34"/>
  <c r="EA19" i="34" s="1"/>
  <c r="EB19" i="34" s="1"/>
  <c r="DZ23" i="34"/>
  <c r="DX23" i="34"/>
  <c r="DV23" i="34"/>
  <c r="DT23" i="34"/>
  <c r="DR23" i="34"/>
  <c r="DP23" i="34"/>
  <c r="DY23" i="34"/>
  <c r="DU23" i="34"/>
  <c r="DQ23" i="34"/>
  <c r="DW23" i="34"/>
  <c r="DS23" i="34"/>
  <c r="DO23" i="34"/>
  <c r="EA23" i="34" s="1"/>
  <c r="EB23" i="34" s="1"/>
  <c r="DZ27" i="34"/>
  <c r="DX27" i="34"/>
  <c r="DV27" i="34"/>
  <c r="DT27" i="34"/>
  <c r="DR27" i="34"/>
  <c r="DP27" i="34"/>
  <c r="DY27" i="34"/>
  <c r="DU27" i="34"/>
  <c r="DQ27" i="34"/>
  <c r="DW27" i="34"/>
  <c r="DS27" i="34"/>
  <c r="DO27" i="34"/>
  <c r="EA27" i="34" s="1"/>
  <c r="EB27" i="34" s="1"/>
  <c r="DZ32" i="34"/>
  <c r="DX32" i="34"/>
  <c r="DV32" i="34"/>
  <c r="DT32" i="34"/>
  <c r="DR32" i="34"/>
  <c r="DP32" i="34"/>
  <c r="DY32" i="34"/>
  <c r="DU32" i="34"/>
  <c r="DQ32" i="34"/>
  <c r="DW32" i="34"/>
  <c r="DS32" i="34"/>
  <c r="DO32" i="34"/>
  <c r="EA32" i="34" s="1"/>
  <c r="EB32" i="34" s="1"/>
  <c r="DZ36" i="34"/>
  <c r="DX36" i="34"/>
  <c r="DV36" i="34"/>
  <c r="DT36" i="34"/>
  <c r="DR36" i="34"/>
  <c r="DP36" i="34"/>
  <c r="DY36" i="34"/>
  <c r="DU36" i="34"/>
  <c r="DQ36" i="34"/>
  <c r="DW36" i="34"/>
  <c r="DS36" i="34"/>
  <c r="DO36" i="34"/>
  <c r="EA36" i="34" s="1"/>
  <c r="EB36" i="34" s="1"/>
  <c r="DZ40" i="34"/>
  <c r="DX40" i="34"/>
  <c r="DV40" i="34"/>
  <c r="DT40" i="34"/>
  <c r="DR40" i="34"/>
  <c r="DP40" i="34"/>
  <c r="DY40" i="34"/>
  <c r="DU40" i="34"/>
  <c r="DQ40" i="34"/>
  <c r="DW40" i="34"/>
  <c r="DS40" i="34"/>
  <c r="DO40" i="34"/>
  <c r="EA40" i="34" s="1"/>
  <c r="EB40" i="34" s="1"/>
  <c r="DZ44" i="34"/>
  <c r="DX44" i="34"/>
  <c r="DV44" i="34"/>
  <c r="DT44" i="34"/>
  <c r="DR44" i="34"/>
  <c r="DP44" i="34"/>
  <c r="DY44" i="34"/>
  <c r="DU44" i="34"/>
  <c r="DQ44" i="34"/>
  <c r="DW44" i="34"/>
  <c r="DS44" i="34"/>
  <c r="DO44" i="34"/>
  <c r="EA44" i="34" s="1"/>
  <c r="EB44" i="34" s="1"/>
  <c r="DZ48" i="34"/>
  <c r="DX48" i="34"/>
  <c r="DV48" i="34"/>
  <c r="DT48" i="34"/>
  <c r="DR48" i="34"/>
  <c r="DP48" i="34"/>
  <c r="DY48" i="34"/>
  <c r="DU48" i="34"/>
  <c r="DQ48" i="34"/>
  <c r="DW48" i="34"/>
  <c r="DS48" i="34"/>
  <c r="DO48" i="34"/>
  <c r="EA48" i="34" s="1"/>
  <c r="EB48" i="34" s="1"/>
  <c r="DZ52" i="34"/>
  <c r="DX52" i="34"/>
  <c r="DV52" i="34"/>
  <c r="DT52" i="34"/>
  <c r="DR52" i="34"/>
  <c r="DP52" i="34"/>
  <c r="DY52" i="34"/>
  <c r="DW52" i="34"/>
  <c r="DU52" i="34"/>
  <c r="DS52" i="34"/>
  <c r="DQ52" i="34"/>
  <c r="DO52" i="34"/>
  <c r="EA52" i="34" s="1"/>
  <c r="EB52" i="34" s="1"/>
  <c r="DY57" i="34"/>
  <c r="DW57" i="34"/>
  <c r="DU57" i="34"/>
  <c r="DS57" i="34"/>
  <c r="DQ57" i="34"/>
  <c r="DO57" i="34"/>
  <c r="EA57" i="34" s="1"/>
  <c r="EB57" i="34" s="1"/>
  <c r="DZ57" i="34"/>
  <c r="DX57" i="34"/>
  <c r="DV57" i="34"/>
  <c r="DT57" i="34"/>
  <c r="DR57" i="34"/>
  <c r="DP57" i="34"/>
  <c r="DY61" i="34"/>
  <c r="DW61" i="34"/>
  <c r="DU61" i="34"/>
  <c r="DS61" i="34"/>
  <c r="DQ61" i="34"/>
  <c r="DO61" i="34"/>
  <c r="EA61" i="34" s="1"/>
  <c r="EB61" i="34" s="1"/>
  <c r="DZ61" i="34"/>
  <c r="DX61" i="34"/>
  <c r="DV61" i="34"/>
  <c r="DT61" i="34"/>
  <c r="DR61" i="34"/>
  <c r="DP61" i="34"/>
  <c r="DY65" i="34"/>
  <c r="DW65" i="34"/>
  <c r="DU65" i="34"/>
  <c r="DS65" i="34"/>
  <c r="DQ65" i="34"/>
  <c r="DO65" i="34"/>
  <c r="EA65" i="34" s="1"/>
  <c r="EB65" i="34" s="1"/>
  <c r="DZ65" i="34"/>
  <c r="DX65" i="34"/>
  <c r="DV65" i="34"/>
  <c r="DT65" i="34"/>
  <c r="DR65" i="34"/>
  <c r="DP65" i="34"/>
  <c r="DY69" i="34"/>
  <c r="DW69" i="34"/>
  <c r="DU69" i="34"/>
  <c r="DS69" i="34"/>
  <c r="DQ69" i="34"/>
  <c r="DO69" i="34"/>
  <c r="EA69" i="34" s="1"/>
  <c r="EB69" i="34" s="1"/>
  <c r="DZ69" i="34"/>
  <c r="DX69" i="34"/>
  <c r="DV69" i="34"/>
  <c r="DT69" i="34"/>
  <c r="DR69" i="34"/>
  <c r="DP69" i="34"/>
  <c r="DY73" i="34"/>
  <c r="DW73" i="34"/>
  <c r="DU73" i="34"/>
  <c r="DS73" i="34"/>
  <c r="DQ73" i="34"/>
  <c r="DO73" i="34"/>
  <c r="EA73" i="34" s="1"/>
  <c r="EB73" i="34" s="1"/>
  <c r="DZ73" i="34"/>
  <c r="DX73" i="34"/>
  <c r="DV73" i="34"/>
  <c r="DT73" i="34"/>
  <c r="DR73" i="34"/>
  <c r="DP73" i="34"/>
  <c r="DZ56" i="34"/>
  <c r="DX56" i="34"/>
  <c r="DV56" i="34"/>
  <c r="DT56" i="34"/>
  <c r="DR56" i="34"/>
  <c r="DP56" i="34"/>
  <c r="DY56" i="34"/>
  <c r="DW56" i="34"/>
  <c r="DU56" i="34"/>
  <c r="DS56" i="34"/>
  <c r="DQ56" i="34"/>
  <c r="DO56" i="34"/>
  <c r="EA56" i="34" s="1"/>
  <c r="EB56" i="34" s="1"/>
  <c r="DZ60" i="34"/>
  <c r="DX60" i="34"/>
  <c r="DV60" i="34"/>
  <c r="DT60" i="34"/>
  <c r="DR60" i="34"/>
  <c r="DP60" i="34"/>
  <c r="DY60" i="34"/>
  <c r="DW60" i="34"/>
  <c r="DU60" i="34"/>
  <c r="DS60" i="34"/>
  <c r="DQ60" i="34"/>
  <c r="DO60" i="34"/>
  <c r="EA60" i="34" s="1"/>
  <c r="EB60" i="34" s="1"/>
  <c r="DZ64" i="34"/>
  <c r="DX64" i="34"/>
  <c r="DV64" i="34"/>
  <c r="DT64" i="34"/>
  <c r="DR64" i="34"/>
  <c r="DP64" i="34"/>
  <c r="DY64" i="34"/>
  <c r="DW64" i="34"/>
  <c r="DU64" i="34"/>
  <c r="DS64" i="34"/>
  <c r="DQ64" i="34"/>
  <c r="DO64" i="34"/>
  <c r="EA64" i="34" s="1"/>
  <c r="EB64" i="34" s="1"/>
  <c r="DZ68" i="34"/>
  <c r="DX68" i="34"/>
  <c r="DV68" i="34"/>
  <c r="DT68" i="34"/>
  <c r="DR68" i="34"/>
  <c r="DP68" i="34"/>
  <c r="DY68" i="34"/>
  <c r="DW68" i="34"/>
  <c r="DU68" i="34"/>
  <c r="DS68" i="34"/>
  <c r="DQ68" i="34"/>
  <c r="DO68" i="34"/>
  <c r="EA68" i="34" s="1"/>
  <c r="EB68" i="34" s="1"/>
  <c r="DZ72" i="34"/>
  <c r="DX72" i="34"/>
  <c r="DV72" i="34"/>
  <c r="DT72" i="34"/>
  <c r="DR72" i="34"/>
  <c r="DP72" i="34"/>
  <c r="DY72" i="34"/>
  <c r="DW72" i="34"/>
  <c r="DU72" i="34"/>
  <c r="DS72" i="34"/>
  <c r="DQ72" i="34"/>
  <c r="DO72" i="34"/>
  <c r="EA72" i="34" s="1"/>
  <c r="EB72" i="34" s="1"/>
  <c r="DZ76" i="34"/>
  <c r="DX76" i="34"/>
  <c r="DV76" i="34"/>
  <c r="DT76" i="34"/>
  <c r="DR76" i="34"/>
  <c r="DP76" i="34"/>
  <c r="DY76" i="34"/>
  <c r="DW76" i="34"/>
  <c r="DU76" i="34"/>
  <c r="DS76" i="34"/>
  <c r="DQ76" i="34"/>
  <c r="DO76" i="34"/>
  <c r="EA76" i="34" s="1"/>
  <c r="EB76" i="34" s="1"/>
  <c r="DY79" i="34"/>
  <c r="DW79" i="34"/>
  <c r="DU79" i="34"/>
  <c r="DS79" i="34"/>
  <c r="DQ79" i="34"/>
  <c r="DO79" i="34"/>
  <c r="EA79" i="34" s="1"/>
  <c r="EB79" i="34" s="1"/>
  <c r="DZ79" i="34"/>
  <c r="DX79" i="34"/>
  <c r="DV79" i="34"/>
  <c r="DT79" i="34"/>
  <c r="DR79" i="34"/>
  <c r="DP79" i="34"/>
  <c r="DY83" i="34"/>
  <c r="DW83" i="34"/>
  <c r="DU83" i="34"/>
  <c r="DS83" i="34"/>
  <c r="DQ83" i="34"/>
  <c r="DO83" i="34"/>
  <c r="EA83" i="34" s="1"/>
  <c r="EB83" i="34" s="1"/>
  <c r="DZ83" i="34"/>
  <c r="DX83" i="34"/>
  <c r="DV83" i="34"/>
  <c r="DT83" i="34"/>
  <c r="DR83" i="34"/>
  <c r="DP83" i="34"/>
  <c r="DY87" i="34"/>
  <c r="DW87" i="34"/>
  <c r="DU87" i="34"/>
  <c r="DS87" i="34"/>
  <c r="DQ87" i="34"/>
  <c r="DO87" i="34"/>
  <c r="EA87" i="34" s="1"/>
  <c r="EB87" i="34" s="1"/>
  <c r="DZ87" i="34"/>
  <c r="DX87" i="34"/>
  <c r="DV87" i="34"/>
  <c r="DT87" i="34"/>
  <c r="DR87" i="34"/>
  <c r="DP87" i="34"/>
  <c r="DY91" i="34"/>
  <c r="DW91" i="34"/>
  <c r="DU91" i="34"/>
  <c r="DS91" i="34"/>
  <c r="DQ91" i="34"/>
  <c r="DO91" i="34"/>
  <c r="EA91" i="34" s="1"/>
  <c r="EB91" i="34" s="1"/>
  <c r="DZ91" i="34"/>
  <c r="DX91" i="34"/>
  <c r="DV91" i="34"/>
  <c r="DT91" i="34"/>
  <c r="DR91" i="34"/>
  <c r="DP91" i="34"/>
  <c r="DY95" i="34"/>
  <c r="DW95" i="34"/>
  <c r="DU95" i="34"/>
  <c r="DS95" i="34"/>
  <c r="DQ95" i="34"/>
  <c r="DO95" i="34"/>
  <c r="EA95" i="34" s="1"/>
  <c r="EB95" i="34" s="1"/>
  <c r="DZ95" i="34"/>
  <c r="DX95" i="34"/>
  <c r="DV95" i="34"/>
  <c r="DT95" i="34"/>
  <c r="DR95" i="34"/>
  <c r="DP95" i="34"/>
  <c r="DZ78" i="34"/>
  <c r="DX78" i="34"/>
  <c r="DV78" i="34"/>
  <c r="DT78" i="34"/>
  <c r="DR78" i="34"/>
  <c r="DP78" i="34"/>
  <c r="DY78" i="34"/>
  <c r="DW78" i="34"/>
  <c r="DU78" i="34"/>
  <c r="DS78" i="34"/>
  <c r="DQ78" i="34"/>
  <c r="DO78" i="34"/>
  <c r="EA78" i="34" s="1"/>
  <c r="EB78" i="34" s="1"/>
  <c r="DZ82" i="34"/>
  <c r="DX82" i="34"/>
  <c r="DV82" i="34"/>
  <c r="DT82" i="34"/>
  <c r="DR82" i="34"/>
  <c r="DP82" i="34"/>
  <c r="DY82" i="34"/>
  <c r="DW82" i="34"/>
  <c r="DU82" i="34"/>
  <c r="DS82" i="34"/>
  <c r="DQ82" i="34"/>
  <c r="DO82" i="34"/>
  <c r="EA82" i="34" s="1"/>
  <c r="EB82" i="34" s="1"/>
  <c r="DZ86" i="34"/>
  <c r="DX86" i="34"/>
  <c r="DV86" i="34"/>
  <c r="DT86" i="34"/>
  <c r="DR86" i="34"/>
  <c r="DP86" i="34"/>
  <c r="DY86" i="34"/>
  <c r="DW86" i="34"/>
  <c r="DU86" i="34"/>
  <c r="DS86" i="34"/>
  <c r="DQ86" i="34"/>
  <c r="DO86" i="34"/>
  <c r="EA86" i="34" s="1"/>
  <c r="EB86" i="34" s="1"/>
  <c r="DZ90" i="34"/>
  <c r="DX90" i="34"/>
  <c r="DV90" i="34"/>
  <c r="DT90" i="34"/>
  <c r="DR90" i="34"/>
  <c r="DP90" i="34"/>
  <c r="DY90" i="34"/>
  <c r="DW90" i="34"/>
  <c r="DU90" i="34"/>
  <c r="DS90" i="34"/>
  <c r="DQ90" i="34"/>
  <c r="DO90" i="34"/>
  <c r="EA90" i="34" s="1"/>
  <c r="EB90" i="34" s="1"/>
  <c r="DZ94" i="34"/>
  <c r="DX94" i="34"/>
  <c r="DV94" i="34"/>
  <c r="DT94" i="34"/>
  <c r="DR94" i="34"/>
  <c r="DP94" i="34"/>
  <c r="DY94" i="34"/>
  <c r="DW94" i="34"/>
  <c r="DU94" i="34"/>
  <c r="DS94" i="34"/>
  <c r="DQ94" i="34"/>
  <c r="DO94" i="34"/>
  <c r="EA94" i="34" s="1"/>
  <c r="EB94" i="34" s="1"/>
  <c r="DZ98" i="34"/>
  <c r="DX98" i="34"/>
  <c r="DV98" i="34"/>
  <c r="DT98" i="34"/>
  <c r="DR98" i="34"/>
  <c r="DP98" i="34"/>
  <c r="DY98" i="34"/>
  <c r="DW98" i="34"/>
  <c r="DU98" i="34"/>
  <c r="DS98" i="34"/>
  <c r="DQ98" i="34"/>
  <c r="DO98" i="34"/>
  <c r="EA98" i="34" s="1"/>
  <c r="EB98" i="34" s="1"/>
  <c r="DY102" i="34"/>
  <c r="DW102" i="34"/>
  <c r="DU102" i="34"/>
  <c r="DS102" i="34"/>
  <c r="DQ102" i="34"/>
  <c r="DO102" i="34"/>
  <c r="EA102" i="34" s="1"/>
  <c r="EB102" i="34" s="1"/>
  <c r="DZ102" i="34"/>
  <c r="DX102" i="34"/>
  <c r="DV102" i="34"/>
  <c r="DT102" i="34"/>
  <c r="DR102" i="34"/>
  <c r="DP102" i="34"/>
  <c r="DY106" i="34"/>
  <c r="DW106" i="34"/>
  <c r="DU106" i="34"/>
  <c r="DS106" i="34"/>
  <c r="DQ106" i="34"/>
  <c r="DO106" i="34"/>
  <c r="EA106" i="34" s="1"/>
  <c r="EB106" i="34" s="1"/>
  <c r="DZ106" i="34"/>
  <c r="DX106" i="34"/>
  <c r="DV106" i="34"/>
  <c r="DT106" i="34"/>
  <c r="DR106" i="34"/>
  <c r="DP106" i="34"/>
  <c r="DZ99" i="34"/>
  <c r="DX99" i="34"/>
  <c r="DV99" i="34"/>
  <c r="DT99" i="34"/>
  <c r="DR99" i="34"/>
  <c r="DP99" i="34"/>
  <c r="DY99" i="34"/>
  <c r="DW99" i="34"/>
  <c r="DU99" i="34"/>
  <c r="DS99" i="34"/>
  <c r="DQ99" i="34"/>
  <c r="DO99" i="34"/>
  <c r="EA99" i="34" s="1"/>
  <c r="EB99" i="34" s="1"/>
  <c r="DZ103" i="34"/>
  <c r="DX103" i="34"/>
  <c r="DV103" i="34"/>
  <c r="DT103" i="34"/>
  <c r="DR103" i="34"/>
  <c r="DP103" i="34"/>
  <c r="DY103" i="34"/>
  <c r="DW103" i="34"/>
  <c r="DU103" i="34"/>
  <c r="DS103" i="34"/>
  <c r="DQ103" i="34"/>
  <c r="DO103" i="34"/>
  <c r="EA103" i="34" s="1"/>
  <c r="EB103" i="34" s="1"/>
  <c r="DZ107" i="34"/>
  <c r="DX107" i="34"/>
  <c r="DV107" i="34"/>
  <c r="DT107" i="34"/>
  <c r="DR107" i="34"/>
  <c r="DP107" i="34"/>
  <c r="DY107" i="34"/>
  <c r="DW107" i="34"/>
  <c r="DU107" i="34"/>
  <c r="DS107" i="34"/>
  <c r="DQ107" i="34"/>
  <c r="DO107" i="34"/>
  <c r="EA107" i="34" s="1"/>
  <c r="EB107" i="34" s="1"/>
  <c r="DY111" i="34"/>
  <c r="DW111" i="34"/>
  <c r="DU111" i="34"/>
  <c r="DS111" i="34"/>
  <c r="DQ111" i="34"/>
  <c r="DO111" i="34"/>
  <c r="EA111" i="34" s="1"/>
  <c r="EB111" i="34" s="1"/>
  <c r="DZ111" i="34"/>
  <c r="DX111" i="34"/>
  <c r="DV111" i="34"/>
  <c r="DT111" i="34"/>
  <c r="DR111" i="34"/>
  <c r="DP111" i="34"/>
  <c r="DY115" i="34"/>
  <c r="DW115" i="34"/>
  <c r="DU115" i="34"/>
  <c r="DS115" i="34"/>
  <c r="DQ115" i="34"/>
  <c r="DO115" i="34"/>
  <c r="EA115" i="34" s="1"/>
  <c r="EB115" i="34" s="1"/>
  <c r="DZ115" i="34"/>
  <c r="DX115" i="34"/>
  <c r="DV115" i="34"/>
  <c r="DT115" i="34"/>
  <c r="DR115" i="34"/>
  <c r="DP115" i="34"/>
  <c r="DY119" i="34"/>
  <c r="DW119" i="34"/>
  <c r="DU119" i="34"/>
  <c r="DS119" i="34"/>
  <c r="DQ119" i="34"/>
  <c r="DO119" i="34"/>
  <c r="EA119" i="34" s="1"/>
  <c r="EB119" i="34" s="1"/>
  <c r="DZ119" i="34"/>
  <c r="DX119" i="34"/>
  <c r="DV119" i="34"/>
  <c r="DT119" i="34"/>
  <c r="DR119" i="34"/>
  <c r="DP119" i="34"/>
  <c r="DZ112" i="34"/>
  <c r="DX112" i="34"/>
  <c r="DV112" i="34"/>
  <c r="DT112" i="34"/>
  <c r="DR112" i="34"/>
  <c r="DP112" i="34"/>
  <c r="DY112" i="34"/>
  <c r="DW112" i="34"/>
  <c r="DU112" i="34"/>
  <c r="DS112" i="34"/>
  <c r="DQ112" i="34"/>
  <c r="DO112" i="34"/>
  <c r="EA112" i="34" s="1"/>
  <c r="EB112" i="34" s="1"/>
  <c r="DZ116" i="34"/>
  <c r="DX116" i="34"/>
  <c r="DV116" i="34"/>
  <c r="DT116" i="34"/>
  <c r="DR116" i="34"/>
  <c r="DP116" i="34"/>
  <c r="DY116" i="34"/>
  <c r="DW116" i="34"/>
  <c r="DU116" i="34"/>
  <c r="DS116" i="34"/>
  <c r="DQ116" i="34"/>
  <c r="DO116" i="34"/>
  <c r="EA116" i="34" s="1"/>
  <c r="EB116" i="34" s="1"/>
  <c r="DY120" i="34"/>
  <c r="DW120" i="34"/>
  <c r="DU120" i="34"/>
  <c r="DS120" i="34"/>
  <c r="DQ120" i="34"/>
  <c r="DO120" i="34"/>
  <c r="EA120" i="34" s="1"/>
  <c r="EB120" i="34" s="1"/>
  <c r="DZ120" i="34"/>
  <c r="DX120" i="34"/>
  <c r="DV120" i="34"/>
  <c r="DT120" i="34"/>
  <c r="DR120" i="34"/>
  <c r="DP120" i="34"/>
  <c r="DY124" i="34"/>
  <c r="DW124" i="34"/>
  <c r="DU124" i="34"/>
  <c r="DS124" i="34"/>
  <c r="DQ124" i="34"/>
  <c r="DO124" i="34"/>
  <c r="EA124" i="34" s="1"/>
  <c r="EB124" i="34" s="1"/>
  <c r="DZ124" i="34"/>
  <c r="DX124" i="34"/>
  <c r="DV124" i="34"/>
  <c r="DT124" i="34"/>
  <c r="DR124" i="34"/>
  <c r="DP124" i="34"/>
  <c r="DZ123" i="34"/>
  <c r="DX123" i="34"/>
  <c r="DV123" i="34"/>
  <c r="DT123" i="34"/>
  <c r="DR123" i="34"/>
  <c r="DP123" i="34"/>
  <c r="DY123" i="34"/>
  <c r="DW123" i="34"/>
  <c r="DU123" i="34"/>
  <c r="DS123" i="34"/>
  <c r="DQ123" i="34"/>
  <c r="DO123" i="34"/>
  <c r="EA123" i="34" s="1"/>
  <c r="EB123" i="34" s="1"/>
  <c r="DY127" i="34"/>
  <c r="DW127" i="34"/>
  <c r="DU127" i="34"/>
  <c r="DS127" i="34"/>
  <c r="DQ127" i="34"/>
  <c r="DO127" i="34"/>
  <c r="EA127" i="34" s="1"/>
  <c r="EB127" i="34" s="1"/>
  <c r="DZ127" i="34"/>
  <c r="DX127" i="34"/>
  <c r="DV127" i="34"/>
  <c r="DT127" i="34"/>
  <c r="DR127" i="34"/>
  <c r="DP127" i="34"/>
  <c r="DZ126" i="34"/>
  <c r="DX126" i="34"/>
  <c r="DV126" i="34"/>
  <c r="DT126" i="34"/>
  <c r="DR126" i="34"/>
  <c r="DP126" i="34"/>
  <c r="DY126" i="34"/>
  <c r="DW126" i="34"/>
  <c r="DU126" i="34"/>
  <c r="DS126" i="34"/>
  <c r="DQ126" i="34"/>
  <c r="DO126" i="34"/>
  <c r="EA126" i="34" s="1"/>
  <c r="EB126" i="34" s="1"/>
  <c r="DZ130" i="34"/>
  <c r="DX130" i="34"/>
  <c r="DV130" i="34"/>
  <c r="DT130" i="34"/>
  <c r="DR130" i="34"/>
  <c r="DP130" i="34"/>
  <c r="DY130" i="34"/>
  <c r="DW130" i="34"/>
  <c r="DU130" i="34"/>
  <c r="DS130" i="34"/>
  <c r="DQ130" i="34"/>
  <c r="DO130" i="34"/>
  <c r="EA130" i="34" s="1"/>
  <c r="EB130" i="34" s="1"/>
  <c r="DZ132" i="34"/>
  <c r="DX132" i="34"/>
  <c r="DV132" i="34"/>
  <c r="DT132" i="34"/>
  <c r="DR132" i="34"/>
  <c r="DP132" i="34"/>
  <c r="DY132" i="34"/>
  <c r="DW132" i="34"/>
  <c r="DU132" i="34"/>
  <c r="DS132" i="34"/>
  <c r="DQ132" i="34"/>
  <c r="DO132" i="34"/>
  <c r="EA132" i="34" s="1"/>
  <c r="EB132" i="34" s="1"/>
  <c r="DZ133" i="34"/>
  <c r="DX133" i="34"/>
  <c r="DV133" i="34"/>
  <c r="DT133" i="34"/>
  <c r="DR133" i="34"/>
  <c r="DP133" i="34"/>
  <c r="DY133" i="34"/>
  <c r="DU133" i="34"/>
  <c r="DQ133" i="34"/>
  <c r="DW133" i="34"/>
  <c r="DS133" i="34"/>
  <c r="DO133" i="34"/>
  <c r="EA133" i="34" s="1"/>
  <c r="EB133" i="34" s="1"/>
  <c r="DY136" i="34"/>
  <c r="DW136" i="34"/>
  <c r="DU136" i="34"/>
  <c r="DS136" i="34"/>
  <c r="DQ136" i="34"/>
  <c r="DO136" i="34"/>
  <c r="EA136" i="34" s="1"/>
  <c r="EB136" i="34" s="1"/>
  <c r="DZ136" i="34"/>
  <c r="DX136" i="34"/>
  <c r="DV136" i="34"/>
  <c r="DT136" i="34"/>
  <c r="DR136" i="34"/>
  <c r="DP136" i="34"/>
  <c r="DZ138" i="34"/>
  <c r="DX138" i="34"/>
  <c r="DV138" i="34"/>
  <c r="DT138" i="34"/>
  <c r="DR138" i="34"/>
  <c r="DP138" i="34"/>
  <c r="DY138" i="34"/>
  <c r="DW138" i="34"/>
  <c r="DU138" i="34"/>
  <c r="DS138" i="34"/>
  <c r="DQ138" i="34"/>
  <c r="DO138" i="34"/>
  <c r="EA138" i="34" s="1"/>
  <c r="EB138" i="34" s="1"/>
  <c r="DK59" i="34" l="1"/>
  <c r="DI59" i="34"/>
  <c r="DG59" i="34"/>
  <c r="DE59" i="34"/>
  <c r="DC59" i="34"/>
  <c r="DA59" i="34"/>
  <c r="DL59" i="34"/>
  <c r="DJ59" i="34"/>
  <c r="DH59" i="34"/>
  <c r="DF59" i="34"/>
  <c r="DD59" i="34"/>
  <c r="DB59" i="34"/>
  <c r="CM8" i="34"/>
  <c r="CY10" i="34"/>
  <c r="DK55" i="34"/>
  <c r="DI55" i="34"/>
  <c r="DG55" i="34"/>
  <c r="DE55" i="34"/>
  <c r="DC55" i="34"/>
  <c r="DA55" i="34"/>
  <c r="DL55" i="34"/>
  <c r="DJ55" i="34"/>
  <c r="DH55" i="34"/>
  <c r="DF55" i="34"/>
  <c r="DD55" i="34"/>
  <c r="DB55" i="34"/>
  <c r="DM55" i="34" l="1"/>
  <c r="DN55" i="34" s="1"/>
  <c r="CY8" i="34"/>
  <c r="CZ10" i="34"/>
  <c r="DM59" i="34"/>
  <c r="DN59" i="34" s="1"/>
  <c r="DY59" i="34" l="1"/>
  <c r="DW59" i="34"/>
  <c r="DU59" i="34"/>
  <c r="DS59" i="34"/>
  <c r="DQ59" i="34"/>
  <c r="DO59" i="34"/>
  <c r="DZ59" i="34"/>
  <c r="DX59" i="34"/>
  <c r="DV59" i="34"/>
  <c r="DT59" i="34"/>
  <c r="DR59" i="34"/>
  <c r="DP59" i="34"/>
  <c r="DL10" i="34"/>
  <c r="DL8" i="34" s="1"/>
  <c r="DJ10" i="34"/>
  <c r="DJ8" i="34" s="1"/>
  <c r="DH10" i="34"/>
  <c r="DH8" i="34" s="1"/>
  <c r="DF10" i="34"/>
  <c r="DF8" i="34" s="1"/>
  <c r="DD10" i="34"/>
  <c r="DD8" i="34" s="1"/>
  <c r="DB10" i="34"/>
  <c r="DB8" i="34" s="1"/>
  <c r="CZ2" i="34"/>
  <c r="DK10" i="34"/>
  <c r="DK8" i="34" s="1"/>
  <c r="DI10" i="34"/>
  <c r="DI8" i="34" s="1"/>
  <c r="DG10" i="34"/>
  <c r="DG8" i="34" s="1"/>
  <c r="DE10" i="34"/>
  <c r="DE8" i="34" s="1"/>
  <c r="DC10" i="34"/>
  <c r="DC8" i="34" s="1"/>
  <c r="DA10" i="34"/>
  <c r="CZ8" i="34"/>
  <c r="DY55" i="34"/>
  <c r="DW55" i="34"/>
  <c r="DU55" i="34"/>
  <c r="DS55" i="34"/>
  <c r="DQ55" i="34"/>
  <c r="DO55" i="34"/>
  <c r="DZ55" i="34"/>
  <c r="DX55" i="34"/>
  <c r="DV55" i="34"/>
  <c r="DT55" i="34"/>
  <c r="DR55" i="34"/>
  <c r="DP55" i="34"/>
  <c r="EA55" i="34" l="1"/>
  <c r="EB55" i="34" s="1"/>
  <c r="EA59" i="34"/>
  <c r="EB59" i="34" s="1"/>
  <c r="DA8" i="34"/>
  <c r="DM10" i="34"/>
  <c r="DM8" i="34" l="1"/>
  <c r="DN10" i="34"/>
  <c r="DZ10" i="34" l="1"/>
  <c r="DZ8" i="34" s="1"/>
  <c r="DX10" i="34"/>
  <c r="DX8" i="34" s="1"/>
  <c r="DV10" i="34"/>
  <c r="DV8" i="34" s="1"/>
  <c r="DT10" i="34"/>
  <c r="DT8" i="34" s="1"/>
  <c r="DR10" i="34"/>
  <c r="DR8" i="34" s="1"/>
  <c r="DP10" i="34"/>
  <c r="DP8" i="34" s="1"/>
  <c r="DY10" i="34"/>
  <c r="DY8" i="34" s="1"/>
  <c r="DW10" i="34"/>
  <c r="DW8" i="34" s="1"/>
  <c r="DU10" i="34"/>
  <c r="DU8" i="34" s="1"/>
  <c r="DS10" i="34"/>
  <c r="DS8" i="34" s="1"/>
  <c r="DQ10" i="34"/>
  <c r="DQ8" i="34" s="1"/>
  <c r="DO10" i="34"/>
  <c r="DN8" i="34"/>
  <c r="DN2" i="34"/>
  <c r="DO8" i="34" l="1"/>
  <c r="EA10" i="34"/>
  <c r="EA8" i="34" l="1"/>
  <c r="EB10" i="34"/>
  <c r="EB2" i="34" l="1"/>
  <c r="EB8" i="34"/>
  <c r="H23" i="22" l="1"/>
  <c r="G23" i="22"/>
  <c r="I13" i="11" l="1"/>
  <c r="B18" i="6" s="1"/>
  <c r="I14" i="11"/>
  <c r="G22" i="22" l="1"/>
  <c r="H22" i="22"/>
  <c r="D3" i="33" l="1"/>
  <c r="G3" i="33" l="1"/>
  <c r="G1" i="33"/>
  <c r="D13" i="24" s="1"/>
  <c r="G21" i="22"/>
  <c r="H21" i="22"/>
  <c r="H20" i="22"/>
  <c r="H19" i="22"/>
  <c r="G20" i="22"/>
  <c r="G19" i="22"/>
  <c r="G18" i="22"/>
  <c r="H18" i="22"/>
  <c r="C17" i="11" l="1"/>
  <c r="B17" i="11"/>
  <c r="E58" i="32" l="1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5" i="32"/>
  <c r="E24" i="32"/>
  <c r="E23" i="32"/>
  <c r="E22" i="32"/>
  <c r="E21" i="32"/>
  <c r="E20" i="32"/>
  <c r="E19" i="32"/>
  <c r="E18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  <c r="D9" i="24" s="1"/>
  <c r="B13" i="11" l="1"/>
  <c r="B10" i="6" s="1"/>
  <c r="C18" i="11" l="1"/>
  <c r="J3" i="29" l="1"/>
  <c r="F2" i="31"/>
  <c r="D19" i="24" s="1"/>
  <c r="H5" i="31"/>
  <c r="H4" i="31" s="1"/>
  <c r="I17" i="11" l="1"/>
  <c r="F11" i="27" l="1"/>
  <c r="H16" i="22" l="1"/>
  <c r="G16" i="22"/>
  <c r="G17" i="22" l="1"/>
  <c r="H17" i="22"/>
  <c r="H12" i="22" l="1"/>
  <c r="D25" i="24" l="1"/>
  <c r="H6" i="22" l="1"/>
  <c r="H7" i="11" s="1"/>
  <c r="H5" i="22" l="1"/>
  <c r="G7" i="11" s="1"/>
  <c r="F7" i="22" l="1"/>
  <c r="D18" i="26"/>
  <c r="J2" i="31"/>
  <c r="I12" i="24" s="1"/>
  <c r="I2" i="31"/>
  <c r="D18" i="24" s="1"/>
  <c r="G4" i="29"/>
  <c r="G3" i="29" s="1"/>
  <c r="D17" i="26" l="1"/>
  <c r="G5" i="31"/>
  <c r="G4" i="31" s="1"/>
  <c r="G2" i="31" s="1"/>
  <c r="I14" i="24" s="1"/>
  <c r="F5" i="31"/>
  <c r="F4" i="31" s="1"/>
  <c r="E5" i="31"/>
  <c r="E4" i="31" s="1"/>
  <c r="D20" i="24" s="1"/>
  <c r="J4" i="31"/>
  <c r="I4" i="31"/>
  <c r="K4" i="30"/>
  <c r="J4" i="30"/>
  <c r="I4" i="30"/>
  <c r="I17" i="24" s="1"/>
  <c r="H4" i="30"/>
  <c r="D20" i="26" s="1"/>
  <c r="H4" i="29"/>
  <c r="H3" i="29" s="1"/>
  <c r="G1" i="29" s="1"/>
  <c r="I16" i="24" s="1"/>
  <c r="E4" i="29"/>
  <c r="E3" i="29" s="1"/>
  <c r="C3" i="28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AU50" i="27"/>
  <c r="F50" i="27"/>
  <c r="F49" i="27"/>
  <c r="F48" i="27"/>
  <c r="F47" i="27"/>
  <c r="AU46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0" i="27"/>
  <c r="EB9" i="27"/>
  <c r="EA9" i="27"/>
  <c r="DN9" i="27"/>
  <c r="DM9" i="27"/>
  <c r="CZ9" i="27"/>
  <c r="CY9" i="27"/>
  <c r="CL9" i="27"/>
  <c r="CK9" i="27"/>
  <c r="BX9" i="27"/>
  <c r="BW9" i="27"/>
  <c r="BJ9" i="27"/>
  <c r="BI9" i="27"/>
  <c r="AV9" i="27"/>
  <c r="AU9" i="27"/>
  <c r="AH9" i="27"/>
  <c r="AG9" i="27"/>
  <c r="T9" i="27"/>
  <c r="S9" i="27"/>
  <c r="G9" i="27"/>
  <c r="D8" i="27"/>
  <c r="D7" i="24" s="1"/>
  <c r="EB6" i="27"/>
  <c r="DN6" i="27"/>
  <c r="CZ6" i="27"/>
  <c r="CL6" i="27"/>
  <c r="BX6" i="27"/>
  <c r="BJ6" i="27"/>
  <c r="AV6" i="27"/>
  <c r="AH6" i="27"/>
  <c r="T6" i="27"/>
  <c r="EB2" i="27"/>
  <c r="DN2" i="27"/>
  <c r="CZ2" i="27"/>
  <c r="CL2" i="27"/>
  <c r="BX2" i="27"/>
  <c r="BJ2" i="27"/>
  <c r="AV2" i="27"/>
  <c r="AH2" i="27"/>
  <c r="T2" i="27"/>
  <c r="G25" i="27" l="1"/>
  <c r="H9" i="27"/>
  <c r="H11" i="27" s="1"/>
  <c r="G10" i="27"/>
  <c r="I3" i="28"/>
  <c r="I1" i="28"/>
  <c r="D12" i="24" s="1"/>
  <c r="I1" i="29"/>
  <c r="D16" i="24" s="1"/>
  <c r="I3" i="29"/>
  <c r="J1" i="29"/>
  <c r="I15" i="24" s="1"/>
  <c r="D3" i="28"/>
  <c r="I9" i="27"/>
  <c r="I12" i="27" s="1"/>
  <c r="G14" i="27"/>
  <c r="H15" i="27"/>
  <c r="G18" i="27"/>
  <c r="H19" i="27"/>
  <c r="G22" i="27"/>
  <c r="H23" i="27"/>
  <c r="I24" i="27"/>
  <c r="G26" i="27"/>
  <c r="G13" i="27"/>
  <c r="H14" i="27"/>
  <c r="G17" i="27"/>
  <c r="H18" i="27"/>
  <c r="G21" i="27"/>
  <c r="H22" i="27"/>
  <c r="H26" i="27"/>
  <c r="G87" i="27"/>
  <c r="G86" i="27"/>
  <c r="G82" i="27"/>
  <c r="G80" i="27"/>
  <c r="G78" i="27"/>
  <c r="G70" i="27"/>
  <c r="G75" i="27"/>
  <c r="G73" i="27"/>
  <c r="G68" i="27"/>
  <c r="G66" i="27"/>
  <c r="G64" i="27"/>
  <c r="G62" i="27"/>
  <c r="G60" i="27"/>
  <c r="G58" i="27"/>
  <c r="G57" i="27"/>
  <c r="G55" i="27"/>
  <c r="G53" i="27"/>
  <c r="G47" i="27"/>
  <c r="G45" i="27"/>
  <c r="G49" i="27"/>
  <c r="G43" i="27"/>
  <c r="G34" i="27"/>
  <c r="G30" i="27"/>
  <c r="G32" i="27"/>
  <c r="H10" i="27"/>
  <c r="G12" i="27"/>
  <c r="H13" i="27"/>
  <c r="I14" i="27"/>
  <c r="G16" i="27"/>
  <c r="H17" i="27"/>
  <c r="I18" i="27"/>
  <c r="G20" i="27"/>
  <c r="H21" i="27"/>
  <c r="I22" i="27"/>
  <c r="G24" i="27"/>
  <c r="H25" i="27"/>
  <c r="I26" i="27"/>
  <c r="H88" i="27"/>
  <c r="H86" i="27"/>
  <c r="H84" i="27"/>
  <c r="H73" i="27"/>
  <c r="H79" i="27"/>
  <c r="H77" i="27"/>
  <c r="H69" i="27"/>
  <c r="H58" i="27"/>
  <c r="H56" i="27"/>
  <c r="H54" i="27"/>
  <c r="H52" i="27"/>
  <c r="H47" i="27"/>
  <c r="H45" i="27"/>
  <c r="H48" i="27"/>
  <c r="H46" i="27"/>
  <c r="H42" i="27"/>
  <c r="H30" i="27"/>
  <c r="H38" i="27"/>
  <c r="H35" i="27"/>
  <c r="H31" i="27"/>
  <c r="H27" i="27"/>
  <c r="G11" i="27"/>
  <c r="H12" i="27"/>
  <c r="G15" i="27"/>
  <c r="H16" i="27"/>
  <c r="G19" i="27"/>
  <c r="H20" i="27"/>
  <c r="G23" i="27"/>
  <c r="H24" i="27"/>
  <c r="H29" i="27"/>
  <c r="H33" i="27"/>
  <c r="G36" i="27"/>
  <c r="H37" i="27"/>
  <c r="H39" i="27"/>
  <c r="G40" i="27"/>
  <c r="H41" i="27"/>
  <c r="G27" i="27"/>
  <c r="I29" i="27"/>
  <c r="G31" i="27"/>
  <c r="H32" i="27"/>
  <c r="I33" i="27"/>
  <c r="G35" i="27"/>
  <c r="H36" i="27"/>
  <c r="I37" i="27"/>
  <c r="G38" i="27"/>
  <c r="I39" i="27"/>
  <c r="H40" i="27"/>
  <c r="I41" i="27"/>
  <c r="I40" i="27"/>
  <c r="I27" i="27"/>
  <c r="G29" i="27"/>
  <c r="I31" i="27"/>
  <c r="G33" i="27"/>
  <c r="H34" i="27"/>
  <c r="I35" i="27"/>
  <c r="G37" i="27"/>
  <c r="I38" i="27"/>
  <c r="G39" i="27"/>
  <c r="G41" i="27"/>
  <c r="H44" i="27"/>
  <c r="H50" i="27"/>
  <c r="G42" i="27"/>
  <c r="H43" i="27"/>
  <c r="I44" i="27"/>
  <c r="G46" i="27"/>
  <c r="G48" i="27"/>
  <c r="H49" i="27"/>
  <c r="I50" i="27"/>
  <c r="I42" i="27"/>
  <c r="G44" i="27"/>
  <c r="I46" i="27"/>
  <c r="I48" i="27"/>
  <c r="G50" i="27"/>
  <c r="I51" i="27"/>
  <c r="H51" i="27"/>
  <c r="G51" i="27"/>
  <c r="I59" i="27"/>
  <c r="G59" i="27"/>
  <c r="H59" i="27"/>
  <c r="G61" i="27"/>
  <c r="I61" i="27"/>
  <c r="H61" i="27"/>
  <c r="I63" i="27"/>
  <c r="G63" i="27"/>
  <c r="H63" i="27"/>
  <c r="G52" i="27"/>
  <c r="I52" i="27"/>
  <c r="I54" i="27"/>
  <c r="G54" i="27"/>
  <c r="G56" i="27"/>
  <c r="I56" i="27"/>
  <c r="H55" i="27"/>
  <c r="H65" i="27"/>
  <c r="H67" i="27"/>
  <c r="H53" i="27"/>
  <c r="H57" i="27"/>
  <c r="G65" i="27"/>
  <c r="I65" i="27"/>
  <c r="I67" i="27"/>
  <c r="G67" i="27"/>
  <c r="H60" i="27"/>
  <c r="H64" i="27"/>
  <c r="H68" i="27"/>
  <c r="H62" i="27"/>
  <c r="H66" i="27"/>
  <c r="I69" i="27"/>
  <c r="G71" i="27"/>
  <c r="H72" i="27"/>
  <c r="H74" i="27"/>
  <c r="H76" i="27"/>
  <c r="H71" i="27"/>
  <c r="G69" i="27"/>
  <c r="H70" i="27"/>
  <c r="I71" i="27"/>
  <c r="G72" i="27"/>
  <c r="I72" i="27"/>
  <c r="I74" i="27"/>
  <c r="G74" i="27"/>
  <c r="G76" i="27"/>
  <c r="I76" i="27"/>
  <c r="H75" i="27"/>
  <c r="I77" i="27"/>
  <c r="G77" i="27"/>
  <c r="G79" i="27"/>
  <c r="I79" i="27"/>
  <c r="I85" i="27"/>
  <c r="H85" i="27"/>
  <c r="G85" i="27"/>
  <c r="I81" i="27"/>
  <c r="G81" i="27"/>
  <c r="H81" i="27"/>
  <c r="G83" i="27"/>
  <c r="I83" i="27"/>
  <c r="H83" i="27"/>
  <c r="H78" i="27"/>
  <c r="H82" i="27"/>
  <c r="H80" i="27"/>
  <c r="G84" i="27"/>
  <c r="I86" i="27"/>
  <c r="G88" i="27"/>
  <c r="I88" i="27"/>
  <c r="H87" i="27"/>
  <c r="A1" i="26"/>
  <c r="I13" i="26"/>
  <c r="I15" i="26"/>
  <c r="I16" i="26"/>
  <c r="I17" i="26"/>
  <c r="I18" i="26"/>
  <c r="I12" i="26"/>
  <c r="D25" i="26"/>
  <c r="D26" i="26"/>
  <c r="D24" i="26"/>
  <c r="D13" i="26"/>
  <c r="D8" i="26"/>
  <c r="D9" i="26"/>
  <c r="D10" i="26"/>
  <c r="G13" i="26"/>
  <c r="H13" i="26"/>
  <c r="G14" i="26"/>
  <c r="H14" i="26"/>
  <c r="G15" i="26"/>
  <c r="H15" i="26"/>
  <c r="G16" i="26"/>
  <c r="H16" i="26"/>
  <c r="G17" i="26"/>
  <c r="H17" i="26"/>
  <c r="G18" i="26"/>
  <c r="H18" i="26"/>
  <c r="H12" i="26"/>
  <c r="G12" i="26"/>
  <c r="G8" i="26"/>
  <c r="H8" i="26"/>
  <c r="G9" i="26"/>
  <c r="H9" i="26"/>
  <c r="G10" i="26"/>
  <c r="H10" i="26"/>
  <c r="H7" i="26"/>
  <c r="G7" i="26"/>
  <c r="B25" i="26"/>
  <c r="C25" i="26"/>
  <c r="B26" i="26"/>
  <c r="C26" i="26"/>
  <c r="C24" i="26"/>
  <c r="B24" i="26"/>
  <c r="B16" i="26"/>
  <c r="C16" i="26"/>
  <c r="B17" i="26"/>
  <c r="C17" i="26"/>
  <c r="B18" i="26"/>
  <c r="C18" i="26"/>
  <c r="B19" i="26"/>
  <c r="C19" i="26"/>
  <c r="B20" i="26"/>
  <c r="C20" i="26"/>
  <c r="C15" i="26"/>
  <c r="B15" i="26"/>
  <c r="B13" i="26"/>
  <c r="C13" i="26"/>
  <c r="C12" i="26"/>
  <c r="B12" i="26"/>
  <c r="B8" i="26"/>
  <c r="C8" i="26"/>
  <c r="B9" i="26"/>
  <c r="C9" i="26"/>
  <c r="B10" i="26"/>
  <c r="C10" i="26"/>
  <c r="C7" i="26"/>
  <c r="B7" i="26"/>
  <c r="H10" i="22"/>
  <c r="E10" i="22"/>
  <c r="D10" i="22"/>
  <c r="F1" i="29" l="1"/>
  <c r="D17" i="24" s="1"/>
  <c r="D16" i="26" s="1"/>
  <c r="F4" i="29"/>
  <c r="F3" i="29" s="1"/>
  <c r="I20" i="27"/>
  <c r="I16" i="27"/>
  <c r="I11" i="24"/>
  <c r="D15" i="26"/>
  <c r="D12" i="26"/>
  <c r="D11" i="26" s="1"/>
  <c r="D23" i="26"/>
  <c r="H8" i="27"/>
  <c r="G8" i="27"/>
  <c r="I87" i="27"/>
  <c r="I82" i="27"/>
  <c r="I80" i="27"/>
  <c r="I78" i="27"/>
  <c r="I84" i="27"/>
  <c r="I70" i="27"/>
  <c r="I75" i="27"/>
  <c r="I73" i="27"/>
  <c r="I68" i="27"/>
  <c r="I66" i="27"/>
  <c r="I64" i="27"/>
  <c r="I62" i="27"/>
  <c r="I60" i="27"/>
  <c r="I58" i="27"/>
  <c r="I57" i="27"/>
  <c r="I55" i="27"/>
  <c r="I53" i="27"/>
  <c r="I49" i="27"/>
  <c r="I43" i="27"/>
  <c r="I47" i="27"/>
  <c r="I45" i="27"/>
  <c r="I36" i="27"/>
  <c r="I32" i="27"/>
  <c r="I34" i="27"/>
  <c r="I30" i="27"/>
  <c r="I25" i="27"/>
  <c r="I21" i="27"/>
  <c r="I17" i="27"/>
  <c r="I13" i="27"/>
  <c r="I10" i="27"/>
  <c r="I23" i="27"/>
  <c r="I19" i="27"/>
  <c r="I15" i="27"/>
  <c r="I11" i="27"/>
  <c r="J9" i="27"/>
  <c r="A1" i="24"/>
  <c r="G12" i="22"/>
  <c r="G13" i="22"/>
  <c r="G14" i="22"/>
  <c r="G15" i="22"/>
  <c r="G11" i="22"/>
  <c r="A1" i="22"/>
  <c r="I14" i="26" l="1"/>
  <c r="I11" i="26" s="1"/>
  <c r="I8" i="27"/>
  <c r="J88" i="27"/>
  <c r="J83" i="27"/>
  <c r="J81" i="27"/>
  <c r="J79" i="27"/>
  <c r="J77" i="27"/>
  <c r="J63" i="27"/>
  <c r="J61" i="27"/>
  <c r="J59" i="27"/>
  <c r="J51" i="27"/>
  <c r="J11" i="27"/>
  <c r="K9" i="27"/>
  <c r="J12" i="27"/>
  <c r="J31" i="27"/>
  <c r="J30" i="27"/>
  <c r="J34" i="27"/>
  <c r="J42" i="27"/>
  <c r="J46" i="27"/>
  <c r="J44" i="27"/>
  <c r="J50" i="27"/>
  <c r="J16" i="27"/>
  <c r="J15" i="27"/>
  <c r="J23" i="27"/>
  <c r="J18" i="27"/>
  <c r="J26" i="27"/>
  <c r="J27" i="27"/>
  <c r="J37" i="27"/>
  <c r="J39" i="27"/>
  <c r="J40" i="27"/>
  <c r="J45" i="27"/>
  <c r="J49" i="27"/>
  <c r="J20" i="27"/>
  <c r="J14" i="27"/>
  <c r="J22" i="27"/>
  <c r="J35" i="27"/>
  <c r="J38" i="27"/>
  <c r="J29" i="27"/>
  <c r="J41" i="27"/>
  <c r="J32" i="27"/>
  <c r="J36" i="27"/>
  <c r="J47" i="27"/>
  <c r="J43" i="27"/>
  <c r="J10" i="27"/>
  <c r="J13" i="27"/>
  <c r="J17" i="27"/>
  <c r="J21" i="27"/>
  <c r="J25" i="27"/>
  <c r="J24" i="27"/>
  <c r="J19" i="27"/>
  <c r="J33" i="27"/>
  <c r="J48" i="27"/>
  <c r="J56" i="27"/>
  <c r="J58" i="27"/>
  <c r="J62" i="27"/>
  <c r="J66" i="27"/>
  <c r="J74" i="27"/>
  <c r="J85" i="27"/>
  <c r="J84" i="27"/>
  <c r="J67" i="27"/>
  <c r="J60" i="27"/>
  <c r="J68" i="27"/>
  <c r="J69" i="27"/>
  <c r="J82" i="27"/>
  <c r="J52" i="27"/>
  <c r="J55" i="27"/>
  <c r="J72" i="27"/>
  <c r="J76" i="27"/>
  <c r="J71" i="27"/>
  <c r="J73" i="27"/>
  <c r="J80" i="27"/>
  <c r="J86" i="27"/>
  <c r="J54" i="27"/>
  <c r="J53" i="27"/>
  <c r="J57" i="27"/>
  <c r="J65" i="27"/>
  <c r="J64" i="27"/>
  <c r="J70" i="27"/>
  <c r="J75" i="27"/>
  <c r="J78" i="27"/>
  <c r="J87" i="27"/>
  <c r="K87" i="27" l="1"/>
  <c r="K86" i="27"/>
  <c r="K82" i="27"/>
  <c r="K80" i="27"/>
  <c r="K78" i="27"/>
  <c r="K75" i="27"/>
  <c r="K73" i="27"/>
  <c r="K70" i="27"/>
  <c r="K68" i="27"/>
  <c r="K66" i="27"/>
  <c r="K64" i="27"/>
  <c r="K62" i="27"/>
  <c r="K60" i="27"/>
  <c r="K58" i="27"/>
  <c r="K57" i="27"/>
  <c r="K55" i="27"/>
  <c r="K53" i="27"/>
  <c r="K47" i="27"/>
  <c r="K45" i="27"/>
  <c r="K49" i="27"/>
  <c r="K43" i="27"/>
  <c r="K34" i="27"/>
  <c r="K30" i="27"/>
  <c r="K32" i="27"/>
  <c r="K23" i="27"/>
  <c r="K19" i="27"/>
  <c r="K15" i="27"/>
  <c r="K11" i="27"/>
  <c r="L9" i="27"/>
  <c r="K25" i="27"/>
  <c r="K21" i="27"/>
  <c r="K17" i="27"/>
  <c r="K13" i="27"/>
  <c r="K10" i="27"/>
  <c r="K14" i="27"/>
  <c r="K18" i="27"/>
  <c r="K22" i="27"/>
  <c r="K26" i="27"/>
  <c r="K16" i="27"/>
  <c r="K24" i="27"/>
  <c r="K40" i="27"/>
  <c r="K27" i="27"/>
  <c r="K31" i="27"/>
  <c r="K35" i="27"/>
  <c r="K38" i="27"/>
  <c r="K29" i="27"/>
  <c r="K41" i="27"/>
  <c r="K50" i="27"/>
  <c r="K33" i="27"/>
  <c r="K37" i="27"/>
  <c r="K39" i="27"/>
  <c r="K42" i="27"/>
  <c r="K46" i="27"/>
  <c r="K44" i="27"/>
  <c r="K12" i="27"/>
  <c r="K20" i="27"/>
  <c r="K36" i="27"/>
  <c r="K48" i="27"/>
  <c r="K59" i="27"/>
  <c r="K61" i="27"/>
  <c r="K63" i="27"/>
  <c r="K56" i="27"/>
  <c r="K67" i="27"/>
  <c r="K71" i="27"/>
  <c r="K72" i="27"/>
  <c r="K77" i="27"/>
  <c r="K51" i="27"/>
  <c r="K54" i="27"/>
  <c r="K69" i="27"/>
  <c r="K81" i="27"/>
  <c r="K83" i="27"/>
  <c r="K84" i="27"/>
  <c r="K52" i="27"/>
  <c r="K76" i="27"/>
  <c r="K85" i="27"/>
  <c r="K65" i="27"/>
  <c r="K74" i="27"/>
  <c r="K79" i="27"/>
  <c r="K88" i="27"/>
  <c r="J8" i="27"/>
  <c r="B8" i="25"/>
  <c r="I27" i="22" l="1"/>
  <c r="D29" i="11" s="1"/>
  <c r="I28" i="22"/>
  <c r="D30" i="11" s="1"/>
  <c r="I25" i="22"/>
  <c r="D27" i="11" s="1"/>
  <c r="I24" i="22"/>
  <c r="D26" i="11" s="1"/>
  <c r="I26" i="22"/>
  <c r="D28" i="11" s="1"/>
  <c r="I23" i="22"/>
  <c r="D25" i="11" s="1"/>
  <c r="I22" i="22"/>
  <c r="D24" i="11" s="1"/>
  <c r="I20" i="22"/>
  <c r="D22" i="11" s="1"/>
  <c r="I12" i="22"/>
  <c r="D14" i="11" s="1"/>
  <c r="I18" i="22"/>
  <c r="D20" i="11" s="1"/>
  <c r="I19" i="22"/>
  <c r="D21" i="11" s="1"/>
  <c r="I21" i="22"/>
  <c r="D23" i="11" s="1"/>
  <c r="I16" i="22"/>
  <c r="D18" i="11" s="1"/>
  <c r="I17" i="22"/>
  <c r="D19" i="11" s="1"/>
  <c r="B10" i="25"/>
  <c r="I11" i="22"/>
  <c r="D13" i="11" s="1"/>
  <c r="I15" i="22"/>
  <c r="D17" i="11" s="1"/>
  <c r="I14" i="22"/>
  <c r="D16" i="11" s="1"/>
  <c r="I13" i="22"/>
  <c r="D15" i="11" s="1"/>
  <c r="L88" i="27"/>
  <c r="L84" i="27"/>
  <c r="L86" i="27"/>
  <c r="L79" i="27"/>
  <c r="L77" i="27"/>
  <c r="L56" i="27"/>
  <c r="L54" i="27"/>
  <c r="L52" i="27"/>
  <c r="L47" i="27"/>
  <c r="L48" i="27"/>
  <c r="L46" i="27"/>
  <c r="L42" i="27"/>
  <c r="L30" i="27"/>
  <c r="L38" i="27"/>
  <c r="L35" i="27"/>
  <c r="L27" i="27"/>
  <c r="L20" i="27"/>
  <c r="L11" i="27"/>
  <c r="M9" i="27"/>
  <c r="L15" i="27"/>
  <c r="L19" i="27"/>
  <c r="L23" i="27"/>
  <c r="L22" i="27"/>
  <c r="L26" i="27"/>
  <c r="L10" i="27"/>
  <c r="L12" i="27"/>
  <c r="L45" i="27"/>
  <c r="L17" i="27"/>
  <c r="L25" i="27"/>
  <c r="L41" i="27"/>
  <c r="L32" i="27"/>
  <c r="L36" i="27"/>
  <c r="L40" i="27"/>
  <c r="L34" i="27"/>
  <c r="L50" i="27"/>
  <c r="L14" i="27"/>
  <c r="L43" i="27"/>
  <c r="L18" i="27"/>
  <c r="L13" i="27"/>
  <c r="L21" i="27"/>
  <c r="L16" i="27"/>
  <c r="L24" i="27"/>
  <c r="L29" i="27"/>
  <c r="L33" i="27"/>
  <c r="L37" i="27"/>
  <c r="L39" i="27"/>
  <c r="L31" i="27"/>
  <c r="L44" i="27"/>
  <c r="L49" i="27"/>
  <c r="L55" i="27"/>
  <c r="L53" i="27"/>
  <c r="L65" i="27"/>
  <c r="L71" i="27"/>
  <c r="L72" i="27"/>
  <c r="L69" i="27"/>
  <c r="L87" i="27"/>
  <c r="L51" i="27"/>
  <c r="L60" i="27"/>
  <c r="L64" i="27"/>
  <c r="L68" i="27"/>
  <c r="L62" i="27"/>
  <c r="L70" i="27"/>
  <c r="L74" i="27"/>
  <c r="L85" i="27"/>
  <c r="L73" i="27"/>
  <c r="L67" i="27"/>
  <c r="L57" i="27"/>
  <c r="L76" i="27"/>
  <c r="L81" i="27"/>
  <c r="L83" i="27"/>
  <c r="L59" i="27"/>
  <c r="L61" i="27"/>
  <c r="L63" i="27"/>
  <c r="L58" i="27"/>
  <c r="L66" i="27"/>
  <c r="L75" i="27"/>
  <c r="L78" i="27"/>
  <c r="L82" i="27"/>
  <c r="L80" i="27"/>
  <c r="K8" i="27"/>
  <c r="D11" i="24"/>
  <c r="B14" i="6" l="1"/>
  <c r="I9" i="22"/>
  <c r="L8" i="27"/>
  <c r="M87" i="27"/>
  <c r="M84" i="27"/>
  <c r="M82" i="27"/>
  <c r="M80" i="27"/>
  <c r="M78" i="27"/>
  <c r="M75" i="27"/>
  <c r="M73" i="27"/>
  <c r="M70" i="27"/>
  <c r="M68" i="27"/>
  <c r="M66" i="27"/>
  <c r="M64" i="27"/>
  <c r="M62" i="27"/>
  <c r="M60" i="27"/>
  <c r="M58" i="27"/>
  <c r="M57" i="27"/>
  <c r="M55" i="27"/>
  <c r="M53" i="27"/>
  <c r="M49" i="27"/>
  <c r="M43" i="27"/>
  <c r="M47" i="27"/>
  <c r="M45" i="27"/>
  <c r="M36" i="27"/>
  <c r="M32" i="27"/>
  <c r="M34" i="27"/>
  <c r="M30" i="27"/>
  <c r="M25" i="27"/>
  <c r="M21" i="27"/>
  <c r="M17" i="27"/>
  <c r="M13" i="27"/>
  <c r="M10" i="27"/>
  <c r="M23" i="27"/>
  <c r="M19" i="27"/>
  <c r="M15" i="27"/>
  <c r="M11" i="27"/>
  <c r="N9" i="27"/>
  <c r="M12" i="27"/>
  <c r="M16" i="27"/>
  <c r="M20" i="27"/>
  <c r="M24" i="27"/>
  <c r="M18" i="27"/>
  <c r="M26" i="27"/>
  <c r="M31" i="27"/>
  <c r="M35" i="27"/>
  <c r="M38" i="27"/>
  <c r="M42" i="27"/>
  <c r="M29" i="27"/>
  <c r="M33" i="27"/>
  <c r="M37" i="27"/>
  <c r="M39" i="27"/>
  <c r="M41" i="27"/>
  <c r="M14" i="27"/>
  <c r="M22" i="27"/>
  <c r="M44" i="27"/>
  <c r="M40" i="27"/>
  <c r="M27" i="27"/>
  <c r="M50" i="27"/>
  <c r="M46" i="27"/>
  <c r="M48" i="27"/>
  <c r="M59" i="27"/>
  <c r="M61" i="27"/>
  <c r="M63" i="27"/>
  <c r="M56" i="27"/>
  <c r="M69" i="27"/>
  <c r="M72" i="27"/>
  <c r="M77" i="27"/>
  <c r="M86" i="27"/>
  <c r="M51" i="27"/>
  <c r="M54" i="27"/>
  <c r="M71" i="27"/>
  <c r="M85" i="27"/>
  <c r="M81" i="27"/>
  <c r="M83" i="27"/>
  <c r="M52" i="27"/>
  <c r="M76" i="27"/>
  <c r="M65" i="27"/>
  <c r="M67" i="27"/>
  <c r="M74" i="27"/>
  <c r="M79" i="27"/>
  <c r="M88" i="27"/>
  <c r="M8" i="27" l="1"/>
  <c r="N11" i="27"/>
  <c r="O9" i="27"/>
  <c r="N10" i="27"/>
  <c r="N13" i="27"/>
  <c r="N17" i="27"/>
  <c r="N21" i="27"/>
  <c r="N25" i="27"/>
  <c r="N24" i="27"/>
  <c r="N19" i="27"/>
  <c r="N33" i="27"/>
  <c r="N48" i="27"/>
  <c r="N12" i="27"/>
  <c r="N31" i="27"/>
  <c r="N30" i="27"/>
  <c r="N34" i="27"/>
  <c r="N42" i="27"/>
  <c r="N46" i="27"/>
  <c r="N44" i="27"/>
  <c r="N50" i="27"/>
  <c r="N16" i="27"/>
  <c r="N15" i="27"/>
  <c r="N23" i="27"/>
  <c r="N18" i="27"/>
  <c r="N26" i="27"/>
  <c r="N27" i="27"/>
  <c r="N37" i="27"/>
  <c r="N39" i="27"/>
  <c r="N40" i="27"/>
  <c r="N45" i="27"/>
  <c r="N49" i="27"/>
  <c r="N20" i="27"/>
  <c r="N14" i="27"/>
  <c r="N22" i="27"/>
  <c r="N35" i="27"/>
  <c r="N38" i="27"/>
  <c r="N29" i="27"/>
  <c r="N41" i="27"/>
  <c r="N32" i="27"/>
  <c r="N36" i="27"/>
  <c r="N47" i="27"/>
  <c r="N43" i="27"/>
  <c r="N52" i="27"/>
  <c r="N61" i="27"/>
  <c r="N53" i="27"/>
  <c r="N57" i="27"/>
  <c r="N64" i="27"/>
  <c r="N70" i="27"/>
  <c r="N76" i="27"/>
  <c r="N75" i="27"/>
  <c r="N78" i="27"/>
  <c r="N59" i="27"/>
  <c r="N65" i="27"/>
  <c r="N58" i="27"/>
  <c r="N62" i="27"/>
  <c r="N66" i="27"/>
  <c r="N74" i="27"/>
  <c r="N79" i="27"/>
  <c r="N83" i="27"/>
  <c r="N84" i="27"/>
  <c r="N88" i="27"/>
  <c r="N56" i="27"/>
  <c r="N67" i="27"/>
  <c r="N60" i="27"/>
  <c r="N68" i="27"/>
  <c r="N69" i="27"/>
  <c r="N72" i="27"/>
  <c r="N77" i="27"/>
  <c r="N82" i="27"/>
  <c r="N51" i="27"/>
  <c r="N54" i="27"/>
  <c r="N63" i="27"/>
  <c r="N55" i="27"/>
  <c r="N71" i="27"/>
  <c r="N73" i="27"/>
  <c r="N81" i="27"/>
  <c r="N85" i="27"/>
  <c r="N80" i="27"/>
  <c r="N86" i="27"/>
  <c r="N87" i="27"/>
  <c r="N8" i="27" l="1"/>
  <c r="O87" i="27"/>
  <c r="O86" i="27"/>
  <c r="O82" i="27"/>
  <c r="O80" i="27"/>
  <c r="O78" i="27"/>
  <c r="O75" i="27"/>
  <c r="O73" i="27"/>
  <c r="O68" i="27"/>
  <c r="O66" i="27"/>
  <c r="O64" i="27"/>
  <c r="O62" i="27"/>
  <c r="O60" i="27"/>
  <c r="O58" i="27"/>
  <c r="O57" i="27"/>
  <c r="O55" i="27"/>
  <c r="O53" i="27"/>
  <c r="O47" i="27"/>
  <c r="O45" i="27"/>
  <c r="O49" i="27"/>
  <c r="O43" i="27"/>
  <c r="O34" i="27"/>
  <c r="O30" i="27"/>
  <c r="O23" i="27"/>
  <c r="O19" i="27"/>
  <c r="O15" i="27"/>
  <c r="O11" i="27"/>
  <c r="P9" i="27"/>
  <c r="O25" i="27"/>
  <c r="O21" i="27"/>
  <c r="O17" i="27"/>
  <c r="O13" i="27"/>
  <c r="O10" i="27"/>
  <c r="O12" i="27"/>
  <c r="O20" i="27"/>
  <c r="O32" i="27"/>
  <c r="O36" i="27"/>
  <c r="O48" i="27"/>
  <c r="O14" i="27"/>
  <c r="O18" i="27"/>
  <c r="O22" i="27"/>
  <c r="O26" i="27"/>
  <c r="O16" i="27"/>
  <c r="O24" i="27"/>
  <c r="O40" i="27"/>
  <c r="O27" i="27"/>
  <c r="O31" i="27"/>
  <c r="O35" i="27"/>
  <c r="O38" i="27"/>
  <c r="O29" i="27"/>
  <c r="O41" i="27"/>
  <c r="O50" i="27"/>
  <c r="O33" i="27"/>
  <c r="O37" i="27"/>
  <c r="O39" i="27"/>
  <c r="O42" i="27"/>
  <c r="O46" i="27"/>
  <c r="O44" i="27"/>
  <c r="O51" i="27"/>
  <c r="O54" i="27"/>
  <c r="O81" i="27"/>
  <c r="O83" i="27"/>
  <c r="O52" i="27"/>
  <c r="O71" i="27"/>
  <c r="O70" i="27"/>
  <c r="O76" i="27"/>
  <c r="O85" i="27"/>
  <c r="O65" i="27"/>
  <c r="O69" i="27"/>
  <c r="O74" i="27"/>
  <c r="O79" i="27"/>
  <c r="O84" i="27"/>
  <c r="O88" i="27"/>
  <c r="O59" i="27"/>
  <c r="O61" i="27"/>
  <c r="O63" i="27"/>
  <c r="O56" i="27"/>
  <c r="O67" i="27"/>
  <c r="O72" i="27"/>
  <c r="O77" i="27"/>
  <c r="O8" i="27" l="1"/>
  <c r="P88" i="27"/>
  <c r="P86" i="27"/>
  <c r="P84" i="27"/>
  <c r="P79" i="27"/>
  <c r="P77" i="27"/>
  <c r="P56" i="27"/>
  <c r="P54" i="27"/>
  <c r="P52" i="27"/>
  <c r="P47" i="27"/>
  <c r="P48" i="27"/>
  <c r="P46" i="27"/>
  <c r="P42" i="27"/>
  <c r="P30" i="27"/>
  <c r="P38" i="27"/>
  <c r="P35" i="27"/>
  <c r="P27" i="27"/>
  <c r="P20" i="27"/>
  <c r="P11" i="27"/>
  <c r="Q9" i="27"/>
  <c r="P18" i="27"/>
  <c r="P13" i="27"/>
  <c r="P21" i="27"/>
  <c r="P16" i="27"/>
  <c r="P24" i="27"/>
  <c r="P29" i="27"/>
  <c r="P33" i="27"/>
  <c r="P37" i="27"/>
  <c r="P39" i="27"/>
  <c r="P31" i="27"/>
  <c r="P44" i="27"/>
  <c r="P49" i="27"/>
  <c r="P15" i="27"/>
  <c r="P19" i="27"/>
  <c r="P23" i="27"/>
  <c r="P22" i="27"/>
  <c r="P26" i="27"/>
  <c r="P10" i="27"/>
  <c r="P12" i="27"/>
  <c r="P45" i="27"/>
  <c r="P17" i="27"/>
  <c r="P25" i="27"/>
  <c r="P41" i="27"/>
  <c r="P32" i="27"/>
  <c r="P36" i="27"/>
  <c r="P40" i="27"/>
  <c r="P34" i="27"/>
  <c r="P50" i="27"/>
  <c r="P14" i="27"/>
  <c r="P43" i="27"/>
  <c r="P51" i="27"/>
  <c r="P59" i="27"/>
  <c r="P61" i="27"/>
  <c r="P63" i="27"/>
  <c r="P65" i="27"/>
  <c r="P58" i="27"/>
  <c r="P66" i="27"/>
  <c r="P75" i="27"/>
  <c r="P85" i="27"/>
  <c r="P78" i="27"/>
  <c r="P82" i="27"/>
  <c r="P80" i="27"/>
  <c r="P55" i="27"/>
  <c r="P53" i="27"/>
  <c r="P74" i="27"/>
  <c r="P71" i="27"/>
  <c r="P69" i="27"/>
  <c r="P87" i="27"/>
  <c r="P67" i="27"/>
  <c r="P60" i="27"/>
  <c r="P64" i="27"/>
  <c r="P68" i="27"/>
  <c r="P62" i="27"/>
  <c r="P70" i="27"/>
  <c r="P73" i="27"/>
  <c r="P57" i="27"/>
  <c r="P72" i="27"/>
  <c r="P76" i="27"/>
  <c r="P81" i="27"/>
  <c r="P83" i="27"/>
  <c r="I16" i="11"/>
  <c r="G11" i="11"/>
  <c r="B6" i="17"/>
  <c r="P8" i="27" l="1"/>
  <c r="Q87" i="27"/>
  <c r="Q84" i="27"/>
  <c r="Q78" i="27"/>
  <c r="Q82" i="27"/>
  <c r="Q80" i="27"/>
  <c r="Q70" i="27"/>
  <c r="Q75" i="27"/>
  <c r="Q73" i="27"/>
  <c r="Q68" i="27"/>
  <c r="Q66" i="27"/>
  <c r="Q64" i="27"/>
  <c r="Q62" i="27"/>
  <c r="Q60" i="27"/>
  <c r="Q58" i="27"/>
  <c r="Q57" i="27"/>
  <c r="Q55" i="27"/>
  <c r="Q53" i="27"/>
  <c r="Q49" i="27"/>
  <c r="Q43" i="27"/>
  <c r="Q47" i="27"/>
  <c r="Q45" i="27"/>
  <c r="Q36" i="27"/>
  <c r="Q32" i="27"/>
  <c r="Q34" i="27"/>
  <c r="Q30" i="27"/>
  <c r="Q25" i="27"/>
  <c r="Q21" i="27"/>
  <c r="Q17" i="27"/>
  <c r="Q13" i="27"/>
  <c r="Q10" i="27"/>
  <c r="Q23" i="27"/>
  <c r="Q19" i="27"/>
  <c r="Q15" i="27"/>
  <c r="Q11" i="27"/>
  <c r="R9" i="27"/>
  <c r="Q40" i="27"/>
  <c r="Q27" i="27"/>
  <c r="Q50" i="27"/>
  <c r="Q46" i="27"/>
  <c r="Q48" i="27"/>
  <c r="Q12" i="27"/>
  <c r="Q16" i="27"/>
  <c r="Q20" i="27"/>
  <c r="Q24" i="27"/>
  <c r="Q18" i="27"/>
  <c r="Q26" i="27"/>
  <c r="Q31" i="27"/>
  <c r="Q35" i="27"/>
  <c r="Q38" i="27"/>
  <c r="Q42" i="27"/>
  <c r="Q29" i="27"/>
  <c r="Q33" i="27"/>
  <c r="Q37" i="27"/>
  <c r="Q39" i="27"/>
  <c r="Q41" i="27"/>
  <c r="Q14" i="27"/>
  <c r="Q22" i="27"/>
  <c r="Q44" i="27"/>
  <c r="Q51" i="27"/>
  <c r="Q54" i="27"/>
  <c r="Q85" i="27"/>
  <c r="Q81" i="27"/>
  <c r="Q83" i="27"/>
  <c r="Q52" i="27"/>
  <c r="Q69" i="27"/>
  <c r="Q76" i="27"/>
  <c r="Q86" i="27"/>
  <c r="Q65" i="27"/>
  <c r="Q67" i="27"/>
  <c r="Q71" i="27"/>
  <c r="Q74" i="27"/>
  <c r="Q79" i="27"/>
  <c r="Q88" i="27"/>
  <c r="Q59" i="27"/>
  <c r="Q61" i="27"/>
  <c r="Q63" i="27"/>
  <c r="Q56" i="27"/>
  <c r="Q72" i="27"/>
  <c r="Q77" i="27"/>
  <c r="B14" i="11"/>
  <c r="B15" i="11"/>
  <c r="B16" i="11"/>
  <c r="R88" i="27" l="1"/>
  <c r="S88" i="27" s="1"/>
  <c r="T88" i="27" s="1"/>
  <c r="R79" i="27"/>
  <c r="S79" i="27" s="1"/>
  <c r="T79" i="27" s="1"/>
  <c r="R77" i="27"/>
  <c r="S77" i="27" s="1"/>
  <c r="T77" i="27" s="1"/>
  <c r="R83" i="27"/>
  <c r="S83" i="27" s="1"/>
  <c r="T83" i="27" s="1"/>
  <c r="R81" i="27"/>
  <c r="S81" i="27" s="1"/>
  <c r="T81" i="27" s="1"/>
  <c r="R63" i="27"/>
  <c r="S63" i="27" s="1"/>
  <c r="T63" i="27" s="1"/>
  <c r="R61" i="27"/>
  <c r="S61" i="27" s="1"/>
  <c r="T61" i="27" s="1"/>
  <c r="R59" i="27"/>
  <c r="S59" i="27" s="1"/>
  <c r="T59" i="27" s="1"/>
  <c r="R11" i="27"/>
  <c r="U9" i="27"/>
  <c r="R20" i="27"/>
  <c r="S20" i="27" s="1"/>
  <c r="T20" i="27" s="1"/>
  <c r="R14" i="27"/>
  <c r="S14" i="27" s="1"/>
  <c r="T14" i="27" s="1"/>
  <c r="R22" i="27"/>
  <c r="S22" i="27" s="1"/>
  <c r="T22" i="27" s="1"/>
  <c r="R35" i="27"/>
  <c r="S35" i="27" s="1"/>
  <c r="T35" i="27" s="1"/>
  <c r="R38" i="27"/>
  <c r="S38" i="27" s="1"/>
  <c r="T38" i="27" s="1"/>
  <c r="R29" i="27"/>
  <c r="S29" i="27" s="1"/>
  <c r="T29" i="27" s="1"/>
  <c r="R41" i="27"/>
  <c r="S41" i="27" s="1"/>
  <c r="T41" i="27" s="1"/>
  <c r="R32" i="27"/>
  <c r="S32" i="27" s="1"/>
  <c r="T32" i="27" s="1"/>
  <c r="R36" i="27"/>
  <c r="S36" i="27" s="1"/>
  <c r="T36" i="27" s="1"/>
  <c r="R47" i="27"/>
  <c r="S47" i="27" s="1"/>
  <c r="T47" i="27" s="1"/>
  <c r="R43" i="27"/>
  <c r="S43" i="27" s="1"/>
  <c r="T43" i="27" s="1"/>
  <c r="R10" i="27"/>
  <c r="R13" i="27"/>
  <c r="S13" i="27" s="1"/>
  <c r="T13" i="27" s="1"/>
  <c r="R17" i="27"/>
  <c r="S17" i="27" s="1"/>
  <c r="T17" i="27" s="1"/>
  <c r="R21" i="27"/>
  <c r="S21" i="27" s="1"/>
  <c r="T21" i="27" s="1"/>
  <c r="R25" i="27"/>
  <c r="S25" i="27" s="1"/>
  <c r="T25" i="27" s="1"/>
  <c r="R24" i="27"/>
  <c r="S24" i="27" s="1"/>
  <c r="T24" i="27" s="1"/>
  <c r="R19" i="27"/>
  <c r="S19" i="27" s="1"/>
  <c r="T19" i="27" s="1"/>
  <c r="R33" i="27"/>
  <c r="S33" i="27" s="1"/>
  <c r="T33" i="27" s="1"/>
  <c r="R48" i="27"/>
  <c r="S48" i="27" s="1"/>
  <c r="T48" i="27" s="1"/>
  <c r="R12" i="27"/>
  <c r="R31" i="27"/>
  <c r="S31" i="27" s="1"/>
  <c r="T31" i="27" s="1"/>
  <c r="R30" i="27"/>
  <c r="S30" i="27" s="1"/>
  <c r="T30" i="27" s="1"/>
  <c r="R34" i="27"/>
  <c r="S34" i="27" s="1"/>
  <c r="T34" i="27" s="1"/>
  <c r="R42" i="27"/>
  <c r="S42" i="27" s="1"/>
  <c r="T42" i="27" s="1"/>
  <c r="R46" i="27"/>
  <c r="S46" i="27" s="1"/>
  <c r="T46" i="27" s="1"/>
  <c r="R44" i="27"/>
  <c r="S44" i="27" s="1"/>
  <c r="T44" i="27" s="1"/>
  <c r="R50" i="27"/>
  <c r="S50" i="27" s="1"/>
  <c r="T50" i="27" s="1"/>
  <c r="R16" i="27"/>
  <c r="S16" i="27" s="1"/>
  <c r="T16" i="27" s="1"/>
  <c r="R15" i="27"/>
  <c r="S15" i="27" s="1"/>
  <c r="T15" i="27" s="1"/>
  <c r="R23" i="27"/>
  <c r="S23" i="27" s="1"/>
  <c r="T23" i="27" s="1"/>
  <c r="R18" i="27"/>
  <c r="S18" i="27" s="1"/>
  <c r="T18" i="27" s="1"/>
  <c r="R26" i="27"/>
  <c r="S26" i="27" s="1"/>
  <c r="T26" i="27" s="1"/>
  <c r="R27" i="27"/>
  <c r="S27" i="27" s="1"/>
  <c r="T27" i="27" s="1"/>
  <c r="R37" i="27"/>
  <c r="S37" i="27" s="1"/>
  <c r="T37" i="27" s="1"/>
  <c r="R39" i="27"/>
  <c r="S39" i="27" s="1"/>
  <c r="T39" i="27" s="1"/>
  <c r="R40" i="27"/>
  <c r="S40" i="27" s="1"/>
  <c r="T40" i="27" s="1"/>
  <c r="R45" i="27"/>
  <c r="S45" i="27" s="1"/>
  <c r="T45" i="27" s="1"/>
  <c r="R49" i="27"/>
  <c r="S49" i="27" s="1"/>
  <c r="T49" i="27" s="1"/>
  <c r="R54" i="27"/>
  <c r="S54" i="27" s="1"/>
  <c r="T54" i="27" s="1"/>
  <c r="R65" i="27"/>
  <c r="S65" i="27" s="1"/>
  <c r="T65" i="27" s="1"/>
  <c r="R55" i="27"/>
  <c r="S55" i="27" s="1"/>
  <c r="T55" i="27" s="1"/>
  <c r="R71" i="27"/>
  <c r="S71" i="27" s="1"/>
  <c r="T71" i="27" s="1"/>
  <c r="R73" i="27"/>
  <c r="S73" i="27" s="1"/>
  <c r="T73" i="27" s="1"/>
  <c r="R80" i="27"/>
  <c r="S80" i="27" s="1"/>
  <c r="T80" i="27" s="1"/>
  <c r="R86" i="27"/>
  <c r="S86" i="27" s="1"/>
  <c r="T86" i="27" s="1"/>
  <c r="R56" i="27"/>
  <c r="S56" i="27" s="1"/>
  <c r="T56" i="27" s="1"/>
  <c r="R53" i="27"/>
  <c r="S53" i="27" s="1"/>
  <c r="T53" i="27" s="1"/>
  <c r="R57" i="27"/>
  <c r="S57" i="27" s="1"/>
  <c r="T57" i="27" s="1"/>
  <c r="R64" i="27"/>
  <c r="S64" i="27" s="1"/>
  <c r="T64" i="27" s="1"/>
  <c r="R70" i="27"/>
  <c r="S70" i="27" s="1"/>
  <c r="T70" i="27" s="1"/>
  <c r="R74" i="27"/>
  <c r="S74" i="27" s="1"/>
  <c r="T74" i="27" s="1"/>
  <c r="R75" i="27"/>
  <c r="S75" i="27" s="1"/>
  <c r="T75" i="27" s="1"/>
  <c r="R78" i="27"/>
  <c r="S78" i="27" s="1"/>
  <c r="T78" i="27" s="1"/>
  <c r="R87" i="27"/>
  <c r="S87" i="27" s="1"/>
  <c r="T87" i="27" s="1"/>
  <c r="R51" i="27"/>
  <c r="S51" i="27" s="1"/>
  <c r="T51" i="27" s="1"/>
  <c r="R67" i="27"/>
  <c r="S67" i="27" s="1"/>
  <c r="T67" i="27" s="1"/>
  <c r="R58" i="27"/>
  <c r="S58" i="27" s="1"/>
  <c r="T58" i="27" s="1"/>
  <c r="R62" i="27"/>
  <c r="S62" i="27" s="1"/>
  <c r="T62" i="27" s="1"/>
  <c r="R66" i="27"/>
  <c r="S66" i="27" s="1"/>
  <c r="T66" i="27" s="1"/>
  <c r="R84" i="27"/>
  <c r="S84" i="27" s="1"/>
  <c r="T84" i="27" s="1"/>
  <c r="R52" i="27"/>
  <c r="S52" i="27" s="1"/>
  <c r="T52" i="27" s="1"/>
  <c r="R60" i="27"/>
  <c r="S60" i="27" s="1"/>
  <c r="T60" i="27" s="1"/>
  <c r="R68" i="27"/>
  <c r="S68" i="27" s="1"/>
  <c r="T68" i="27" s="1"/>
  <c r="R69" i="27"/>
  <c r="S69" i="27" s="1"/>
  <c r="T69" i="27" s="1"/>
  <c r="R72" i="27"/>
  <c r="S72" i="27" s="1"/>
  <c r="T72" i="27" s="1"/>
  <c r="R76" i="27"/>
  <c r="S76" i="27" s="1"/>
  <c r="T76" i="27" s="1"/>
  <c r="R85" i="27"/>
  <c r="S85" i="27" s="1"/>
  <c r="T85" i="27" s="1"/>
  <c r="R82" i="27"/>
  <c r="S82" i="27" s="1"/>
  <c r="T82" i="27" s="1"/>
  <c r="Q8" i="27"/>
  <c r="A7" i="17"/>
  <c r="A8" i="17" s="1"/>
  <c r="S12" i="27" l="1"/>
  <c r="T12" i="27" s="1"/>
  <c r="T3" i="27" s="1"/>
  <c r="S11" i="27"/>
  <c r="T11" i="27" s="1"/>
  <c r="T4" i="27"/>
  <c r="T5" i="27"/>
  <c r="U87" i="27"/>
  <c r="U84" i="27"/>
  <c r="U82" i="27"/>
  <c r="U80" i="27"/>
  <c r="U78" i="27"/>
  <c r="U75" i="27"/>
  <c r="U73" i="27"/>
  <c r="U70" i="27"/>
  <c r="U68" i="27"/>
  <c r="U66" i="27"/>
  <c r="U57" i="27"/>
  <c r="U55" i="27"/>
  <c r="U53" i="27"/>
  <c r="U64" i="27"/>
  <c r="U62" i="27"/>
  <c r="U60" i="27"/>
  <c r="U58" i="27"/>
  <c r="U49" i="27"/>
  <c r="U43" i="27"/>
  <c r="U47" i="27"/>
  <c r="U45" i="27"/>
  <c r="U36" i="27"/>
  <c r="U34" i="27"/>
  <c r="U30" i="27"/>
  <c r="U25" i="27"/>
  <c r="U21" i="27"/>
  <c r="U17" i="27"/>
  <c r="U13" i="27"/>
  <c r="U10" i="27"/>
  <c r="U23" i="27"/>
  <c r="U19" i="27"/>
  <c r="U15" i="27"/>
  <c r="U11" i="27"/>
  <c r="V9" i="27"/>
  <c r="U14" i="27"/>
  <c r="U22" i="27"/>
  <c r="U44" i="27"/>
  <c r="U40" i="27"/>
  <c r="U27" i="27"/>
  <c r="U50" i="27"/>
  <c r="U46" i="27"/>
  <c r="U48" i="27"/>
  <c r="U12" i="27"/>
  <c r="U16" i="27"/>
  <c r="U20" i="27"/>
  <c r="U24" i="27"/>
  <c r="U18" i="27"/>
  <c r="U26" i="27"/>
  <c r="U32" i="27"/>
  <c r="U31" i="27"/>
  <c r="U35" i="27"/>
  <c r="U38" i="27"/>
  <c r="U42" i="27"/>
  <c r="U29" i="27"/>
  <c r="U33" i="27"/>
  <c r="U37" i="27"/>
  <c r="U39" i="27"/>
  <c r="U41" i="27"/>
  <c r="U52" i="27"/>
  <c r="U76" i="27"/>
  <c r="U65" i="27"/>
  <c r="U67" i="27"/>
  <c r="U74" i="27"/>
  <c r="U79" i="27"/>
  <c r="U88" i="27"/>
  <c r="U59" i="27"/>
  <c r="U61" i="27"/>
  <c r="U63" i="27"/>
  <c r="U56" i="27"/>
  <c r="U69" i="27"/>
  <c r="U72" i="27"/>
  <c r="U77" i="27"/>
  <c r="U86" i="27"/>
  <c r="U51" i="27"/>
  <c r="U54" i="27"/>
  <c r="U71" i="27"/>
  <c r="U85" i="27"/>
  <c r="U81" i="27"/>
  <c r="U83" i="27"/>
  <c r="R8" i="27"/>
  <c r="S10" i="27"/>
  <c r="C14" i="11"/>
  <c r="H13" i="22"/>
  <c r="H14" i="22"/>
  <c r="C16" i="11" s="1"/>
  <c r="H15" i="22"/>
  <c r="H11" i="22"/>
  <c r="C13" i="11" s="1"/>
  <c r="C15" i="11" l="1"/>
  <c r="H9" i="22"/>
  <c r="S8" i="27"/>
  <c r="T10" i="27"/>
  <c r="V85" i="27"/>
  <c r="V11" i="27"/>
  <c r="W9" i="27"/>
  <c r="V16" i="27"/>
  <c r="V15" i="27"/>
  <c r="V23" i="27"/>
  <c r="V18" i="27"/>
  <c r="V26" i="27"/>
  <c r="V27" i="27"/>
  <c r="V37" i="27"/>
  <c r="V39" i="27"/>
  <c r="V40" i="27"/>
  <c r="V45" i="27"/>
  <c r="V49" i="27"/>
  <c r="V20" i="27"/>
  <c r="V14" i="27"/>
  <c r="V22" i="27"/>
  <c r="V35" i="27"/>
  <c r="V38" i="27"/>
  <c r="V29" i="27"/>
  <c r="V41" i="27"/>
  <c r="V32" i="27"/>
  <c r="V36" i="27"/>
  <c r="V47" i="27"/>
  <c r="V43" i="27"/>
  <c r="V10" i="27"/>
  <c r="V13" i="27"/>
  <c r="V17" i="27"/>
  <c r="V21" i="27"/>
  <c r="V25" i="27"/>
  <c r="V24" i="27"/>
  <c r="V19" i="27"/>
  <c r="V33" i="27"/>
  <c r="V48" i="27"/>
  <c r="V12" i="27"/>
  <c r="V31" i="27"/>
  <c r="V30" i="27"/>
  <c r="V34" i="27"/>
  <c r="V42" i="27"/>
  <c r="V46" i="27"/>
  <c r="V44" i="27"/>
  <c r="V50" i="27"/>
  <c r="V54" i="27"/>
  <c r="V67" i="27"/>
  <c r="V60" i="27"/>
  <c r="V68" i="27"/>
  <c r="V69" i="27"/>
  <c r="V82" i="27"/>
  <c r="V51" i="27"/>
  <c r="V52" i="27"/>
  <c r="V55" i="27"/>
  <c r="V71" i="27"/>
  <c r="V76" i="27"/>
  <c r="V73" i="27"/>
  <c r="V80" i="27"/>
  <c r="V86" i="27"/>
  <c r="V59" i="27"/>
  <c r="V61" i="27"/>
  <c r="V63" i="27"/>
  <c r="V53" i="27"/>
  <c r="V57" i="27"/>
  <c r="V65" i="27"/>
  <c r="V64" i="27"/>
  <c r="V70" i="27"/>
  <c r="V74" i="27"/>
  <c r="V79" i="27"/>
  <c r="V75" i="27"/>
  <c r="V78" i="27"/>
  <c r="V88" i="27"/>
  <c r="V87" i="27"/>
  <c r="V56" i="27"/>
  <c r="V58" i="27"/>
  <c r="V62" i="27"/>
  <c r="V66" i="27"/>
  <c r="V72" i="27"/>
  <c r="V77" i="27"/>
  <c r="V81" i="27"/>
  <c r="V83" i="27"/>
  <c r="V84" i="27"/>
  <c r="U8" i="27"/>
  <c r="B13" i="6" l="1"/>
  <c r="C11" i="11"/>
  <c r="W87" i="27"/>
  <c r="W86" i="27"/>
  <c r="W82" i="27"/>
  <c r="W80" i="27"/>
  <c r="W78" i="27"/>
  <c r="W75" i="27"/>
  <c r="W73" i="27"/>
  <c r="W68" i="27"/>
  <c r="W66" i="27"/>
  <c r="W64" i="27"/>
  <c r="W62" i="27"/>
  <c r="W60" i="27"/>
  <c r="W58" i="27"/>
  <c r="W57" i="27"/>
  <c r="W55" i="27"/>
  <c r="W53" i="27"/>
  <c r="W47" i="27"/>
  <c r="W45" i="27"/>
  <c r="W43" i="27"/>
  <c r="W34" i="27"/>
  <c r="W30" i="27"/>
  <c r="W23" i="27"/>
  <c r="W19" i="27"/>
  <c r="W15" i="27"/>
  <c r="W11" i="27"/>
  <c r="X9" i="27"/>
  <c r="W25" i="27"/>
  <c r="W21" i="27"/>
  <c r="W17" i="27"/>
  <c r="W13" i="27"/>
  <c r="W10" i="27"/>
  <c r="W33" i="27"/>
  <c r="W37" i="27"/>
  <c r="W39" i="27"/>
  <c r="W42" i="27"/>
  <c r="W46" i="27"/>
  <c r="W44" i="27"/>
  <c r="W12" i="27"/>
  <c r="W20" i="27"/>
  <c r="W32" i="27"/>
  <c r="W36" i="27"/>
  <c r="W48" i="27"/>
  <c r="W14" i="27"/>
  <c r="W18" i="27"/>
  <c r="W22" i="27"/>
  <c r="W26" i="27"/>
  <c r="W16" i="27"/>
  <c r="W24" i="27"/>
  <c r="W40" i="27"/>
  <c r="W27" i="27"/>
  <c r="W31" i="27"/>
  <c r="W35" i="27"/>
  <c r="W38" i="27"/>
  <c r="W29" i="27"/>
  <c r="W41" i="27"/>
  <c r="W49" i="27"/>
  <c r="W50" i="27"/>
  <c r="W52" i="27"/>
  <c r="W76" i="27"/>
  <c r="W85" i="27"/>
  <c r="W65" i="27"/>
  <c r="W74" i="27"/>
  <c r="W79" i="27"/>
  <c r="W88" i="27"/>
  <c r="W59" i="27"/>
  <c r="W61" i="27"/>
  <c r="W63" i="27"/>
  <c r="W56" i="27"/>
  <c r="W67" i="27"/>
  <c r="W71" i="27"/>
  <c r="W70" i="27"/>
  <c r="W72" i="27"/>
  <c r="W77" i="27"/>
  <c r="W51" i="27"/>
  <c r="W54" i="27"/>
  <c r="W69" i="27"/>
  <c r="W81" i="27"/>
  <c r="W83" i="27"/>
  <c r="W84" i="27"/>
  <c r="T1" i="27"/>
  <c r="T8" i="27"/>
  <c r="V8" i="27"/>
  <c r="W8" i="27" l="1"/>
  <c r="X86" i="27"/>
  <c r="X84" i="27"/>
  <c r="X79" i="27"/>
  <c r="X77" i="27"/>
  <c r="X56" i="27"/>
  <c r="X54" i="27"/>
  <c r="X52" i="27"/>
  <c r="X48" i="27"/>
  <c r="X46" i="27"/>
  <c r="X42" i="27"/>
  <c r="X38" i="27"/>
  <c r="X27" i="27"/>
  <c r="X11" i="27"/>
  <c r="Y9" i="27"/>
  <c r="X14" i="27"/>
  <c r="X43" i="27"/>
  <c r="X18" i="27"/>
  <c r="X13" i="27"/>
  <c r="X21" i="27"/>
  <c r="X16" i="27"/>
  <c r="X24" i="27"/>
  <c r="X29" i="27"/>
  <c r="X33" i="27"/>
  <c r="X37" i="27"/>
  <c r="X39" i="27"/>
  <c r="X31" i="27"/>
  <c r="X44" i="27"/>
  <c r="X49" i="27"/>
  <c r="X15" i="27"/>
  <c r="X19" i="27"/>
  <c r="X23" i="27"/>
  <c r="X22" i="27"/>
  <c r="X26" i="27"/>
  <c r="X10" i="27"/>
  <c r="X12" i="27"/>
  <c r="X20" i="27"/>
  <c r="X35" i="27"/>
  <c r="X45" i="27"/>
  <c r="X47" i="27"/>
  <c r="X17" i="27"/>
  <c r="X25" i="27"/>
  <c r="X41" i="27"/>
  <c r="X32" i="27"/>
  <c r="X36" i="27"/>
  <c r="X40" i="27"/>
  <c r="X30" i="27"/>
  <c r="X34" i="27"/>
  <c r="X50" i="27"/>
  <c r="X57" i="27"/>
  <c r="X72" i="27"/>
  <c r="X76" i="27"/>
  <c r="X65" i="27"/>
  <c r="X67" i="27"/>
  <c r="X58" i="27"/>
  <c r="X66" i="27"/>
  <c r="X71" i="27"/>
  <c r="X75" i="27"/>
  <c r="X78" i="27"/>
  <c r="X82" i="27"/>
  <c r="X80" i="27"/>
  <c r="X55" i="27"/>
  <c r="X53" i="27"/>
  <c r="X74" i="27"/>
  <c r="X69" i="27"/>
  <c r="X81" i="27"/>
  <c r="X83" i="27"/>
  <c r="X87" i="27"/>
  <c r="X51" i="27"/>
  <c r="X59" i="27"/>
  <c r="X61" i="27"/>
  <c r="X63" i="27"/>
  <c r="X60" i="27"/>
  <c r="X64" i="27"/>
  <c r="X68" i="27"/>
  <c r="X62" i="27"/>
  <c r="X70" i="27"/>
  <c r="X85" i="27"/>
  <c r="X73" i="27"/>
  <c r="X88" i="27"/>
  <c r="D11" i="11"/>
  <c r="E42" i="11" l="1"/>
  <c r="E40" i="11"/>
  <c r="E38" i="11"/>
  <c r="E36" i="11"/>
  <c r="E34" i="11"/>
  <c r="E31" i="11"/>
  <c r="E39" i="11"/>
  <c r="E37" i="11"/>
  <c r="E35" i="11"/>
  <c r="E33" i="11"/>
  <c r="E32" i="11"/>
  <c r="E41" i="11"/>
  <c r="E30" i="11"/>
  <c r="E27" i="11"/>
  <c r="E28" i="11"/>
  <c r="E29" i="11"/>
  <c r="E25" i="11"/>
  <c r="E26" i="11"/>
  <c r="E24" i="11"/>
  <c r="E22" i="11"/>
  <c r="E23" i="11"/>
  <c r="E19" i="11"/>
  <c r="E20" i="11"/>
  <c r="E21" i="11"/>
  <c r="E18" i="11"/>
  <c r="E17" i="11"/>
  <c r="X8" i="27"/>
  <c r="Y87" i="27"/>
  <c r="Y84" i="27"/>
  <c r="Y82" i="27"/>
  <c r="Y80" i="27"/>
  <c r="Y78" i="27"/>
  <c r="Y75" i="27"/>
  <c r="Y73" i="27"/>
  <c r="Y68" i="27"/>
  <c r="Y66" i="27"/>
  <c r="Y64" i="27"/>
  <c r="Y62" i="27"/>
  <c r="Y60" i="27"/>
  <c r="Y58" i="27"/>
  <c r="Y57" i="27"/>
  <c r="Y55" i="27"/>
  <c r="Y53" i="27"/>
  <c r="Y49" i="27"/>
  <c r="Y43" i="27"/>
  <c r="Y47" i="27"/>
  <c r="Y45" i="27"/>
  <c r="Y36" i="27"/>
  <c r="Y30" i="27"/>
  <c r="Y25" i="27"/>
  <c r="Y21" i="27"/>
  <c r="Y17" i="27"/>
  <c r="Y13" i="27"/>
  <c r="Y10" i="27"/>
  <c r="Y23" i="27"/>
  <c r="Y19" i="27"/>
  <c r="Y15" i="27"/>
  <c r="Y11" i="27"/>
  <c r="Z9" i="27"/>
  <c r="Y29" i="27"/>
  <c r="Y33" i="27"/>
  <c r="Y37" i="27"/>
  <c r="Y39" i="27"/>
  <c r="Y41" i="27"/>
  <c r="Y14" i="27"/>
  <c r="Y22" i="27"/>
  <c r="Y44" i="27"/>
  <c r="Y34" i="27"/>
  <c r="Y40" i="27"/>
  <c r="Y27" i="27"/>
  <c r="Y50" i="27"/>
  <c r="Y46" i="27"/>
  <c r="Y48" i="27"/>
  <c r="Y12" i="27"/>
  <c r="Y16" i="27"/>
  <c r="Y20" i="27"/>
  <c r="Y24" i="27"/>
  <c r="Y18" i="27"/>
  <c r="Y26" i="27"/>
  <c r="Y32" i="27"/>
  <c r="Y31" i="27"/>
  <c r="Y35" i="27"/>
  <c r="Y38" i="27"/>
  <c r="Y42" i="27"/>
  <c r="Y65" i="27"/>
  <c r="Y67" i="27"/>
  <c r="Y74" i="27"/>
  <c r="Y79" i="27"/>
  <c r="Y88" i="27"/>
  <c r="Y59" i="27"/>
  <c r="Y61" i="27"/>
  <c r="Y63" i="27"/>
  <c r="Y56" i="27"/>
  <c r="Y72" i="27"/>
  <c r="Y77" i="27"/>
  <c r="Y51" i="27"/>
  <c r="Y54" i="27"/>
  <c r="Y71" i="27"/>
  <c r="Y70" i="27"/>
  <c r="Y85" i="27"/>
  <c r="Y81" i="27"/>
  <c r="Y83" i="27"/>
  <c r="Y52" i="27"/>
  <c r="Y69" i="27"/>
  <c r="Y76" i="27"/>
  <c r="Y86" i="27"/>
  <c r="E16" i="11"/>
  <c r="E14" i="11"/>
  <c r="E15" i="11"/>
  <c r="E13" i="11"/>
  <c r="E9" i="22"/>
  <c r="G4" i="22" s="1"/>
  <c r="G7" i="22" s="1"/>
  <c r="D9" i="22"/>
  <c r="E4" i="22" s="1"/>
  <c r="H4" i="22" l="1"/>
  <c r="E7" i="22"/>
  <c r="Y8" i="27"/>
  <c r="Z88" i="27"/>
  <c r="Z83" i="27"/>
  <c r="Z81" i="27"/>
  <c r="Z79" i="27"/>
  <c r="Z77" i="27"/>
  <c r="Z63" i="27"/>
  <c r="Z61" i="27"/>
  <c r="Z59" i="27"/>
  <c r="Z11" i="27"/>
  <c r="AA9" i="27"/>
  <c r="Z12" i="27"/>
  <c r="Z31" i="27"/>
  <c r="Z30" i="27"/>
  <c r="Z34" i="27"/>
  <c r="Z42" i="27"/>
  <c r="Z46" i="27"/>
  <c r="Z44" i="27"/>
  <c r="Z50" i="27"/>
  <c r="Z16" i="27"/>
  <c r="Z15" i="27"/>
  <c r="Z23" i="27"/>
  <c r="Z18" i="27"/>
  <c r="Z26" i="27"/>
  <c r="Z27" i="27"/>
  <c r="Z37" i="27"/>
  <c r="Z39" i="27"/>
  <c r="Z40" i="27"/>
  <c r="Z45" i="27"/>
  <c r="Z49" i="27"/>
  <c r="Z20" i="27"/>
  <c r="Z14" i="27"/>
  <c r="Z22" i="27"/>
  <c r="Z35" i="27"/>
  <c r="Z38" i="27"/>
  <c r="Z29" i="27"/>
  <c r="Z41" i="27"/>
  <c r="Z32" i="27"/>
  <c r="Z36" i="27"/>
  <c r="Z47" i="27"/>
  <c r="Z43" i="27"/>
  <c r="Z10" i="27"/>
  <c r="Z13" i="27"/>
  <c r="Z17" i="27"/>
  <c r="Z21" i="27"/>
  <c r="Z25" i="27"/>
  <c r="Z24" i="27"/>
  <c r="Z19" i="27"/>
  <c r="Z33" i="27"/>
  <c r="Z48" i="27"/>
  <c r="Z51" i="27"/>
  <c r="Z52" i="27"/>
  <c r="Z58" i="27"/>
  <c r="Z62" i="27"/>
  <c r="Z66" i="27"/>
  <c r="Z72" i="27"/>
  <c r="Z76" i="27"/>
  <c r="Z71" i="27"/>
  <c r="Z84" i="27"/>
  <c r="Z54" i="27"/>
  <c r="Z65" i="27"/>
  <c r="Z60" i="27"/>
  <c r="Z68" i="27"/>
  <c r="Z69" i="27"/>
  <c r="Z82" i="27"/>
  <c r="Z56" i="27"/>
  <c r="Z55" i="27"/>
  <c r="Z74" i="27"/>
  <c r="Z73" i="27"/>
  <c r="Z85" i="27"/>
  <c r="Z80" i="27"/>
  <c r="Z86" i="27"/>
  <c r="Z53" i="27"/>
  <c r="Z57" i="27"/>
  <c r="Z67" i="27"/>
  <c r="Z64" i="27"/>
  <c r="Z70" i="27"/>
  <c r="Z75" i="27"/>
  <c r="Z78" i="27"/>
  <c r="Z87" i="27"/>
  <c r="C9" i="11"/>
  <c r="H7" i="22" l="1"/>
  <c r="I7" i="24"/>
  <c r="D21" i="24"/>
  <c r="D15" i="24" s="1"/>
  <c r="I6" i="24"/>
  <c r="D6" i="11" s="1"/>
  <c r="I7" i="11" s="1"/>
  <c r="Z8" i="27"/>
  <c r="AA87" i="27"/>
  <c r="AA86" i="27"/>
  <c r="AA82" i="27"/>
  <c r="AA80" i="27"/>
  <c r="AA78" i="27"/>
  <c r="AA75" i="27"/>
  <c r="AA73" i="27"/>
  <c r="AA68" i="27"/>
  <c r="AA66" i="27"/>
  <c r="AA64" i="27"/>
  <c r="AA62" i="27"/>
  <c r="AA60" i="27"/>
  <c r="AA58" i="27"/>
  <c r="AA57" i="27"/>
  <c r="AA55" i="27"/>
  <c r="AA53" i="27"/>
  <c r="AA47" i="27"/>
  <c r="AA45" i="27"/>
  <c r="AA43" i="27"/>
  <c r="AA34" i="27"/>
  <c r="AA30" i="27"/>
  <c r="AA23" i="27"/>
  <c r="AA19" i="27"/>
  <c r="AA15" i="27"/>
  <c r="AA11" i="27"/>
  <c r="AB9" i="27"/>
  <c r="AA25" i="27"/>
  <c r="AA21" i="27"/>
  <c r="AA17" i="27"/>
  <c r="AA13" i="27"/>
  <c r="AA10" i="27"/>
  <c r="AA16" i="27"/>
  <c r="AA24" i="27"/>
  <c r="AA40" i="27"/>
  <c r="AA27" i="27"/>
  <c r="AA31" i="27"/>
  <c r="AA35" i="27"/>
  <c r="AA38" i="27"/>
  <c r="AA29" i="27"/>
  <c r="AA41" i="27"/>
  <c r="AA49" i="27"/>
  <c r="AA50" i="27"/>
  <c r="AA33" i="27"/>
  <c r="AA37" i="27"/>
  <c r="AA39" i="27"/>
  <c r="AA42" i="27"/>
  <c r="AA46" i="27"/>
  <c r="AA44" i="27"/>
  <c r="AA12" i="27"/>
  <c r="AA20" i="27"/>
  <c r="AA32" i="27"/>
  <c r="AA36" i="27"/>
  <c r="AA48" i="27"/>
  <c r="AA14" i="27"/>
  <c r="AA18" i="27"/>
  <c r="AA22" i="27"/>
  <c r="AA26" i="27"/>
  <c r="AA65" i="27"/>
  <c r="AA69" i="27"/>
  <c r="AA71" i="27"/>
  <c r="AA74" i="27"/>
  <c r="AA79" i="27"/>
  <c r="AA84" i="27"/>
  <c r="AA88" i="27"/>
  <c r="AA59" i="27"/>
  <c r="AA61" i="27"/>
  <c r="AA63" i="27"/>
  <c r="AA56" i="27"/>
  <c r="AA67" i="27"/>
  <c r="AA72" i="27"/>
  <c r="AA77" i="27"/>
  <c r="AA85" i="27"/>
  <c r="AA51" i="27"/>
  <c r="AA54" i="27"/>
  <c r="AA81" i="27"/>
  <c r="AA83" i="27"/>
  <c r="AA52" i="27"/>
  <c r="AA70" i="27"/>
  <c r="AA76" i="27"/>
  <c r="AB88" i="27" l="1"/>
  <c r="AB84" i="27"/>
  <c r="AB86" i="27"/>
  <c r="AB79" i="27"/>
  <c r="AB77" i="27"/>
  <c r="AB56" i="27"/>
  <c r="AB54" i="27"/>
  <c r="AB52" i="27"/>
  <c r="AB48" i="27"/>
  <c r="AB46" i="27"/>
  <c r="AB42" i="27"/>
  <c r="AB38" i="27"/>
  <c r="AB27" i="27"/>
  <c r="AB11" i="27"/>
  <c r="AC9" i="27"/>
  <c r="AB17" i="27"/>
  <c r="AB25" i="27"/>
  <c r="AB41" i="27"/>
  <c r="AB32" i="27"/>
  <c r="AB36" i="27"/>
  <c r="AB40" i="27"/>
  <c r="AB30" i="27"/>
  <c r="AB34" i="27"/>
  <c r="AB50" i="27"/>
  <c r="AB14" i="27"/>
  <c r="AB43" i="27"/>
  <c r="AB18" i="27"/>
  <c r="AB13" i="27"/>
  <c r="AB21" i="27"/>
  <c r="AB16" i="27"/>
  <c r="AB24" i="27"/>
  <c r="AB29" i="27"/>
  <c r="AB33" i="27"/>
  <c r="AB37" i="27"/>
  <c r="AB39" i="27"/>
  <c r="AB31" i="27"/>
  <c r="AB44" i="27"/>
  <c r="AB49" i="27"/>
  <c r="AB15" i="27"/>
  <c r="AB19" i="27"/>
  <c r="AB23" i="27"/>
  <c r="AB22" i="27"/>
  <c r="AB26" i="27"/>
  <c r="AB10" i="27"/>
  <c r="AB12" i="27"/>
  <c r="AB20" i="27"/>
  <c r="AB35" i="27"/>
  <c r="AB45" i="27"/>
  <c r="AB47" i="27"/>
  <c r="AB67" i="27"/>
  <c r="AB60" i="27"/>
  <c r="AB64" i="27"/>
  <c r="AB68" i="27"/>
  <c r="AB62" i="27"/>
  <c r="AB70" i="27"/>
  <c r="AB71" i="27"/>
  <c r="AB73" i="27"/>
  <c r="AB57" i="27"/>
  <c r="AB65" i="27"/>
  <c r="AB72" i="27"/>
  <c r="AB81" i="27"/>
  <c r="AB83" i="27"/>
  <c r="AB51" i="27"/>
  <c r="AB59" i="27"/>
  <c r="AB61" i="27"/>
  <c r="AB63" i="27"/>
  <c r="AB58" i="27"/>
  <c r="AB66" i="27"/>
  <c r="AB74" i="27"/>
  <c r="AB75" i="27"/>
  <c r="AB85" i="27"/>
  <c r="AB78" i="27"/>
  <c r="AB82" i="27"/>
  <c r="AB80" i="27"/>
  <c r="AB55" i="27"/>
  <c r="AB53" i="27"/>
  <c r="AB76" i="27"/>
  <c r="AB69" i="27"/>
  <c r="AB87" i="27"/>
  <c r="AA8" i="27"/>
  <c r="AB8" i="27" l="1"/>
  <c r="AC87" i="27"/>
  <c r="AC84" i="27"/>
  <c r="AC82" i="27"/>
  <c r="AC80" i="27"/>
  <c r="AC78" i="27"/>
  <c r="AC75" i="27"/>
  <c r="AC73" i="27"/>
  <c r="AC68" i="27"/>
  <c r="AC66" i="27"/>
  <c r="AC64" i="27"/>
  <c r="AC62" i="27"/>
  <c r="AC60" i="27"/>
  <c r="AC58" i="27"/>
  <c r="AC57" i="27"/>
  <c r="AC55" i="27"/>
  <c r="AC53" i="27"/>
  <c r="AC49" i="27"/>
  <c r="AC43" i="27"/>
  <c r="AC47" i="27"/>
  <c r="AC45" i="27"/>
  <c r="AC36" i="27"/>
  <c r="AC30" i="27"/>
  <c r="AC25" i="27"/>
  <c r="AC21" i="27"/>
  <c r="AC17" i="27"/>
  <c r="AC13" i="27"/>
  <c r="AC10" i="27"/>
  <c r="AC23" i="27"/>
  <c r="AC19" i="27"/>
  <c r="AC15" i="27"/>
  <c r="AC11" i="27"/>
  <c r="AD9" i="27"/>
  <c r="AC12" i="27"/>
  <c r="AC16" i="27"/>
  <c r="AC20" i="27"/>
  <c r="AC24" i="27"/>
  <c r="AC18" i="27"/>
  <c r="AC26" i="27"/>
  <c r="AC32" i="27"/>
  <c r="AC31" i="27"/>
  <c r="AC35" i="27"/>
  <c r="AC38" i="27"/>
  <c r="AC42" i="27"/>
  <c r="AC29" i="27"/>
  <c r="AC33" i="27"/>
  <c r="AC37" i="27"/>
  <c r="AC39" i="27"/>
  <c r="AC41" i="27"/>
  <c r="AC14" i="27"/>
  <c r="AC22" i="27"/>
  <c r="AC44" i="27"/>
  <c r="AC34" i="27"/>
  <c r="AC40" i="27"/>
  <c r="AC27" i="27"/>
  <c r="AC50" i="27"/>
  <c r="AC46" i="27"/>
  <c r="AC48" i="27"/>
  <c r="AC59" i="27"/>
  <c r="AC61" i="27"/>
  <c r="AC63" i="27"/>
  <c r="AC56" i="27"/>
  <c r="AC69" i="27"/>
  <c r="AC72" i="27"/>
  <c r="AC77" i="27"/>
  <c r="AC86" i="27"/>
  <c r="AC51" i="27"/>
  <c r="AC54" i="27"/>
  <c r="AC85" i="27"/>
  <c r="AC81" i="27"/>
  <c r="AC83" i="27"/>
  <c r="AC52" i="27"/>
  <c r="AC71" i="27"/>
  <c r="AC76" i="27"/>
  <c r="AC65" i="27"/>
  <c r="AC67" i="27"/>
  <c r="AC70" i="27"/>
  <c r="AC74" i="27"/>
  <c r="AC79" i="27"/>
  <c r="AC88" i="27"/>
  <c r="AD11" i="27" l="1"/>
  <c r="AE9" i="27"/>
  <c r="AD10" i="27"/>
  <c r="AD13" i="27"/>
  <c r="AD17" i="27"/>
  <c r="AD21" i="27"/>
  <c r="AD25" i="27"/>
  <c r="AD24" i="27"/>
  <c r="AD19" i="27"/>
  <c r="AD33" i="27"/>
  <c r="AD48" i="27"/>
  <c r="AD12" i="27"/>
  <c r="AD31" i="27"/>
  <c r="AD30" i="27"/>
  <c r="AD34" i="27"/>
  <c r="AD42" i="27"/>
  <c r="AD46" i="27"/>
  <c r="AD44" i="27"/>
  <c r="AD50" i="27"/>
  <c r="AD16" i="27"/>
  <c r="AD15" i="27"/>
  <c r="AD23" i="27"/>
  <c r="AD18" i="27"/>
  <c r="AD26" i="27"/>
  <c r="AD27" i="27"/>
  <c r="AD37" i="27"/>
  <c r="AD39" i="27"/>
  <c r="AD40" i="27"/>
  <c r="AD45" i="27"/>
  <c r="AD49" i="27"/>
  <c r="AD20" i="27"/>
  <c r="AD14" i="27"/>
  <c r="AD22" i="27"/>
  <c r="AD35" i="27"/>
  <c r="AD38" i="27"/>
  <c r="AD29" i="27"/>
  <c r="AD41" i="27"/>
  <c r="AD32" i="27"/>
  <c r="AD36" i="27"/>
  <c r="AD47" i="27"/>
  <c r="AD43" i="27"/>
  <c r="AD56" i="27"/>
  <c r="AD63" i="27"/>
  <c r="AD53" i="27"/>
  <c r="AD57" i="27"/>
  <c r="AD64" i="27"/>
  <c r="AD70" i="27"/>
  <c r="AD72" i="27"/>
  <c r="AD77" i="27"/>
  <c r="AD81" i="27"/>
  <c r="AD75" i="27"/>
  <c r="AD78" i="27"/>
  <c r="AD87" i="27"/>
  <c r="AD54" i="27"/>
  <c r="AD61" i="27"/>
  <c r="AD58" i="27"/>
  <c r="AD62" i="27"/>
  <c r="AD66" i="27"/>
  <c r="AD85" i="27"/>
  <c r="AD84" i="27"/>
  <c r="AD52" i="27"/>
  <c r="AD59" i="27"/>
  <c r="AD67" i="27"/>
  <c r="AD60" i="27"/>
  <c r="AD68" i="27"/>
  <c r="AD69" i="27"/>
  <c r="AD76" i="27"/>
  <c r="AD83" i="27"/>
  <c r="AD82" i="27"/>
  <c r="AD51" i="27"/>
  <c r="AD55" i="27"/>
  <c r="AD65" i="27"/>
  <c r="AD71" i="27"/>
  <c r="AD74" i="27"/>
  <c r="AD73" i="27"/>
  <c r="AD79" i="27"/>
  <c r="AD80" i="27"/>
  <c r="AD88" i="27"/>
  <c r="AD86" i="27"/>
  <c r="AC8" i="27"/>
  <c r="I11" i="11"/>
  <c r="AD8" i="27" l="1"/>
  <c r="AE87" i="27"/>
  <c r="AE86" i="27"/>
  <c r="AE82" i="27"/>
  <c r="AE80" i="27"/>
  <c r="AE78" i="27"/>
  <c r="AE75" i="27"/>
  <c r="AE73" i="27"/>
  <c r="AE68" i="27"/>
  <c r="AE66" i="27"/>
  <c r="AE64" i="27"/>
  <c r="AE62" i="27"/>
  <c r="AE60" i="27"/>
  <c r="AE58" i="27"/>
  <c r="AE57" i="27"/>
  <c r="AE55" i="27"/>
  <c r="AE53" i="27"/>
  <c r="AE47" i="27"/>
  <c r="AE45" i="27"/>
  <c r="AE43" i="27"/>
  <c r="AE30" i="27"/>
  <c r="AE23" i="27"/>
  <c r="AE19" i="27"/>
  <c r="AE15" i="27"/>
  <c r="AE11" i="27"/>
  <c r="AF9" i="27"/>
  <c r="AE25" i="27"/>
  <c r="AE21" i="27"/>
  <c r="AE17" i="27"/>
  <c r="AE13" i="27"/>
  <c r="AE10" i="27"/>
  <c r="AE14" i="27"/>
  <c r="AE18" i="27"/>
  <c r="AE22" i="27"/>
  <c r="AE26" i="27"/>
  <c r="AE16" i="27"/>
  <c r="AE24" i="27"/>
  <c r="AE40" i="27"/>
  <c r="AE27" i="27"/>
  <c r="AE31" i="27"/>
  <c r="AE35" i="27"/>
  <c r="AE38" i="27"/>
  <c r="AE29" i="27"/>
  <c r="AE41" i="27"/>
  <c r="AE49" i="27"/>
  <c r="AE50" i="27"/>
  <c r="AE33" i="27"/>
  <c r="AE37" i="27"/>
  <c r="AE39" i="27"/>
  <c r="AE42" i="27"/>
  <c r="AE46" i="27"/>
  <c r="AE44" i="27"/>
  <c r="AE12" i="27"/>
  <c r="AE20" i="27"/>
  <c r="AE32" i="27"/>
  <c r="AE36" i="27"/>
  <c r="AE34" i="27"/>
  <c r="AE48" i="27"/>
  <c r="AE59" i="27"/>
  <c r="AE61" i="27"/>
  <c r="AE63" i="27"/>
  <c r="AE56" i="27"/>
  <c r="AE67" i="27"/>
  <c r="AE70" i="27"/>
  <c r="AE72" i="27"/>
  <c r="AE77" i="27"/>
  <c r="AE51" i="27"/>
  <c r="AE54" i="27"/>
  <c r="AE69" i="27"/>
  <c r="AE81" i="27"/>
  <c r="AE83" i="27"/>
  <c r="AE84" i="27"/>
  <c r="AE52" i="27"/>
  <c r="AE76" i="27"/>
  <c r="AE65" i="27"/>
  <c r="AE71" i="27"/>
  <c r="AE74" i="27"/>
  <c r="AE79" i="27"/>
  <c r="AE85" i="27"/>
  <c r="AE88" i="27"/>
  <c r="AE8" i="27" l="1"/>
  <c r="AF86" i="27"/>
  <c r="AG86" i="27" s="1"/>
  <c r="AH86" i="27" s="1"/>
  <c r="AF84" i="27"/>
  <c r="AG84" i="27" s="1"/>
  <c r="AH84" i="27" s="1"/>
  <c r="AF79" i="27"/>
  <c r="AG79" i="27" s="1"/>
  <c r="AH79" i="27" s="1"/>
  <c r="AF77" i="27"/>
  <c r="AG77" i="27" s="1"/>
  <c r="AH77" i="27" s="1"/>
  <c r="AF56" i="27"/>
  <c r="AG56" i="27" s="1"/>
  <c r="AH56" i="27" s="1"/>
  <c r="AF54" i="27"/>
  <c r="AG54" i="27" s="1"/>
  <c r="AF52" i="27"/>
  <c r="AG52" i="27" s="1"/>
  <c r="AH52" i="27" s="1"/>
  <c r="AH54" i="27"/>
  <c r="AF48" i="27"/>
  <c r="AG48" i="27" s="1"/>
  <c r="AH48" i="27" s="1"/>
  <c r="AF46" i="27"/>
  <c r="AG46" i="27" s="1"/>
  <c r="AH46" i="27" s="1"/>
  <c r="AF42" i="27"/>
  <c r="AG42" i="27" s="1"/>
  <c r="AH42" i="27" s="1"/>
  <c r="AI9" i="27"/>
  <c r="AF11" i="27"/>
  <c r="AG11" i="27" s="1"/>
  <c r="AH11" i="27" s="1"/>
  <c r="AF15" i="27"/>
  <c r="AG15" i="27" s="1"/>
  <c r="AH15" i="27" s="1"/>
  <c r="AF19" i="27"/>
  <c r="AG19" i="27" s="1"/>
  <c r="AH19" i="27" s="1"/>
  <c r="AF23" i="27"/>
  <c r="AG23" i="27" s="1"/>
  <c r="AH23" i="27" s="1"/>
  <c r="AF22" i="27"/>
  <c r="AG22" i="27" s="1"/>
  <c r="AH22" i="27" s="1"/>
  <c r="AF26" i="27"/>
  <c r="AG26" i="27" s="1"/>
  <c r="AH26" i="27" s="1"/>
  <c r="AF10" i="27"/>
  <c r="AF12" i="27"/>
  <c r="AG12" i="27" s="1"/>
  <c r="AH12" i="27" s="1"/>
  <c r="AF20" i="27"/>
  <c r="AG20" i="27" s="1"/>
  <c r="AH20" i="27" s="1"/>
  <c r="AF35" i="27"/>
  <c r="AG35" i="27" s="1"/>
  <c r="AH35" i="27" s="1"/>
  <c r="AF45" i="27"/>
  <c r="AG45" i="27" s="1"/>
  <c r="AH45" i="27" s="1"/>
  <c r="AF47" i="27"/>
  <c r="AG47" i="27" s="1"/>
  <c r="AH47" i="27" s="1"/>
  <c r="AF17" i="27"/>
  <c r="AG17" i="27" s="1"/>
  <c r="AH17" i="27" s="1"/>
  <c r="AF25" i="27"/>
  <c r="AG25" i="27" s="1"/>
  <c r="AH25" i="27" s="1"/>
  <c r="AF41" i="27"/>
  <c r="AG41" i="27" s="1"/>
  <c r="AH41" i="27" s="1"/>
  <c r="AF32" i="27"/>
  <c r="AG32" i="27" s="1"/>
  <c r="AH32" i="27" s="1"/>
  <c r="AF36" i="27"/>
  <c r="AG36" i="27" s="1"/>
  <c r="AH36" i="27" s="1"/>
  <c r="AF40" i="27"/>
  <c r="AG40" i="27" s="1"/>
  <c r="AH40" i="27" s="1"/>
  <c r="AF27" i="27"/>
  <c r="AG27" i="27" s="1"/>
  <c r="AH27" i="27" s="1"/>
  <c r="AF30" i="27"/>
  <c r="AG30" i="27" s="1"/>
  <c r="AH30" i="27" s="1"/>
  <c r="AF34" i="27"/>
  <c r="AG34" i="27" s="1"/>
  <c r="AH34" i="27" s="1"/>
  <c r="AF50" i="27"/>
  <c r="AG50" i="27" s="1"/>
  <c r="AH50" i="27" s="1"/>
  <c r="AF14" i="27"/>
  <c r="AG14" i="27" s="1"/>
  <c r="AH14" i="27" s="1"/>
  <c r="AF38" i="27"/>
  <c r="AG38" i="27" s="1"/>
  <c r="AH38" i="27" s="1"/>
  <c r="AF43" i="27"/>
  <c r="AG43" i="27" s="1"/>
  <c r="AH43" i="27" s="1"/>
  <c r="AF18" i="27"/>
  <c r="AG18" i="27" s="1"/>
  <c r="AH18" i="27" s="1"/>
  <c r="AF13" i="27"/>
  <c r="AG13" i="27" s="1"/>
  <c r="AH13" i="27" s="1"/>
  <c r="AF21" i="27"/>
  <c r="AG21" i="27" s="1"/>
  <c r="AH21" i="27" s="1"/>
  <c r="AF16" i="27"/>
  <c r="AG16" i="27" s="1"/>
  <c r="AH16" i="27" s="1"/>
  <c r="AF24" i="27"/>
  <c r="AG24" i="27" s="1"/>
  <c r="AH24" i="27" s="1"/>
  <c r="AF29" i="27"/>
  <c r="AG29" i="27" s="1"/>
  <c r="AH29" i="27" s="1"/>
  <c r="AF33" i="27"/>
  <c r="AG33" i="27" s="1"/>
  <c r="AH33" i="27" s="1"/>
  <c r="AF37" i="27"/>
  <c r="AG37" i="27" s="1"/>
  <c r="AH37" i="27" s="1"/>
  <c r="AF39" i="27"/>
  <c r="AG39" i="27" s="1"/>
  <c r="AH39" i="27" s="1"/>
  <c r="AF31" i="27"/>
  <c r="AG31" i="27" s="1"/>
  <c r="AH31" i="27" s="1"/>
  <c r="AF44" i="27"/>
  <c r="AG44" i="27" s="1"/>
  <c r="AH44" i="27" s="1"/>
  <c r="AF49" i="27"/>
  <c r="AG49" i="27" s="1"/>
  <c r="AH49" i="27" s="1"/>
  <c r="AF55" i="27"/>
  <c r="AG55" i="27" s="1"/>
  <c r="AH55" i="27" s="1"/>
  <c r="AF53" i="27"/>
  <c r="AG53" i="27" s="1"/>
  <c r="AH53" i="27" s="1"/>
  <c r="AF69" i="27"/>
  <c r="AG69" i="27" s="1"/>
  <c r="AH69" i="27" s="1"/>
  <c r="AF51" i="27"/>
  <c r="AG51" i="27" s="1"/>
  <c r="AH51" i="27" s="1"/>
  <c r="AF60" i="27"/>
  <c r="AG60" i="27" s="1"/>
  <c r="AH60" i="27" s="1"/>
  <c r="AF64" i="27"/>
  <c r="AG64" i="27" s="1"/>
  <c r="AH64" i="27" s="1"/>
  <c r="AF68" i="27"/>
  <c r="AG68" i="27" s="1"/>
  <c r="AH68" i="27" s="1"/>
  <c r="AF62" i="27"/>
  <c r="AG62" i="27" s="1"/>
  <c r="AH62" i="27" s="1"/>
  <c r="AF72" i="27"/>
  <c r="AG72" i="27" s="1"/>
  <c r="AH72" i="27" s="1"/>
  <c r="AF76" i="27"/>
  <c r="AG76" i="27" s="1"/>
  <c r="AH76" i="27" s="1"/>
  <c r="AF70" i="27"/>
  <c r="AG70" i="27" s="1"/>
  <c r="AH70" i="27" s="1"/>
  <c r="AF85" i="27"/>
  <c r="AG85" i="27" s="1"/>
  <c r="AH85" i="27" s="1"/>
  <c r="AF73" i="27"/>
  <c r="AG73" i="27" s="1"/>
  <c r="AH73" i="27" s="1"/>
  <c r="AF81" i="27"/>
  <c r="AG81" i="27" s="1"/>
  <c r="AH81" i="27" s="1"/>
  <c r="AF83" i="27"/>
  <c r="AG83" i="27" s="1"/>
  <c r="AH83" i="27" s="1"/>
  <c r="AF59" i="27"/>
  <c r="AG59" i="27" s="1"/>
  <c r="AH59" i="27" s="1"/>
  <c r="AF61" i="27"/>
  <c r="AG61" i="27" s="1"/>
  <c r="AH61" i="27" s="1"/>
  <c r="AF63" i="27"/>
  <c r="AG63" i="27" s="1"/>
  <c r="AH63" i="27" s="1"/>
  <c r="AF65" i="27"/>
  <c r="AG65" i="27" s="1"/>
  <c r="AH65" i="27" s="1"/>
  <c r="AF57" i="27"/>
  <c r="AG57" i="27" s="1"/>
  <c r="AH57" i="27" s="1"/>
  <c r="AF67" i="27"/>
  <c r="AG67" i="27" s="1"/>
  <c r="AH67" i="27" s="1"/>
  <c r="AF58" i="27"/>
  <c r="AG58" i="27" s="1"/>
  <c r="AH58" i="27" s="1"/>
  <c r="AF66" i="27"/>
  <c r="AG66" i="27" s="1"/>
  <c r="AH66" i="27" s="1"/>
  <c r="AF74" i="27"/>
  <c r="AG74" i="27" s="1"/>
  <c r="AH74" i="27" s="1"/>
  <c r="AF71" i="27"/>
  <c r="AG71" i="27" s="1"/>
  <c r="AH71" i="27" s="1"/>
  <c r="AF75" i="27"/>
  <c r="AG75" i="27" s="1"/>
  <c r="AH75" i="27" s="1"/>
  <c r="AF78" i="27"/>
  <c r="AG78" i="27" s="1"/>
  <c r="AH78" i="27" s="1"/>
  <c r="AF82" i="27"/>
  <c r="AG82" i="27" s="1"/>
  <c r="AH82" i="27" s="1"/>
  <c r="AF80" i="27"/>
  <c r="AG80" i="27" s="1"/>
  <c r="AH80" i="27" s="1"/>
  <c r="AF88" i="27"/>
  <c r="AG88" i="27" s="1"/>
  <c r="AH88" i="27" s="1"/>
  <c r="AF87" i="27"/>
  <c r="AG87" i="27" s="1"/>
  <c r="AH87" i="27" s="1"/>
  <c r="E11" i="11"/>
  <c r="AH4" i="27" l="1"/>
  <c r="AH3" i="27"/>
  <c r="AH5" i="27"/>
  <c r="AF8" i="27"/>
  <c r="AG10" i="27"/>
  <c r="AI87" i="27"/>
  <c r="AI86" i="27"/>
  <c r="AI82" i="27"/>
  <c r="AI80" i="27"/>
  <c r="AI78" i="27"/>
  <c r="AI75" i="27"/>
  <c r="AI73" i="27"/>
  <c r="AI68" i="27"/>
  <c r="AI66" i="27"/>
  <c r="AI64" i="27"/>
  <c r="AI62" i="27"/>
  <c r="AI60" i="27"/>
  <c r="AI58" i="27"/>
  <c r="AI57" i="27"/>
  <c r="AI55" i="27"/>
  <c r="AI53" i="27"/>
  <c r="AI47" i="27"/>
  <c r="AI45" i="27"/>
  <c r="AI30" i="27"/>
  <c r="AI23" i="27"/>
  <c r="AI19" i="27"/>
  <c r="AI15" i="27"/>
  <c r="AI11" i="27"/>
  <c r="AJ9" i="27"/>
  <c r="AI25" i="27"/>
  <c r="AI21" i="27"/>
  <c r="AI17" i="27"/>
  <c r="AI13" i="27"/>
  <c r="AI10" i="27"/>
  <c r="AI12" i="27"/>
  <c r="AI20" i="27"/>
  <c r="AI32" i="27"/>
  <c r="AI36" i="27"/>
  <c r="AI34" i="27"/>
  <c r="AI43" i="27"/>
  <c r="AI48" i="27"/>
  <c r="AI14" i="27"/>
  <c r="AI18" i="27"/>
  <c r="AI22" i="27"/>
  <c r="AI26" i="27"/>
  <c r="AI16" i="27"/>
  <c r="AI24" i="27"/>
  <c r="AI40" i="27"/>
  <c r="AI27" i="27"/>
  <c r="AI31" i="27"/>
  <c r="AI35" i="27"/>
  <c r="AI38" i="27"/>
  <c r="AI29" i="27"/>
  <c r="AI41" i="27"/>
  <c r="AI49" i="27"/>
  <c r="AI33" i="27"/>
  <c r="AI37" i="27"/>
  <c r="AI39" i="27"/>
  <c r="AI42" i="27"/>
  <c r="AI44" i="27"/>
  <c r="AI51" i="27"/>
  <c r="AI54" i="27"/>
  <c r="AI85" i="27"/>
  <c r="AI81" i="27"/>
  <c r="AI83" i="27"/>
  <c r="AI52" i="27"/>
  <c r="AI70" i="27"/>
  <c r="AI71" i="27"/>
  <c r="AI76" i="27"/>
  <c r="AI65" i="27"/>
  <c r="AI69" i="27"/>
  <c r="AI74" i="27"/>
  <c r="AI79" i="27"/>
  <c r="AI84" i="27"/>
  <c r="AI88" i="27"/>
  <c r="AI59" i="27"/>
  <c r="AI61" i="27"/>
  <c r="AI63" i="27"/>
  <c r="AI56" i="27"/>
  <c r="AI67" i="27"/>
  <c r="AI72" i="27"/>
  <c r="AI77" i="27"/>
  <c r="AI8" i="27" l="1"/>
  <c r="AJ84" i="27"/>
  <c r="AJ79" i="27"/>
  <c r="AJ77" i="27"/>
  <c r="AJ86" i="27"/>
  <c r="AJ88" i="27"/>
  <c r="AJ56" i="27"/>
  <c r="AJ54" i="27"/>
  <c r="AJ52" i="27"/>
  <c r="AJ48" i="27"/>
  <c r="AJ42" i="27"/>
  <c r="AJ11" i="27"/>
  <c r="AK9" i="27"/>
  <c r="AJ18" i="27"/>
  <c r="AJ13" i="27"/>
  <c r="AJ21" i="27"/>
  <c r="AJ16" i="27"/>
  <c r="AJ24" i="27"/>
  <c r="AJ29" i="27"/>
  <c r="AJ33" i="27"/>
  <c r="AJ37" i="27"/>
  <c r="AJ39" i="27"/>
  <c r="AJ31" i="27"/>
  <c r="AJ44" i="27"/>
  <c r="AJ49" i="27"/>
  <c r="AJ15" i="27"/>
  <c r="AJ19" i="27"/>
  <c r="AJ23" i="27"/>
  <c r="AJ22" i="27"/>
  <c r="AJ26" i="27"/>
  <c r="AJ10" i="27"/>
  <c r="AJ12" i="27"/>
  <c r="AJ20" i="27"/>
  <c r="AJ35" i="27"/>
  <c r="AJ45" i="27"/>
  <c r="AJ47" i="27"/>
  <c r="AJ17" i="27"/>
  <c r="AJ25" i="27"/>
  <c r="AJ41" i="27"/>
  <c r="AJ32" i="27"/>
  <c r="AJ36" i="27"/>
  <c r="AJ40" i="27"/>
  <c r="AJ27" i="27"/>
  <c r="AJ30" i="27"/>
  <c r="AJ34" i="27"/>
  <c r="AJ14" i="27"/>
  <c r="AJ38" i="27"/>
  <c r="AJ43" i="27"/>
  <c r="AJ51" i="27"/>
  <c r="AJ58" i="27"/>
  <c r="AJ66" i="27"/>
  <c r="AJ76" i="27"/>
  <c r="AJ75" i="27"/>
  <c r="AJ85" i="27"/>
  <c r="AJ81" i="27"/>
  <c r="AJ83" i="27"/>
  <c r="AJ78" i="27"/>
  <c r="AJ82" i="27"/>
  <c r="AJ80" i="27"/>
  <c r="AJ59" i="27"/>
  <c r="AJ61" i="27"/>
  <c r="AJ63" i="27"/>
  <c r="AJ55" i="27"/>
  <c r="AJ53" i="27"/>
  <c r="AJ69" i="27"/>
  <c r="AJ87" i="27"/>
  <c r="AJ65" i="27"/>
  <c r="AJ67" i="27"/>
  <c r="AJ60" i="27"/>
  <c r="AJ64" i="27"/>
  <c r="AJ68" i="27"/>
  <c r="AJ62" i="27"/>
  <c r="AJ70" i="27"/>
  <c r="AJ72" i="27"/>
  <c r="AJ71" i="27"/>
  <c r="AJ73" i="27"/>
  <c r="AJ57" i="27"/>
  <c r="AJ74" i="27"/>
  <c r="AG8" i="27"/>
  <c r="AH10" i="27"/>
  <c r="AH8" i="27" l="1"/>
  <c r="AH1" i="27"/>
  <c r="AJ8" i="27"/>
  <c r="AK87" i="27"/>
  <c r="AK84" i="27"/>
  <c r="AK82" i="27"/>
  <c r="AK80" i="27"/>
  <c r="AK78" i="27"/>
  <c r="AK75" i="27"/>
  <c r="AK73" i="27"/>
  <c r="AK68" i="27"/>
  <c r="AK66" i="27"/>
  <c r="AK57" i="27"/>
  <c r="AK55" i="27"/>
  <c r="AK53" i="27"/>
  <c r="AK64" i="27"/>
  <c r="AK62" i="27"/>
  <c r="AK60" i="27"/>
  <c r="AK58" i="27"/>
  <c r="AK49" i="27"/>
  <c r="AK43" i="27"/>
  <c r="AK47" i="27"/>
  <c r="AK45" i="27"/>
  <c r="AK25" i="27"/>
  <c r="AK21" i="27"/>
  <c r="AK17" i="27"/>
  <c r="AK13" i="27"/>
  <c r="AK10" i="27"/>
  <c r="AK23" i="27"/>
  <c r="AK19" i="27"/>
  <c r="AK15" i="27"/>
  <c r="AK11" i="27"/>
  <c r="AL9" i="27"/>
  <c r="AK34" i="27"/>
  <c r="AK40" i="27"/>
  <c r="AK27" i="27"/>
  <c r="AK48" i="27"/>
  <c r="AK12" i="27"/>
  <c r="AK16" i="27"/>
  <c r="AK20" i="27"/>
  <c r="AK24" i="27"/>
  <c r="AK18" i="27"/>
  <c r="AK26" i="27"/>
  <c r="AK32" i="27"/>
  <c r="AK31" i="27"/>
  <c r="AK35" i="27"/>
  <c r="AK38" i="27"/>
  <c r="AK42" i="27"/>
  <c r="AK30" i="27"/>
  <c r="AK29" i="27"/>
  <c r="AK33" i="27"/>
  <c r="AK37" i="27"/>
  <c r="AK39" i="27"/>
  <c r="AK41" i="27"/>
  <c r="AK14" i="27"/>
  <c r="AK22" i="27"/>
  <c r="AK36" i="27"/>
  <c r="AK44" i="27"/>
  <c r="AK51" i="27"/>
  <c r="AK54" i="27"/>
  <c r="AK70" i="27"/>
  <c r="AK85" i="27"/>
  <c r="AK81" i="27"/>
  <c r="AK83" i="27"/>
  <c r="AK52" i="27"/>
  <c r="AK69" i="27"/>
  <c r="AK76" i="27"/>
  <c r="AK86" i="27"/>
  <c r="AK65" i="27"/>
  <c r="AK67" i="27"/>
  <c r="AK74" i="27"/>
  <c r="AK79" i="27"/>
  <c r="AK88" i="27"/>
  <c r="AK59" i="27"/>
  <c r="AK61" i="27"/>
  <c r="AK63" i="27"/>
  <c r="AK56" i="27"/>
  <c r="AK71" i="27"/>
  <c r="AK72" i="27"/>
  <c r="AK77" i="27"/>
  <c r="AK8" i="27" l="1"/>
  <c r="AL85" i="27"/>
  <c r="AL11" i="27"/>
  <c r="AM9" i="27"/>
  <c r="AL20" i="27"/>
  <c r="AL14" i="27"/>
  <c r="AL22" i="27"/>
  <c r="AL35" i="27"/>
  <c r="AL38" i="27"/>
  <c r="AL29" i="27"/>
  <c r="AL41" i="27"/>
  <c r="AL32" i="27"/>
  <c r="AL36" i="27"/>
  <c r="AL47" i="27"/>
  <c r="AL43" i="27"/>
  <c r="AL10" i="27"/>
  <c r="AL13" i="27"/>
  <c r="AL17" i="27"/>
  <c r="AL21" i="27"/>
  <c r="AL25" i="27"/>
  <c r="AL24" i="27"/>
  <c r="AL19" i="27"/>
  <c r="AL33" i="27"/>
  <c r="AL48" i="27"/>
  <c r="AL12" i="27"/>
  <c r="AL31" i="27"/>
  <c r="AL30" i="27"/>
  <c r="AL34" i="27"/>
  <c r="AL42" i="27"/>
  <c r="AL44" i="27"/>
  <c r="AL16" i="27"/>
  <c r="AL15" i="27"/>
  <c r="AL23" i="27"/>
  <c r="AL18" i="27"/>
  <c r="AL26" i="27"/>
  <c r="AL27" i="27"/>
  <c r="AL37" i="27"/>
  <c r="AL39" i="27"/>
  <c r="AL40" i="27"/>
  <c r="AL45" i="27"/>
  <c r="AL49" i="27"/>
  <c r="AL55" i="27"/>
  <c r="AL65" i="27"/>
  <c r="AL74" i="27"/>
  <c r="AL73" i="27"/>
  <c r="AL79" i="27"/>
  <c r="AL81" i="27"/>
  <c r="AL83" i="27"/>
  <c r="AL80" i="27"/>
  <c r="AL88" i="27"/>
  <c r="AL86" i="27"/>
  <c r="AL56" i="27"/>
  <c r="AL53" i="27"/>
  <c r="AL57" i="27"/>
  <c r="AL67" i="27"/>
  <c r="AL64" i="27"/>
  <c r="AL70" i="27"/>
  <c r="AL72" i="27"/>
  <c r="AL77" i="27"/>
  <c r="AL75" i="27"/>
  <c r="AL78" i="27"/>
  <c r="AL87" i="27"/>
  <c r="AL51" i="27"/>
  <c r="AL54" i="27"/>
  <c r="AL58" i="27"/>
  <c r="AL62" i="27"/>
  <c r="AL66" i="27"/>
  <c r="AL71" i="27"/>
  <c r="AL84" i="27"/>
  <c r="AL59" i="27"/>
  <c r="AL61" i="27"/>
  <c r="AL63" i="27"/>
  <c r="AL52" i="27"/>
  <c r="AL60" i="27"/>
  <c r="AL68" i="27"/>
  <c r="AL69" i="27"/>
  <c r="AL76" i="27"/>
  <c r="AL82" i="27"/>
  <c r="AM87" i="27" l="1"/>
  <c r="AM86" i="27"/>
  <c r="AM82" i="27"/>
  <c r="AM80" i="27"/>
  <c r="AM78" i="27"/>
  <c r="AM75" i="27"/>
  <c r="AM73" i="27"/>
  <c r="AM68" i="27"/>
  <c r="AM66" i="27"/>
  <c r="AM64" i="27"/>
  <c r="AM62" i="27"/>
  <c r="AM60" i="27"/>
  <c r="AM58" i="27"/>
  <c r="AM57" i="27"/>
  <c r="AM55" i="27"/>
  <c r="AM53" i="27"/>
  <c r="AM47" i="27"/>
  <c r="AM45" i="27"/>
  <c r="AM23" i="27"/>
  <c r="AM19" i="27"/>
  <c r="AM15" i="27"/>
  <c r="AM11" i="27"/>
  <c r="AN9" i="27"/>
  <c r="AM25" i="27"/>
  <c r="AM21" i="27"/>
  <c r="AM17" i="27"/>
  <c r="AM13" i="27"/>
  <c r="AM10" i="27"/>
  <c r="AM33" i="27"/>
  <c r="AM37" i="27"/>
  <c r="AM39" i="27"/>
  <c r="AM42" i="27"/>
  <c r="AM44" i="27"/>
  <c r="AM12" i="27"/>
  <c r="AM20" i="27"/>
  <c r="AM32" i="27"/>
  <c r="AM36" i="27"/>
  <c r="AM34" i="27"/>
  <c r="AM43" i="27"/>
  <c r="AM48" i="27"/>
  <c r="AM14" i="27"/>
  <c r="AM18" i="27"/>
  <c r="AM22" i="27"/>
  <c r="AM26" i="27"/>
  <c r="AM30" i="27"/>
  <c r="AM16" i="27"/>
  <c r="AM24" i="27"/>
  <c r="AM40" i="27"/>
  <c r="AM27" i="27"/>
  <c r="AM31" i="27"/>
  <c r="AM35" i="27"/>
  <c r="AM38" i="27"/>
  <c r="AM29" i="27"/>
  <c r="AM41" i="27"/>
  <c r="AM49" i="27"/>
  <c r="AM52" i="27"/>
  <c r="AM71" i="27"/>
  <c r="AM76" i="27"/>
  <c r="AM65" i="27"/>
  <c r="AM74" i="27"/>
  <c r="AM79" i="27"/>
  <c r="AM88" i="27"/>
  <c r="AM59" i="27"/>
  <c r="AM61" i="27"/>
  <c r="AM63" i="27"/>
  <c r="AM56" i="27"/>
  <c r="AM67" i="27"/>
  <c r="AM70" i="27"/>
  <c r="AM72" i="27"/>
  <c r="AM77" i="27"/>
  <c r="AM85" i="27"/>
  <c r="AM51" i="27"/>
  <c r="AM54" i="27"/>
  <c r="AM69" i="27"/>
  <c r="AM81" i="27"/>
  <c r="AM83" i="27"/>
  <c r="AM84" i="27"/>
  <c r="AL8" i="27"/>
  <c r="AM8" i="27" l="1"/>
  <c r="AN86" i="27"/>
  <c r="AN84" i="27"/>
  <c r="AN79" i="27"/>
  <c r="AN77" i="27"/>
  <c r="AN56" i="27"/>
  <c r="AN54" i="27"/>
  <c r="AN52" i="27"/>
  <c r="AN48" i="27"/>
  <c r="AN42" i="27"/>
  <c r="AN11" i="27"/>
  <c r="AO9" i="27"/>
  <c r="AN14" i="27"/>
  <c r="AN38" i="27"/>
  <c r="AN43" i="27"/>
  <c r="AN18" i="27"/>
  <c r="AN13" i="27"/>
  <c r="AN21" i="27"/>
  <c r="AN16" i="27"/>
  <c r="AN24" i="27"/>
  <c r="AN29" i="27"/>
  <c r="AN33" i="27"/>
  <c r="AN37" i="27"/>
  <c r="AN39" i="27"/>
  <c r="AN31" i="27"/>
  <c r="AN44" i="27"/>
  <c r="AN49" i="27"/>
  <c r="AN15" i="27"/>
  <c r="AN19" i="27"/>
  <c r="AN23" i="27"/>
  <c r="AN22" i="27"/>
  <c r="AN26" i="27"/>
  <c r="AN10" i="27"/>
  <c r="AN12" i="27"/>
  <c r="AN20" i="27"/>
  <c r="AN35" i="27"/>
  <c r="AN45" i="27"/>
  <c r="AN47" i="27"/>
  <c r="AN17" i="27"/>
  <c r="AN25" i="27"/>
  <c r="AN41" i="27"/>
  <c r="AN32" i="27"/>
  <c r="AN36" i="27"/>
  <c r="AN40" i="27"/>
  <c r="AN27" i="27"/>
  <c r="AN30" i="27"/>
  <c r="AN34" i="27"/>
  <c r="AN57" i="27"/>
  <c r="AN74" i="27"/>
  <c r="AN81" i="27"/>
  <c r="AN83" i="27"/>
  <c r="AN59" i="27"/>
  <c r="AN61" i="27"/>
  <c r="AN63" i="27"/>
  <c r="AN67" i="27"/>
  <c r="AN58" i="27"/>
  <c r="AN66" i="27"/>
  <c r="AN71" i="27"/>
  <c r="AN75" i="27"/>
  <c r="AN78" i="27"/>
  <c r="AN82" i="27"/>
  <c r="AN80" i="27"/>
  <c r="AN88" i="27"/>
  <c r="AN87" i="27"/>
  <c r="AN55" i="27"/>
  <c r="AN53" i="27"/>
  <c r="AN72" i="27"/>
  <c r="AN76" i="27"/>
  <c r="AN69" i="27"/>
  <c r="AN51" i="27"/>
  <c r="AN65" i="27"/>
  <c r="AN60" i="27"/>
  <c r="AN64" i="27"/>
  <c r="AN68" i="27"/>
  <c r="AN62" i="27"/>
  <c r="AN70" i="27"/>
  <c r="AN85" i="27"/>
  <c r="AN73" i="27"/>
  <c r="AN8" i="27" l="1"/>
  <c r="AO82" i="27"/>
  <c r="AO80" i="27"/>
  <c r="AO78" i="27"/>
  <c r="AO84" i="27"/>
  <c r="AO87" i="27"/>
  <c r="AO75" i="27"/>
  <c r="AO73" i="27"/>
  <c r="AO68" i="27"/>
  <c r="AO66" i="27"/>
  <c r="AO64" i="27"/>
  <c r="AO62" i="27"/>
  <c r="AO60" i="27"/>
  <c r="AO58" i="27"/>
  <c r="AO57" i="27"/>
  <c r="AO55" i="27"/>
  <c r="AO53" i="27"/>
  <c r="AO49" i="27"/>
  <c r="AO43" i="27"/>
  <c r="AO47" i="27"/>
  <c r="AO45" i="27"/>
  <c r="AO25" i="27"/>
  <c r="AO21" i="27"/>
  <c r="AO17" i="27"/>
  <c r="AO13" i="27"/>
  <c r="AO10" i="27"/>
  <c r="AO23" i="27"/>
  <c r="AO19" i="27"/>
  <c r="AO15" i="27"/>
  <c r="AO11" i="27"/>
  <c r="AP9" i="27"/>
  <c r="AO14" i="27"/>
  <c r="AO22" i="27"/>
  <c r="AO36" i="27"/>
  <c r="AO44" i="27"/>
  <c r="AO34" i="27"/>
  <c r="AO40" i="27"/>
  <c r="AO27" i="27"/>
  <c r="AO48" i="27"/>
  <c r="AO12" i="27"/>
  <c r="AO16" i="27"/>
  <c r="AO20" i="27"/>
  <c r="AO24" i="27"/>
  <c r="AO18" i="27"/>
  <c r="AO26" i="27"/>
  <c r="AO32" i="27"/>
  <c r="AO31" i="27"/>
  <c r="AO35" i="27"/>
  <c r="AO38" i="27"/>
  <c r="AO42" i="27"/>
  <c r="AO30" i="27"/>
  <c r="AO29" i="27"/>
  <c r="AO33" i="27"/>
  <c r="AO37" i="27"/>
  <c r="AO39" i="27"/>
  <c r="AO41" i="27"/>
  <c r="AO52" i="27"/>
  <c r="AO76" i="27"/>
  <c r="AO65" i="27"/>
  <c r="AO67" i="27"/>
  <c r="AO70" i="27"/>
  <c r="AO74" i="27"/>
  <c r="AO79" i="27"/>
  <c r="AO88" i="27"/>
  <c r="AO59" i="27"/>
  <c r="AO61" i="27"/>
  <c r="AO63" i="27"/>
  <c r="AO56" i="27"/>
  <c r="AO69" i="27"/>
  <c r="AO72" i="27"/>
  <c r="AO77" i="27"/>
  <c r="AO86" i="27"/>
  <c r="AO51" i="27"/>
  <c r="AO54" i="27"/>
  <c r="AO71" i="27"/>
  <c r="AO85" i="27"/>
  <c r="AO81" i="27"/>
  <c r="AO83" i="27"/>
  <c r="AP88" i="27" l="1"/>
  <c r="AP83" i="27"/>
  <c r="AP81" i="27"/>
  <c r="AP79" i="27"/>
  <c r="AP77" i="27"/>
  <c r="AP63" i="27"/>
  <c r="AP61" i="27"/>
  <c r="AP59" i="27"/>
  <c r="AP11" i="27"/>
  <c r="AQ9" i="27"/>
  <c r="AP16" i="27"/>
  <c r="AP15" i="27"/>
  <c r="AP23" i="27"/>
  <c r="AP18" i="27"/>
  <c r="AP26" i="27"/>
  <c r="AP27" i="27"/>
  <c r="AP37" i="27"/>
  <c r="AP39" i="27"/>
  <c r="AP40" i="27"/>
  <c r="AP45" i="27"/>
  <c r="AP49" i="27"/>
  <c r="AP20" i="27"/>
  <c r="AP14" i="27"/>
  <c r="AP22" i="27"/>
  <c r="AP35" i="27"/>
  <c r="AP38" i="27"/>
  <c r="AP29" i="27"/>
  <c r="AP41" i="27"/>
  <c r="AP32" i="27"/>
  <c r="AP36" i="27"/>
  <c r="AP47" i="27"/>
  <c r="AP43" i="27"/>
  <c r="AP10" i="27"/>
  <c r="AP13" i="27"/>
  <c r="AP17" i="27"/>
  <c r="AP21" i="27"/>
  <c r="AP25" i="27"/>
  <c r="AP24" i="27"/>
  <c r="AP19" i="27"/>
  <c r="AP33" i="27"/>
  <c r="AP48" i="27"/>
  <c r="AP12" i="27"/>
  <c r="AP31" i="27"/>
  <c r="AP30" i="27"/>
  <c r="AP34" i="27"/>
  <c r="AP42" i="27"/>
  <c r="AP44" i="27"/>
  <c r="AP67" i="27"/>
  <c r="AP60" i="27"/>
  <c r="AP68" i="27"/>
  <c r="AP69" i="27"/>
  <c r="AP82" i="27"/>
  <c r="AP51" i="27"/>
  <c r="AP52" i="27"/>
  <c r="AP55" i="27"/>
  <c r="AP72" i="27"/>
  <c r="AP76" i="27"/>
  <c r="AP71" i="27"/>
  <c r="AP73" i="27"/>
  <c r="AP85" i="27"/>
  <c r="AP80" i="27"/>
  <c r="AP86" i="27"/>
  <c r="AP87" i="27"/>
  <c r="AP54" i="27"/>
  <c r="AP53" i="27"/>
  <c r="AP57" i="27"/>
  <c r="AP65" i="27"/>
  <c r="AP64" i="27"/>
  <c r="AP70" i="27"/>
  <c r="AP75" i="27"/>
  <c r="AP78" i="27"/>
  <c r="AP56" i="27"/>
  <c r="AP58" i="27"/>
  <c r="AP62" i="27"/>
  <c r="AP66" i="27"/>
  <c r="AP74" i="27"/>
  <c r="AP84" i="27"/>
  <c r="AO8" i="27"/>
  <c r="AQ87" i="27" l="1"/>
  <c r="AQ86" i="27"/>
  <c r="AQ82" i="27"/>
  <c r="AQ80" i="27"/>
  <c r="AQ78" i="27"/>
  <c r="AQ75" i="27"/>
  <c r="AQ73" i="27"/>
  <c r="AQ68" i="27"/>
  <c r="AQ66" i="27"/>
  <c r="AQ64" i="27"/>
  <c r="AQ62" i="27"/>
  <c r="AQ60" i="27"/>
  <c r="AQ58" i="27"/>
  <c r="AQ57" i="27"/>
  <c r="AQ55" i="27"/>
  <c r="AQ53" i="27"/>
  <c r="AQ47" i="27"/>
  <c r="AQ45" i="27"/>
  <c r="AQ23" i="27"/>
  <c r="AQ19" i="27"/>
  <c r="AQ15" i="27"/>
  <c r="AQ11" i="27"/>
  <c r="AR9" i="27"/>
  <c r="AQ25" i="27"/>
  <c r="AQ21" i="27"/>
  <c r="AQ17" i="27"/>
  <c r="AQ13" i="27"/>
  <c r="AQ10" i="27"/>
  <c r="AQ16" i="27"/>
  <c r="AQ24" i="27"/>
  <c r="AQ40" i="27"/>
  <c r="AQ27" i="27"/>
  <c r="AQ31" i="27"/>
  <c r="AQ35" i="27"/>
  <c r="AQ38" i="27"/>
  <c r="AQ29" i="27"/>
  <c r="AQ41" i="27"/>
  <c r="AQ49" i="27"/>
  <c r="AQ33" i="27"/>
  <c r="AQ37" i="27"/>
  <c r="AQ39" i="27"/>
  <c r="AQ42" i="27"/>
  <c r="AQ44" i="27"/>
  <c r="AQ12" i="27"/>
  <c r="AQ20" i="27"/>
  <c r="AQ32" i="27"/>
  <c r="AQ36" i="27"/>
  <c r="AQ34" i="27"/>
  <c r="AQ43" i="27"/>
  <c r="AQ48" i="27"/>
  <c r="AQ14" i="27"/>
  <c r="AQ18" i="27"/>
  <c r="AQ22" i="27"/>
  <c r="AQ26" i="27"/>
  <c r="AQ30" i="27"/>
  <c r="AQ65" i="27"/>
  <c r="AQ69" i="27"/>
  <c r="AQ74" i="27"/>
  <c r="AQ79" i="27"/>
  <c r="AQ85" i="27"/>
  <c r="AQ84" i="27"/>
  <c r="AQ88" i="27"/>
  <c r="AQ59" i="27"/>
  <c r="AQ61" i="27"/>
  <c r="AQ63" i="27"/>
  <c r="AQ56" i="27"/>
  <c r="AQ67" i="27"/>
  <c r="AQ72" i="27"/>
  <c r="AQ77" i="27"/>
  <c r="AQ51" i="27"/>
  <c r="AQ54" i="27"/>
  <c r="AQ71" i="27"/>
  <c r="AQ81" i="27"/>
  <c r="AQ83" i="27"/>
  <c r="AQ52" i="27"/>
  <c r="AQ70" i="27"/>
  <c r="AQ76" i="27"/>
  <c r="AP8" i="27"/>
  <c r="AQ8" i="27" l="1"/>
  <c r="AR88" i="27"/>
  <c r="AR84" i="27"/>
  <c r="AR86" i="27"/>
  <c r="AR79" i="27"/>
  <c r="AR77" i="27"/>
  <c r="AR56" i="27"/>
  <c r="AR54" i="27"/>
  <c r="AR52" i="27"/>
  <c r="AR48" i="27"/>
  <c r="AR42" i="27"/>
  <c r="AR11" i="27"/>
  <c r="AS9" i="27"/>
  <c r="AR17" i="27"/>
  <c r="AR25" i="27"/>
  <c r="AR41" i="27"/>
  <c r="AR32" i="27"/>
  <c r="AR36" i="27"/>
  <c r="AR40" i="27"/>
  <c r="AR27" i="27"/>
  <c r="AR30" i="27"/>
  <c r="AR34" i="27"/>
  <c r="AR14" i="27"/>
  <c r="AR38" i="27"/>
  <c r="AR43" i="27"/>
  <c r="AR18" i="27"/>
  <c r="AR13" i="27"/>
  <c r="AR21" i="27"/>
  <c r="AR16" i="27"/>
  <c r="AR24" i="27"/>
  <c r="AR29" i="27"/>
  <c r="AR33" i="27"/>
  <c r="AR37" i="27"/>
  <c r="AR39" i="27"/>
  <c r="AR31" i="27"/>
  <c r="AR44" i="27"/>
  <c r="AR49" i="27"/>
  <c r="AR15" i="27"/>
  <c r="AR19" i="27"/>
  <c r="AR23" i="27"/>
  <c r="AR22" i="27"/>
  <c r="AR26" i="27"/>
  <c r="AR10" i="27"/>
  <c r="AR12" i="27"/>
  <c r="AR20" i="27"/>
  <c r="AR35" i="27"/>
  <c r="AR45" i="27"/>
  <c r="AR47" i="27"/>
  <c r="AR59" i="27"/>
  <c r="AR61" i="27"/>
  <c r="AR63" i="27"/>
  <c r="AR67" i="27"/>
  <c r="AR60" i="27"/>
  <c r="AR64" i="27"/>
  <c r="AR68" i="27"/>
  <c r="AR62" i="27"/>
  <c r="AR70" i="27"/>
  <c r="AR74" i="27"/>
  <c r="AR71" i="27"/>
  <c r="AR73" i="27"/>
  <c r="AR57" i="27"/>
  <c r="AR76" i="27"/>
  <c r="AR51" i="27"/>
  <c r="AR58" i="27"/>
  <c r="AR66" i="27"/>
  <c r="AR75" i="27"/>
  <c r="AR85" i="27"/>
  <c r="AR78" i="27"/>
  <c r="AR82" i="27"/>
  <c r="AR80" i="27"/>
  <c r="AR55" i="27"/>
  <c r="AR53" i="27"/>
  <c r="AR65" i="27"/>
  <c r="AR72" i="27"/>
  <c r="AR69" i="27"/>
  <c r="AR81" i="27"/>
  <c r="AR83" i="27"/>
  <c r="AR87" i="27"/>
  <c r="AS87" i="27" l="1"/>
  <c r="AS84" i="27"/>
  <c r="AS82" i="27"/>
  <c r="AS80" i="27"/>
  <c r="AS78" i="27"/>
  <c r="AS75" i="27"/>
  <c r="AS73" i="27"/>
  <c r="AS68" i="27"/>
  <c r="AS66" i="27"/>
  <c r="AS64" i="27"/>
  <c r="AS62" i="27"/>
  <c r="AS60" i="27"/>
  <c r="AS58" i="27"/>
  <c r="AS57" i="27"/>
  <c r="AS55" i="27"/>
  <c r="AS53" i="27"/>
  <c r="AS49" i="27"/>
  <c r="AS43" i="27"/>
  <c r="AS47" i="27"/>
  <c r="AS45" i="27"/>
  <c r="AS25" i="27"/>
  <c r="AS21" i="27"/>
  <c r="AS17" i="27"/>
  <c r="AS13" i="27"/>
  <c r="AS10" i="27"/>
  <c r="AS23" i="27"/>
  <c r="AS19" i="27"/>
  <c r="AS15" i="27"/>
  <c r="AS11" i="27"/>
  <c r="AT9" i="27"/>
  <c r="AS30" i="27"/>
  <c r="AS29" i="27"/>
  <c r="AS33" i="27"/>
  <c r="AS37" i="27"/>
  <c r="AS39" i="27"/>
  <c r="AS41" i="27"/>
  <c r="AS14" i="27"/>
  <c r="AS22" i="27"/>
  <c r="AS36" i="27"/>
  <c r="AS44" i="27"/>
  <c r="AS34" i="27"/>
  <c r="AS40" i="27"/>
  <c r="AS27" i="27"/>
  <c r="AS48" i="27"/>
  <c r="AS12" i="27"/>
  <c r="AS16" i="27"/>
  <c r="AS20" i="27"/>
  <c r="AS24" i="27"/>
  <c r="AS18" i="27"/>
  <c r="AS26" i="27"/>
  <c r="AS32" i="27"/>
  <c r="AS31" i="27"/>
  <c r="AS35" i="27"/>
  <c r="AS38" i="27"/>
  <c r="AS42" i="27"/>
  <c r="AS65" i="27"/>
  <c r="AS67" i="27"/>
  <c r="AS71" i="27"/>
  <c r="AS74" i="27"/>
  <c r="AS79" i="27"/>
  <c r="AS88" i="27"/>
  <c r="AS59" i="27"/>
  <c r="AS61" i="27"/>
  <c r="AS63" i="27"/>
  <c r="AS56" i="27"/>
  <c r="AS72" i="27"/>
  <c r="AS77" i="27"/>
  <c r="AS51" i="27"/>
  <c r="AS54" i="27"/>
  <c r="AS70" i="27"/>
  <c r="AS85" i="27"/>
  <c r="AS81" i="27"/>
  <c r="AS83" i="27"/>
  <c r="AS86" i="27"/>
  <c r="AS52" i="27"/>
  <c r="AS69" i="27"/>
  <c r="AS76" i="27"/>
  <c r="AR8" i="27"/>
  <c r="AS8" i="27" l="1"/>
  <c r="AV46" i="27"/>
  <c r="AV50" i="27"/>
  <c r="AT11" i="27"/>
  <c r="AU11" i="27" s="1"/>
  <c r="AV11" i="27" s="1"/>
  <c r="AW9" i="27"/>
  <c r="AT12" i="27"/>
  <c r="AU12" i="27" s="1"/>
  <c r="AV12" i="27" s="1"/>
  <c r="AT31" i="27"/>
  <c r="AU31" i="27" s="1"/>
  <c r="AV31" i="27" s="1"/>
  <c r="AT30" i="27"/>
  <c r="AU30" i="27" s="1"/>
  <c r="AV30" i="27" s="1"/>
  <c r="AT34" i="27"/>
  <c r="AU34" i="27" s="1"/>
  <c r="AV34" i="27" s="1"/>
  <c r="AT42" i="27"/>
  <c r="AU42" i="27" s="1"/>
  <c r="AV42" i="27" s="1"/>
  <c r="AT44" i="27"/>
  <c r="AU44" i="27" s="1"/>
  <c r="AV44" i="27" s="1"/>
  <c r="AT16" i="27"/>
  <c r="AU16" i="27" s="1"/>
  <c r="AV16" i="27" s="1"/>
  <c r="AT15" i="27"/>
  <c r="AU15" i="27" s="1"/>
  <c r="AV15" i="27" s="1"/>
  <c r="AT23" i="27"/>
  <c r="AU23" i="27" s="1"/>
  <c r="AV23" i="27" s="1"/>
  <c r="AT18" i="27"/>
  <c r="AU18" i="27" s="1"/>
  <c r="AV18" i="27" s="1"/>
  <c r="AT26" i="27"/>
  <c r="AU26" i="27" s="1"/>
  <c r="AV26" i="27" s="1"/>
  <c r="AT27" i="27"/>
  <c r="AU27" i="27" s="1"/>
  <c r="AV27" i="27" s="1"/>
  <c r="AT37" i="27"/>
  <c r="AU37" i="27" s="1"/>
  <c r="AV37" i="27" s="1"/>
  <c r="AT39" i="27"/>
  <c r="AU39" i="27" s="1"/>
  <c r="AV39" i="27" s="1"/>
  <c r="AT40" i="27"/>
  <c r="AU40" i="27" s="1"/>
  <c r="AV40" i="27" s="1"/>
  <c r="AT45" i="27"/>
  <c r="AU45" i="27" s="1"/>
  <c r="AV45" i="27" s="1"/>
  <c r="AT49" i="27"/>
  <c r="AU49" i="27" s="1"/>
  <c r="AV49" i="27" s="1"/>
  <c r="AT20" i="27"/>
  <c r="AU20" i="27" s="1"/>
  <c r="AV20" i="27" s="1"/>
  <c r="AT14" i="27"/>
  <c r="AU14" i="27" s="1"/>
  <c r="AV14" i="27" s="1"/>
  <c r="AT22" i="27"/>
  <c r="AU22" i="27" s="1"/>
  <c r="AV22" i="27" s="1"/>
  <c r="AT35" i="27"/>
  <c r="AU35" i="27" s="1"/>
  <c r="AV35" i="27" s="1"/>
  <c r="AT38" i="27"/>
  <c r="AU38" i="27" s="1"/>
  <c r="AV38" i="27" s="1"/>
  <c r="AT29" i="27"/>
  <c r="AU29" i="27" s="1"/>
  <c r="AV29" i="27" s="1"/>
  <c r="AT41" i="27"/>
  <c r="AU41" i="27" s="1"/>
  <c r="AV41" i="27" s="1"/>
  <c r="AT32" i="27"/>
  <c r="AU32" i="27" s="1"/>
  <c r="AV32" i="27" s="1"/>
  <c r="AT36" i="27"/>
  <c r="AU36" i="27" s="1"/>
  <c r="AV36" i="27" s="1"/>
  <c r="AT47" i="27"/>
  <c r="AU47" i="27" s="1"/>
  <c r="AV47" i="27" s="1"/>
  <c r="AT43" i="27"/>
  <c r="AU43" i="27" s="1"/>
  <c r="AV43" i="27" s="1"/>
  <c r="AT10" i="27"/>
  <c r="AT13" i="27"/>
  <c r="AU13" i="27" s="1"/>
  <c r="AV13" i="27" s="1"/>
  <c r="AT17" i="27"/>
  <c r="AU17" i="27" s="1"/>
  <c r="AV17" i="27" s="1"/>
  <c r="AT21" i="27"/>
  <c r="AU21" i="27" s="1"/>
  <c r="AV21" i="27" s="1"/>
  <c r="AT25" i="27"/>
  <c r="AU25" i="27" s="1"/>
  <c r="AV25" i="27" s="1"/>
  <c r="AT24" i="27"/>
  <c r="AU24" i="27" s="1"/>
  <c r="AV24" i="27" s="1"/>
  <c r="AT19" i="27"/>
  <c r="AU19" i="27" s="1"/>
  <c r="AV19" i="27" s="1"/>
  <c r="AT33" i="27"/>
  <c r="AU33" i="27" s="1"/>
  <c r="AV33" i="27" s="1"/>
  <c r="AT48" i="27"/>
  <c r="AU48" i="27" s="1"/>
  <c r="AV48" i="27" s="1"/>
  <c r="AT51" i="27"/>
  <c r="AU51" i="27" s="1"/>
  <c r="AV51" i="27" s="1"/>
  <c r="AT52" i="27"/>
  <c r="AU52" i="27" s="1"/>
  <c r="AV52" i="27" s="1"/>
  <c r="AT58" i="27"/>
  <c r="AU58" i="27" s="1"/>
  <c r="AV58" i="27" s="1"/>
  <c r="AT62" i="27"/>
  <c r="AU62" i="27" s="1"/>
  <c r="AV62" i="27" s="1"/>
  <c r="AT66" i="27"/>
  <c r="AU66" i="27" s="1"/>
  <c r="AV66" i="27" s="1"/>
  <c r="AT81" i="27"/>
  <c r="AU81" i="27" s="1"/>
  <c r="AV81" i="27" s="1"/>
  <c r="AT71" i="27"/>
  <c r="AU71" i="27" s="1"/>
  <c r="AV71" i="27" s="1"/>
  <c r="AT76" i="27"/>
  <c r="AU76" i="27" s="1"/>
  <c r="AV76" i="27" s="1"/>
  <c r="AT84" i="27"/>
  <c r="AU84" i="27" s="1"/>
  <c r="AV84" i="27" s="1"/>
  <c r="AT63" i="27"/>
  <c r="AU63" i="27" s="1"/>
  <c r="AV63" i="27" s="1"/>
  <c r="AT65" i="27"/>
  <c r="AU65" i="27" s="1"/>
  <c r="AV65" i="27" s="1"/>
  <c r="AT60" i="27"/>
  <c r="AU60" i="27" s="1"/>
  <c r="AV60" i="27" s="1"/>
  <c r="AT68" i="27"/>
  <c r="AU68" i="27" s="1"/>
  <c r="AV68" i="27" s="1"/>
  <c r="AT69" i="27"/>
  <c r="AU69" i="27" s="1"/>
  <c r="AV69" i="27" s="1"/>
  <c r="AT74" i="27"/>
  <c r="AU74" i="27" s="1"/>
  <c r="AV74" i="27" s="1"/>
  <c r="AT79" i="27"/>
  <c r="AU79" i="27" s="1"/>
  <c r="AV79" i="27" s="1"/>
  <c r="AT82" i="27"/>
  <c r="AU82" i="27" s="1"/>
  <c r="AV82" i="27" s="1"/>
  <c r="AT88" i="27"/>
  <c r="AU88" i="27" s="1"/>
  <c r="AV88" i="27" s="1"/>
  <c r="AT56" i="27"/>
  <c r="AU56" i="27" s="1"/>
  <c r="AV56" i="27" s="1"/>
  <c r="AT61" i="27"/>
  <c r="AU61" i="27" s="1"/>
  <c r="AV61" i="27" s="1"/>
  <c r="AT55" i="27"/>
  <c r="AU55" i="27" s="1"/>
  <c r="AV55" i="27" s="1"/>
  <c r="AT72" i="27"/>
  <c r="AU72" i="27" s="1"/>
  <c r="AV72" i="27" s="1"/>
  <c r="AT73" i="27"/>
  <c r="AU73" i="27" s="1"/>
  <c r="AV73" i="27" s="1"/>
  <c r="AT77" i="27"/>
  <c r="AU77" i="27" s="1"/>
  <c r="AV77" i="27" s="1"/>
  <c r="AT85" i="27"/>
  <c r="AU85" i="27" s="1"/>
  <c r="AV85" i="27" s="1"/>
  <c r="AT80" i="27"/>
  <c r="AU80" i="27" s="1"/>
  <c r="AV80" i="27" s="1"/>
  <c r="AT54" i="27"/>
  <c r="AU54" i="27" s="1"/>
  <c r="AV54" i="27" s="1"/>
  <c r="AT59" i="27"/>
  <c r="AU59" i="27" s="1"/>
  <c r="AV59" i="27" s="1"/>
  <c r="AT53" i="27"/>
  <c r="AU53" i="27" s="1"/>
  <c r="AV53" i="27" s="1"/>
  <c r="AT57" i="27"/>
  <c r="AU57" i="27" s="1"/>
  <c r="AV57" i="27" s="1"/>
  <c r="AT67" i="27"/>
  <c r="AU67" i="27" s="1"/>
  <c r="AV67" i="27" s="1"/>
  <c r="AT64" i="27"/>
  <c r="AU64" i="27" s="1"/>
  <c r="AV64" i="27" s="1"/>
  <c r="AT70" i="27"/>
  <c r="AU70" i="27" s="1"/>
  <c r="AV70" i="27" s="1"/>
  <c r="AT83" i="27"/>
  <c r="AU83" i="27" s="1"/>
  <c r="AV83" i="27" s="1"/>
  <c r="AT75" i="27"/>
  <c r="AU75" i="27" s="1"/>
  <c r="AV75" i="27" s="1"/>
  <c r="AT78" i="27"/>
  <c r="AU78" i="27" s="1"/>
  <c r="AV78" i="27" s="1"/>
  <c r="AT86" i="27"/>
  <c r="AU86" i="27" s="1"/>
  <c r="AV86" i="27" s="1"/>
  <c r="AT87" i="27"/>
  <c r="AU87" i="27" s="1"/>
  <c r="AV87" i="27" s="1"/>
  <c r="AV4" i="27" l="1"/>
  <c r="AV3" i="27"/>
  <c r="AV5" i="27"/>
  <c r="AW87" i="27"/>
  <c r="AW84" i="27"/>
  <c r="AW78" i="27"/>
  <c r="AW82" i="27"/>
  <c r="AW80" i="27"/>
  <c r="AW75" i="27"/>
  <c r="AW73" i="27"/>
  <c r="AW68" i="27"/>
  <c r="AW66" i="27"/>
  <c r="AW64" i="27"/>
  <c r="AW62" i="27"/>
  <c r="AW60" i="27"/>
  <c r="AW58" i="27"/>
  <c r="AW57" i="27"/>
  <c r="AW55" i="27"/>
  <c r="AW53" i="27"/>
  <c r="AW49" i="27"/>
  <c r="AW43" i="27"/>
  <c r="AW47" i="27"/>
  <c r="AW45" i="27"/>
  <c r="AW25" i="27"/>
  <c r="AW21" i="27"/>
  <c r="AW17" i="27"/>
  <c r="AW13" i="27"/>
  <c r="AW10" i="27"/>
  <c r="AW23" i="27"/>
  <c r="AW19" i="27"/>
  <c r="AW15" i="27"/>
  <c r="AW11" i="27"/>
  <c r="AX9" i="27"/>
  <c r="AW12" i="27"/>
  <c r="AW16" i="27"/>
  <c r="AW20" i="27"/>
  <c r="AW24" i="27"/>
  <c r="AW18" i="27"/>
  <c r="AW26" i="27"/>
  <c r="AW32" i="27"/>
  <c r="AW31" i="27"/>
  <c r="AW35" i="27"/>
  <c r="AW38" i="27"/>
  <c r="AW50" i="27"/>
  <c r="AW42" i="27"/>
  <c r="AW46" i="27"/>
  <c r="AW30" i="27"/>
  <c r="AW29" i="27"/>
  <c r="AW33" i="27"/>
  <c r="AW37" i="27"/>
  <c r="AW39" i="27"/>
  <c r="AW41" i="27"/>
  <c r="AW14" i="27"/>
  <c r="AW22" i="27"/>
  <c r="AW36" i="27"/>
  <c r="AW44" i="27"/>
  <c r="AW34" i="27"/>
  <c r="AW40" i="27"/>
  <c r="AW27" i="27"/>
  <c r="AW48" i="27"/>
  <c r="AW59" i="27"/>
  <c r="AW61" i="27"/>
  <c r="AW63" i="27"/>
  <c r="AW56" i="27"/>
  <c r="AW69" i="27"/>
  <c r="AW71" i="27"/>
  <c r="AW72" i="27"/>
  <c r="AW77" i="27"/>
  <c r="AW51" i="27"/>
  <c r="AW54" i="27"/>
  <c r="AW85" i="27"/>
  <c r="AW81" i="27"/>
  <c r="AW83" i="27"/>
  <c r="AW86" i="27"/>
  <c r="AW52" i="27"/>
  <c r="AW76" i="27"/>
  <c r="AW65" i="27"/>
  <c r="AW67" i="27"/>
  <c r="AW70" i="27"/>
  <c r="AW74" i="27"/>
  <c r="AW79" i="27"/>
  <c r="AW88" i="27"/>
  <c r="AT8" i="27"/>
  <c r="AU10" i="27"/>
  <c r="AU8" i="27" l="1"/>
  <c r="AV10" i="27"/>
  <c r="AW8" i="27"/>
  <c r="AX86" i="27"/>
  <c r="AX88" i="27"/>
  <c r="AX79" i="27"/>
  <c r="AX77" i="27"/>
  <c r="AX83" i="27"/>
  <c r="AX81" i="27"/>
  <c r="AX63" i="27"/>
  <c r="AX61" i="27"/>
  <c r="AX59" i="27"/>
  <c r="AX11" i="27"/>
  <c r="AY9" i="27"/>
  <c r="AX10" i="27"/>
  <c r="AX13" i="27"/>
  <c r="AX17" i="27"/>
  <c r="AX21" i="27"/>
  <c r="AX25" i="27"/>
  <c r="AX24" i="27"/>
  <c r="AX19" i="27"/>
  <c r="AX33" i="27"/>
  <c r="AX48" i="27"/>
  <c r="AX12" i="27"/>
  <c r="AX31" i="27"/>
  <c r="AX30" i="27"/>
  <c r="AX34" i="27"/>
  <c r="AX42" i="27"/>
  <c r="AX44" i="27"/>
  <c r="AX16" i="27"/>
  <c r="AX15" i="27"/>
  <c r="AX23" i="27"/>
  <c r="AX18" i="27"/>
  <c r="AX26" i="27"/>
  <c r="AX27" i="27"/>
  <c r="AX37" i="27"/>
  <c r="AX39" i="27"/>
  <c r="AX40" i="27"/>
  <c r="AX46" i="27"/>
  <c r="AX45" i="27"/>
  <c r="AX50" i="27"/>
  <c r="AX49" i="27"/>
  <c r="AX20" i="27"/>
  <c r="AX14" i="27"/>
  <c r="AX22" i="27"/>
  <c r="AX35" i="27"/>
  <c r="AX38" i="27"/>
  <c r="AX29" i="27"/>
  <c r="AX41" i="27"/>
  <c r="AX32" i="27"/>
  <c r="AX36" i="27"/>
  <c r="AX47" i="27"/>
  <c r="AX43" i="27"/>
  <c r="AX56" i="27"/>
  <c r="AX53" i="27"/>
  <c r="AX57" i="27"/>
  <c r="AX64" i="27"/>
  <c r="AX70" i="27"/>
  <c r="AX74" i="27"/>
  <c r="AX85" i="27"/>
  <c r="AX75" i="27"/>
  <c r="AX78" i="27"/>
  <c r="AX58" i="27"/>
  <c r="AX62" i="27"/>
  <c r="AX66" i="27"/>
  <c r="AX84" i="27"/>
  <c r="AX52" i="27"/>
  <c r="AX67" i="27"/>
  <c r="AX60" i="27"/>
  <c r="AX68" i="27"/>
  <c r="AX69" i="27"/>
  <c r="AX72" i="27"/>
  <c r="AX76" i="27"/>
  <c r="AX82" i="27"/>
  <c r="AX51" i="27"/>
  <c r="AX54" i="27"/>
  <c r="AX65" i="27"/>
  <c r="AX55" i="27"/>
  <c r="AX71" i="27"/>
  <c r="AX73" i="27"/>
  <c r="AX80" i="27"/>
  <c r="AX87" i="27"/>
  <c r="AX8" i="27" l="1"/>
  <c r="AV8" i="27"/>
  <c r="AV1" i="27"/>
  <c r="AY87" i="27"/>
  <c r="AY82" i="27"/>
  <c r="AY80" i="27"/>
  <c r="AY78" i="27"/>
  <c r="AY75" i="27"/>
  <c r="AY73" i="27"/>
  <c r="AY68" i="27"/>
  <c r="AY66" i="27"/>
  <c r="AY64" i="27"/>
  <c r="AY62" i="27"/>
  <c r="AY60" i="27"/>
  <c r="AY58" i="27"/>
  <c r="AY57" i="27"/>
  <c r="AY55" i="27"/>
  <c r="AY53" i="27"/>
  <c r="AY47" i="27"/>
  <c r="AY45" i="27"/>
  <c r="AY23" i="27"/>
  <c r="AY19" i="27"/>
  <c r="AY15" i="27"/>
  <c r="AY11" i="27"/>
  <c r="AZ9" i="27"/>
  <c r="AY25" i="27"/>
  <c r="AY21" i="27"/>
  <c r="AY17" i="27"/>
  <c r="AY13" i="27"/>
  <c r="AY10" i="27"/>
  <c r="AY14" i="27"/>
  <c r="AY18" i="27"/>
  <c r="AY22" i="27"/>
  <c r="AY26" i="27"/>
  <c r="AY30" i="27"/>
  <c r="AY16" i="27"/>
  <c r="AY24" i="27"/>
  <c r="AY40" i="27"/>
  <c r="AY27" i="27"/>
  <c r="AY31" i="27"/>
  <c r="AY35" i="27"/>
  <c r="AY38" i="27"/>
  <c r="AY29" i="27"/>
  <c r="AY41" i="27"/>
  <c r="AY49" i="27"/>
  <c r="AY33" i="27"/>
  <c r="AY37" i="27"/>
  <c r="AY39" i="27"/>
  <c r="AY42" i="27"/>
  <c r="AY44" i="27"/>
  <c r="AY50" i="27"/>
  <c r="AY12" i="27"/>
  <c r="AY20" i="27"/>
  <c r="AY32" i="27"/>
  <c r="AY36" i="27"/>
  <c r="AY34" i="27"/>
  <c r="AY43" i="27"/>
  <c r="AY46" i="27"/>
  <c r="AY48" i="27"/>
  <c r="AY59" i="27"/>
  <c r="AY61" i="27"/>
  <c r="AY63" i="27"/>
  <c r="AY56" i="27"/>
  <c r="AY67" i="27"/>
  <c r="AY70" i="27"/>
  <c r="AY72" i="27"/>
  <c r="AY77" i="27"/>
  <c r="AY51" i="27"/>
  <c r="AY54" i="27"/>
  <c r="AY69" i="27"/>
  <c r="AY81" i="27"/>
  <c r="AY83" i="27"/>
  <c r="AY84" i="27"/>
  <c r="AY86" i="27"/>
  <c r="AY52" i="27"/>
  <c r="AY76" i="27"/>
  <c r="AY65" i="27"/>
  <c r="AY71" i="27"/>
  <c r="AY74" i="27"/>
  <c r="AY79" i="27"/>
  <c r="AY85" i="27"/>
  <c r="AY88" i="27"/>
  <c r="AY8" i="27" l="1"/>
  <c r="AZ86" i="27"/>
  <c r="AZ84" i="27"/>
  <c r="AZ88" i="27"/>
  <c r="AZ79" i="27"/>
  <c r="AZ77" i="27"/>
  <c r="AZ56" i="27"/>
  <c r="AZ54" i="27"/>
  <c r="AZ52" i="27"/>
  <c r="AZ48" i="27"/>
  <c r="AZ46" i="27"/>
  <c r="AZ42" i="27"/>
  <c r="AZ11" i="27"/>
  <c r="BA9" i="27"/>
  <c r="AZ15" i="27"/>
  <c r="AZ19" i="27"/>
  <c r="AZ23" i="27"/>
  <c r="AZ22" i="27"/>
  <c r="AZ26" i="27"/>
  <c r="AZ10" i="27"/>
  <c r="AZ12" i="27"/>
  <c r="AZ20" i="27"/>
  <c r="AZ35" i="27"/>
  <c r="AZ45" i="27"/>
  <c r="AZ47" i="27"/>
  <c r="AZ17" i="27"/>
  <c r="AZ25" i="27"/>
  <c r="AZ41" i="27"/>
  <c r="AZ32" i="27"/>
  <c r="AZ36" i="27"/>
  <c r="AZ40" i="27"/>
  <c r="AZ27" i="27"/>
  <c r="AZ30" i="27"/>
  <c r="AZ34" i="27"/>
  <c r="AZ14" i="27"/>
  <c r="AZ38" i="27"/>
  <c r="AZ50" i="27"/>
  <c r="AZ43" i="27"/>
  <c r="AZ18" i="27"/>
  <c r="AZ13" i="27"/>
  <c r="AZ21" i="27"/>
  <c r="AZ16" i="27"/>
  <c r="AZ24" i="27"/>
  <c r="AZ29" i="27"/>
  <c r="AZ33" i="27"/>
  <c r="AZ37" i="27"/>
  <c r="AZ39" i="27"/>
  <c r="AZ31" i="27"/>
  <c r="AZ44" i="27"/>
  <c r="AZ49" i="27"/>
  <c r="AZ55" i="27"/>
  <c r="AZ53" i="27"/>
  <c r="AZ65" i="27"/>
  <c r="AZ72" i="27"/>
  <c r="AZ69" i="27"/>
  <c r="AZ87" i="27"/>
  <c r="AZ51" i="27"/>
  <c r="AZ60" i="27"/>
  <c r="AZ64" i="27"/>
  <c r="AZ68" i="27"/>
  <c r="AZ62" i="27"/>
  <c r="AZ70" i="27"/>
  <c r="AZ74" i="27"/>
  <c r="AZ85" i="27"/>
  <c r="AZ73" i="27"/>
  <c r="AZ57" i="27"/>
  <c r="AZ76" i="27"/>
  <c r="AZ81" i="27"/>
  <c r="AZ83" i="27"/>
  <c r="AZ59" i="27"/>
  <c r="AZ61" i="27"/>
  <c r="AZ63" i="27"/>
  <c r="AZ67" i="27"/>
  <c r="AZ58" i="27"/>
  <c r="AZ66" i="27"/>
  <c r="AZ71" i="27"/>
  <c r="AZ75" i="27"/>
  <c r="AZ78" i="27"/>
  <c r="AZ82" i="27"/>
  <c r="AZ80" i="27"/>
  <c r="BA87" i="27" l="1"/>
  <c r="BA84" i="27"/>
  <c r="BA82" i="27"/>
  <c r="BA80" i="27"/>
  <c r="BA78" i="27"/>
  <c r="BA75" i="27"/>
  <c r="BA73" i="27"/>
  <c r="BA68" i="27"/>
  <c r="BA66" i="27"/>
  <c r="BA64" i="27"/>
  <c r="BA57" i="27"/>
  <c r="BA55" i="27"/>
  <c r="BA53" i="27"/>
  <c r="BA62" i="27"/>
  <c r="BA60" i="27"/>
  <c r="BA58" i="27"/>
  <c r="BA49" i="27"/>
  <c r="BA43" i="27"/>
  <c r="BA25" i="27"/>
  <c r="BA21" i="27"/>
  <c r="BA17" i="27"/>
  <c r="BA13" i="27"/>
  <c r="BA10" i="27"/>
  <c r="BA23" i="27"/>
  <c r="BA19" i="27"/>
  <c r="BA15" i="27"/>
  <c r="BA11" i="27"/>
  <c r="BB9" i="27"/>
  <c r="BA34" i="27"/>
  <c r="BA40" i="27"/>
  <c r="BA27" i="27"/>
  <c r="BA48" i="27"/>
  <c r="BA12" i="27"/>
  <c r="BA16" i="27"/>
  <c r="BA20" i="27"/>
  <c r="BA24" i="27"/>
  <c r="BA18" i="27"/>
  <c r="BA26" i="27"/>
  <c r="BA32" i="27"/>
  <c r="BA31" i="27"/>
  <c r="BA35" i="27"/>
  <c r="BA38" i="27"/>
  <c r="BA47" i="27"/>
  <c r="BA50" i="27"/>
  <c r="BA42" i="27"/>
  <c r="BA46" i="27"/>
  <c r="BA30" i="27"/>
  <c r="BA29" i="27"/>
  <c r="BA33" i="27"/>
  <c r="BA37" i="27"/>
  <c r="BA39" i="27"/>
  <c r="BA41" i="27"/>
  <c r="BA45" i="27"/>
  <c r="BA14" i="27"/>
  <c r="BA22" i="27"/>
  <c r="BA36" i="27"/>
  <c r="BA44" i="27"/>
  <c r="BA51" i="27"/>
  <c r="BA54" i="27"/>
  <c r="BA70" i="27"/>
  <c r="BA85" i="27"/>
  <c r="BA81" i="27"/>
  <c r="BA83" i="27"/>
  <c r="BA86" i="27"/>
  <c r="BA52" i="27"/>
  <c r="BA69" i="27"/>
  <c r="BA71" i="27"/>
  <c r="BA76" i="27"/>
  <c r="BA65" i="27"/>
  <c r="BA67" i="27"/>
  <c r="BA74" i="27"/>
  <c r="BA79" i="27"/>
  <c r="BA88" i="27"/>
  <c r="BA59" i="27"/>
  <c r="BA61" i="27"/>
  <c r="BA63" i="27"/>
  <c r="BA56" i="27"/>
  <c r="BA72" i="27"/>
  <c r="BA77" i="27"/>
  <c r="AZ8" i="27"/>
  <c r="BB85" i="27" l="1"/>
  <c r="BB11" i="27"/>
  <c r="BC9" i="27"/>
  <c r="BB20" i="27"/>
  <c r="BB14" i="27"/>
  <c r="BB22" i="27"/>
  <c r="BB35" i="27"/>
  <c r="BB38" i="27"/>
  <c r="BB29" i="27"/>
  <c r="BB41" i="27"/>
  <c r="BB32" i="27"/>
  <c r="BB36" i="27"/>
  <c r="BB47" i="27"/>
  <c r="BB43" i="27"/>
  <c r="BB10" i="27"/>
  <c r="BB13" i="27"/>
  <c r="BB17" i="27"/>
  <c r="BB21" i="27"/>
  <c r="BB25" i="27"/>
  <c r="BB24" i="27"/>
  <c r="BB19" i="27"/>
  <c r="BB33" i="27"/>
  <c r="BB48" i="27"/>
  <c r="BB12" i="27"/>
  <c r="BB31" i="27"/>
  <c r="BB30" i="27"/>
  <c r="BB34" i="27"/>
  <c r="BB42" i="27"/>
  <c r="BB44" i="27"/>
  <c r="BB16" i="27"/>
  <c r="BB15" i="27"/>
  <c r="BB23" i="27"/>
  <c r="BB18" i="27"/>
  <c r="BB26" i="27"/>
  <c r="BB27" i="27"/>
  <c r="BB37" i="27"/>
  <c r="BB39" i="27"/>
  <c r="BB40" i="27"/>
  <c r="BB46" i="27"/>
  <c r="BB45" i="27"/>
  <c r="BB50" i="27"/>
  <c r="BB49" i="27"/>
  <c r="BB59" i="27"/>
  <c r="BB61" i="27"/>
  <c r="BB63" i="27"/>
  <c r="BB54" i="27"/>
  <c r="BB55" i="27"/>
  <c r="BB73" i="27"/>
  <c r="BB86" i="27"/>
  <c r="BB80" i="27"/>
  <c r="BB52" i="27"/>
  <c r="BB53" i="27"/>
  <c r="BB57" i="27"/>
  <c r="BB67" i="27"/>
  <c r="BB64" i="27"/>
  <c r="BB70" i="27"/>
  <c r="BB76" i="27"/>
  <c r="BB75" i="27"/>
  <c r="BB81" i="27"/>
  <c r="BB83" i="27"/>
  <c r="BB78" i="27"/>
  <c r="BB87" i="27"/>
  <c r="BB51" i="27"/>
  <c r="BB65" i="27"/>
  <c r="BB58" i="27"/>
  <c r="BB62" i="27"/>
  <c r="BB66" i="27"/>
  <c r="BB71" i="27"/>
  <c r="BB74" i="27"/>
  <c r="BB79" i="27"/>
  <c r="BB84" i="27"/>
  <c r="BB88" i="27"/>
  <c r="BB56" i="27"/>
  <c r="BB60" i="27"/>
  <c r="BB68" i="27"/>
  <c r="BB69" i="27"/>
  <c r="BB72" i="27"/>
  <c r="BB77" i="27"/>
  <c r="BB82" i="27"/>
  <c r="BA8" i="27"/>
  <c r="BB8" i="27" l="1"/>
  <c r="BC87" i="27"/>
  <c r="BC82" i="27"/>
  <c r="BC80" i="27"/>
  <c r="BC78" i="27"/>
  <c r="BC75" i="27"/>
  <c r="BC73" i="27"/>
  <c r="BC68" i="27"/>
  <c r="BC66" i="27"/>
  <c r="BC64" i="27"/>
  <c r="BC62" i="27"/>
  <c r="BC60" i="27"/>
  <c r="BC58" i="27"/>
  <c r="BC57" i="27"/>
  <c r="BC55" i="27"/>
  <c r="BC53" i="27"/>
  <c r="BC47" i="27"/>
  <c r="BC45" i="27"/>
  <c r="BC23" i="27"/>
  <c r="BC19" i="27"/>
  <c r="BC15" i="27"/>
  <c r="BC11" i="27"/>
  <c r="BD9" i="27"/>
  <c r="BC25" i="27"/>
  <c r="BC21" i="27"/>
  <c r="BC17" i="27"/>
  <c r="BC13" i="27"/>
  <c r="BC10" i="27"/>
  <c r="BC12" i="27"/>
  <c r="BC20" i="27"/>
  <c r="BC32" i="27"/>
  <c r="BC36" i="27"/>
  <c r="BC34" i="27"/>
  <c r="BC43" i="27"/>
  <c r="BC46" i="27"/>
  <c r="BC48" i="27"/>
  <c r="BC14" i="27"/>
  <c r="BC18" i="27"/>
  <c r="BC22" i="27"/>
  <c r="BC26" i="27"/>
  <c r="BC30" i="27"/>
  <c r="BC16" i="27"/>
  <c r="BC24" i="27"/>
  <c r="BC40" i="27"/>
  <c r="BC27" i="27"/>
  <c r="BC31" i="27"/>
  <c r="BC35" i="27"/>
  <c r="BC38" i="27"/>
  <c r="BC29" i="27"/>
  <c r="BC41" i="27"/>
  <c r="BC49" i="27"/>
  <c r="BC33" i="27"/>
  <c r="BC37" i="27"/>
  <c r="BC39" i="27"/>
  <c r="BC42" i="27"/>
  <c r="BC44" i="27"/>
  <c r="BC50" i="27"/>
  <c r="BC51" i="27"/>
  <c r="BC54" i="27"/>
  <c r="BC81" i="27"/>
  <c r="BC83" i="27"/>
  <c r="BC86" i="27"/>
  <c r="BC52" i="27"/>
  <c r="BC71" i="27"/>
  <c r="BC70" i="27"/>
  <c r="BC76" i="27"/>
  <c r="BC85" i="27"/>
  <c r="BC65" i="27"/>
  <c r="BC69" i="27"/>
  <c r="BC74" i="27"/>
  <c r="BC79" i="27"/>
  <c r="BC84" i="27"/>
  <c r="BC88" i="27"/>
  <c r="BC59" i="27"/>
  <c r="BC61" i="27"/>
  <c r="BC63" i="27"/>
  <c r="BC56" i="27"/>
  <c r="BC67" i="27"/>
  <c r="BC72" i="27"/>
  <c r="BC77" i="27"/>
  <c r="BC8" i="27" l="1"/>
  <c r="BD84" i="27"/>
  <c r="BD79" i="27"/>
  <c r="BD77" i="27"/>
  <c r="BD56" i="27"/>
  <c r="BD54" i="27"/>
  <c r="BD52" i="27"/>
  <c r="BD48" i="27"/>
  <c r="BD46" i="27"/>
  <c r="BD42" i="27"/>
  <c r="BD11" i="27"/>
  <c r="BE9" i="27"/>
  <c r="BD18" i="27"/>
  <c r="BD13" i="27"/>
  <c r="BD21" i="27"/>
  <c r="BD16" i="27"/>
  <c r="BD24" i="27"/>
  <c r="BD29" i="27"/>
  <c r="BD33" i="27"/>
  <c r="BD37" i="27"/>
  <c r="BD39" i="27"/>
  <c r="BD31" i="27"/>
  <c r="BD44" i="27"/>
  <c r="BD49" i="27"/>
  <c r="BD15" i="27"/>
  <c r="BD19" i="27"/>
  <c r="BD23" i="27"/>
  <c r="BD22" i="27"/>
  <c r="BD26" i="27"/>
  <c r="BD10" i="27"/>
  <c r="BD12" i="27"/>
  <c r="BD20" i="27"/>
  <c r="BD35" i="27"/>
  <c r="BD45" i="27"/>
  <c r="BD47" i="27"/>
  <c r="BD17" i="27"/>
  <c r="BD25" i="27"/>
  <c r="BD41" i="27"/>
  <c r="BD32" i="27"/>
  <c r="BD36" i="27"/>
  <c r="BD40" i="27"/>
  <c r="BD27" i="27"/>
  <c r="BD30" i="27"/>
  <c r="BD34" i="27"/>
  <c r="BD14" i="27"/>
  <c r="BD38" i="27"/>
  <c r="BD50" i="27"/>
  <c r="BD43" i="27"/>
  <c r="BD51" i="27"/>
  <c r="BD59" i="27"/>
  <c r="BD61" i="27"/>
  <c r="BD63" i="27"/>
  <c r="BD65" i="27"/>
  <c r="BD58" i="27"/>
  <c r="BD66" i="27"/>
  <c r="BD75" i="27"/>
  <c r="BD85" i="27"/>
  <c r="BD78" i="27"/>
  <c r="BD82" i="27"/>
  <c r="BD80" i="27"/>
  <c r="BD55" i="27"/>
  <c r="BD53" i="27"/>
  <c r="BD74" i="27"/>
  <c r="BD69" i="27"/>
  <c r="BD87" i="27"/>
  <c r="BD88" i="27"/>
  <c r="BD67" i="27"/>
  <c r="BD60" i="27"/>
  <c r="BD64" i="27"/>
  <c r="BD68" i="27"/>
  <c r="BD62" i="27"/>
  <c r="BD70" i="27"/>
  <c r="BD71" i="27"/>
  <c r="BD73" i="27"/>
  <c r="BD86" i="27"/>
  <c r="BD57" i="27"/>
  <c r="BD72" i="27"/>
  <c r="BD76" i="27"/>
  <c r="BD81" i="27"/>
  <c r="BD83" i="27"/>
  <c r="BD8" i="27" l="1"/>
  <c r="BE87" i="27"/>
  <c r="BE84" i="27"/>
  <c r="BE82" i="27"/>
  <c r="BE80" i="27"/>
  <c r="BE78" i="27"/>
  <c r="BE75" i="27"/>
  <c r="BE73" i="27"/>
  <c r="BE68" i="27"/>
  <c r="BE66" i="27"/>
  <c r="BE64" i="27"/>
  <c r="BE62" i="27"/>
  <c r="BE60" i="27"/>
  <c r="BE58" i="27"/>
  <c r="BE57" i="27"/>
  <c r="BE55" i="27"/>
  <c r="BE53" i="27"/>
  <c r="BE49" i="27"/>
  <c r="BE43" i="27"/>
  <c r="BE25" i="27"/>
  <c r="BE21" i="27"/>
  <c r="BE17" i="27"/>
  <c r="BE13" i="27"/>
  <c r="BE10" i="27"/>
  <c r="BE23" i="27"/>
  <c r="BE19" i="27"/>
  <c r="BE15" i="27"/>
  <c r="BE11" i="27"/>
  <c r="BF9" i="27"/>
  <c r="BE14" i="27"/>
  <c r="BE22" i="27"/>
  <c r="BE31" i="27"/>
  <c r="BE36" i="27"/>
  <c r="BE42" i="27"/>
  <c r="BE44" i="27"/>
  <c r="BE35" i="27"/>
  <c r="BE34" i="27"/>
  <c r="BE40" i="27"/>
  <c r="BE46" i="27"/>
  <c r="BE12" i="27"/>
  <c r="BE16" i="27"/>
  <c r="BE20" i="27"/>
  <c r="BE24" i="27"/>
  <c r="BE18" i="27"/>
  <c r="BE26" i="27"/>
  <c r="BE38" i="27"/>
  <c r="BE48" i="27"/>
  <c r="BE32" i="27"/>
  <c r="BE47" i="27"/>
  <c r="BE50" i="27"/>
  <c r="BE27" i="27"/>
  <c r="BE30" i="27"/>
  <c r="BE29" i="27"/>
  <c r="BE33" i="27"/>
  <c r="BE37" i="27"/>
  <c r="BE39" i="27"/>
  <c r="BE41" i="27"/>
  <c r="BE45" i="27"/>
  <c r="BE52" i="27"/>
  <c r="BE76" i="27"/>
  <c r="BE65" i="27"/>
  <c r="BE67" i="27"/>
  <c r="BE70" i="27"/>
  <c r="BE71" i="27"/>
  <c r="BE74" i="27"/>
  <c r="BE79" i="27"/>
  <c r="BE88" i="27"/>
  <c r="BE59" i="27"/>
  <c r="BE61" i="27"/>
  <c r="BE63" i="27"/>
  <c r="BE56" i="27"/>
  <c r="BE69" i="27"/>
  <c r="BE72" i="27"/>
  <c r="BE77" i="27"/>
  <c r="BE51" i="27"/>
  <c r="BE54" i="27"/>
  <c r="BE85" i="27"/>
  <c r="BE81" i="27"/>
  <c r="BE83" i="27"/>
  <c r="BE86" i="27"/>
  <c r="BF88" i="27" l="1"/>
  <c r="BF86" i="27"/>
  <c r="BF83" i="27"/>
  <c r="BF81" i="27"/>
  <c r="BF79" i="27"/>
  <c r="BF77" i="27"/>
  <c r="BF63" i="27"/>
  <c r="BF61" i="27"/>
  <c r="BF59" i="27"/>
  <c r="BF11" i="27"/>
  <c r="BG9" i="27"/>
  <c r="BF22" i="27"/>
  <c r="BF19" i="27"/>
  <c r="BF16" i="27"/>
  <c r="BF40" i="27"/>
  <c r="BF27" i="27"/>
  <c r="BF37" i="27"/>
  <c r="BF39" i="27"/>
  <c r="BF46" i="27"/>
  <c r="BF45" i="27"/>
  <c r="BF50" i="27"/>
  <c r="BF26" i="27"/>
  <c r="BF23" i="27"/>
  <c r="BF20" i="27"/>
  <c r="BF32" i="27"/>
  <c r="BF35" i="27"/>
  <c r="BF38" i="27"/>
  <c r="BF29" i="27"/>
  <c r="BF41" i="27"/>
  <c r="BF43" i="27"/>
  <c r="BF47" i="27"/>
  <c r="BF14" i="27"/>
  <c r="BF10" i="27"/>
  <c r="BF13" i="27"/>
  <c r="BF17" i="27"/>
  <c r="BF21" i="27"/>
  <c r="BF25" i="27"/>
  <c r="BF24" i="27"/>
  <c r="BF36" i="27"/>
  <c r="BF33" i="27"/>
  <c r="BF49" i="27"/>
  <c r="BF48" i="27"/>
  <c r="BF18" i="27"/>
  <c r="BF15" i="27"/>
  <c r="BF12" i="27"/>
  <c r="BF31" i="27"/>
  <c r="BF30" i="27"/>
  <c r="BF34" i="27"/>
  <c r="BF42" i="27"/>
  <c r="BF44" i="27"/>
  <c r="BF65" i="27"/>
  <c r="BF67" i="27"/>
  <c r="BF69" i="27"/>
  <c r="BF78" i="27"/>
  <c r="BF87" i="27"/>
  <c r="BF51" i="27"/>
  <c r="BF52" i="27"/>
  <c r="BF60" i="27"/>
  <c r="BF64" i="27"/>
  <c r="BF55" i="27"/>
  <c r="BF74" i="27"/>
  <c r="BF71" i="27"/>
  <c r="BF73" i="27"/>
  <c r="BF80" i="27"/>
  <c r="BF56" i="27"/>
  <c r="BF53" i="27"/>
  <c r="BF57" i="27"/>
  <c r="BF70" i="27"/>
  <c r="BF82" i="27"/>
  <c r="BF54" i="27"/>
  <c r="BF68" i="27"/>
  <c r="BF58" i="27"/>
  <c r="BF62" i="27"/>
  <c r="BF66" i="27"/>
  <c r="BF72" i="27"/>
  <c r="BF76" i="27"/>
  <c r="BF75" i="27"/>
  <c r="BF85" i="27"/>
  <c r="BF84" i="27"/>
  <c r="BE8" i="27"/>
  <c r="BF8" i="27" l="1"/>
  <c r="BG87" i="27"/>
  <c r="BG82" i="27"/>
  <c r="BG80" i="27"/>
  <c r="BG78" i="27"/>
  <c r="BG75" i="27"/>
  <c r="BG73" i="27"/>
  <c r="BG68" i="27"/>
  <c r="BG66" i="27"/>
  <c r="BG64" i="27"/>
  <c r="BG62" i="27"/>
  <c r="BG60" i="27"/>
  <c r="BG58" i="27"/>
  <c r="BG57" i="27"/>
  <c r="BG55" i="27"/>
  <c r="BG53" i="27"/>
  <c r="BG47" i="27"/>
  <c r="BG45" i="27"/>
  <c r="BG23" i="27"/>
  <c r="BG19" i="27"/>
  <c r="BG15" i="27"/>
  <c r="BG11" i="27"/>
  <c r="BH9" i="27"/>
  <c r="BG25" i="27"/>
  <c r="BG21" i="27"/>
  <c r="BG17" i="27"/>
  <c r="BG13" i="27"/>
  <c r="BG10" i="27"/>
  <c r="BG33" i="27"/>
  <c r="BG44" i="27"/>
  <c r="BG42" i="27"/>
  <c r="BG37" i="27"/>
  <c r="BG12" i="27"/>
  <c r="BG20" i="27"/>
  <c r="BG32" i="27"/>
  <c r="BG36" i="27"/>
  <c r="BG34" i="27"/>
  <c r="BG43" i="27"/>
  <c r="BG46" i="27"/>
  <c r="BG48" i="27"/>
  <c r="BG14" i="27"/>
  <c r="BG18" i="27"/>
  <c r="BG22" i="27"/>
  <c r="BG26" i="27"/>
  <c r="BG39" i="27"/>
  <c r="BG30" i="27"/>
  <c r="BG50" i="27"/>
  <c r="BG29" i="27"/>
  <c r="BG41" i="27"/>
  <c r="BG16" i="27"/>
  <c r="BG24" i="27"/>
  <c r="BG40" i="27"/>
  <c r="BG27" i="27"/>
  <c r="BG31" i="27"/>
  <c r="BG35" i="27"/>
  <c r="BG38" i="27"/>
  <c r="BG49" i="27"/>
  <c r="BG52" i="27"/>
  <c r="BG71" i="27"/>
  <c r="BG76" i="27"/>
  <c r="BG65" i="27"/>
  <c r="BG74" i="27"/>
  <c r="BG79" i="27"/>
  <c r="BG88" i="27"/>
  <c r="BG59" i="27"/>
  <c r="BG61" i="27"/>
  <c r="BG63" i="27"/>
  <c r="BG56" i="27"/>
  <c r="BG67" i="27"/>
  <c r="BG70" i="27"/>
  <c r="BG72" i="27"/>
  <c r="BG77" i="27"/>
  <c r="BG84" i="27"/>
  <c r="BG51" i="27"/>
  <c r="BG54" i="27"/>
  <c r="BG69" i="27"/>
  <c r="BG85" i="27"/>
  <c r="BG81" i="27"/>
  <c r="BG83" i="27"/>
  <c r="BG86" i="27"/>
  <c r="BG8" i="27" l="1"/>
  <c r="BH88" i="27"/>
  <c r="BI88" i="27" s="1"/>
  <c r="BJ88" i="27" s="1"/>
  <c r="BH84" i="27"/>
  <c r="BI84" i="27" s="1"/>
  <c r="BJ84" i="27" s="1"/>
  <c r="BH86" i="27"/>
  <c r="BI86" i="27" s="1"/>
  <c r="BJ86" i="27" s="1"/>
  <c r="BH79" i="27"/>
  <c r="BI79" i="27" s="1"/>
  <c r="BJ79" i="27" s="1"/>
  <c r="BH77" i="27"/>
  <c r="BI77" i="27" s="1"/>
  <c r="BJ77" i="27" s="1"/>
  <c r="BH56" i="27"/>
  <c r="BI56" i="27" s="1"/>
  <c r="BJ56" i="27" s="1"/>
  <c r="BH54" i="27"/>
  <c r="BI54" i="27" s="1"/>
  <c r="BJ54" i="27" s="1"/>
  <c r="BH52" i="27"/>
  <c r="BI52" i="27" s="1"/>
  <c r="BJ52" i="27" s="1"/>
  <c r="BH48" i="27"/>
  <c r="BI48" i="27" s="1"/>
  <c r="BJ48" i="27" s="1"/>
  <c r="BH46" i="27"/>
  <c r="BH42" i="27"/>
  <c r="BI42" i="27" s="1"/>
  <c r="BJ42" i="27" s="1"/>
  <c r="BK9" i="27"/>
  <c r="BH11" i="27"/>
  <c r="BI11" i="27" s="1"/>
  <c r="BJ11" i="27" s="1"/>
  <c r="BH13" i="27"/>
  <c r="BI13" i="27" s="1"/>
  <c r="BJ13" i="27" s="1"/>
  <c r="BH20" i="27"/>
  <c r="BI20" i="27" s="1"/>
  <c r="BJ20" i="27" s="1"/>
  <c r="BH14" i="27"/>
  <c r="BI14" i="27" s="1"/>
  <c r="BJ14" i="27" s="1"/>
  <c r="BH34" i="27"/>
  <c r="BI34" i="27" s="1"/>
  <c r="BJ34" i="27" s="1"/>
  <c r="BH38" i="27"/>
  <c r="BI38" i="27" s="1"/>
  <c r="BJ38" i="27" s="1"/>
  <c r="BH50" i="27"/>
  <c r="BH43" i="27"/>
  <c r="BI43" i="27" s="1"/>
  <c r="BJ43" i="27" s="1"/>
  <c r="BH17" i="27"/>
  <c r="BI17" i="27" s="1"/>
  <c r="BJ17" i="27" s="1"/>
  <c r="BH10" i="27"/>
  <c r="BH24" i="27"/>
  <c r="BI24" i="27" s="1"/>
  <c r="BJ24" i="27" s="1"/>
  <c r="BH18" i="27"/>
  <c r="BI18" i="27" s="1"/>
  <c r="BJ18" i="27" s="1"/>
  <c r="BH29" i="27"/>
  <c r="BI29" i="27" s="1"/>
  <c r="BJ29" i="27" s="1"/>
  <c r="BH33" i="27"/>
  <c r="BI33" i="27" s="1"/>
  <c r="BJ33" i="27" s="1"/>
  <c r="BH37" i="27"/>
  <c r="BI37" i="27" s="1"/>
  <c r="BJ37" i="27" s="1"/>
  <c r="BH39" i="27"/>
  <c r="BI39" i="27" s="1"/>
  <c r="BJ39" i="27" s="1"/>
  <c r="BH47" i="27"/>
  <c r="BI47" i="27" s="1"/>
  <c r="BJ47" i="27" s="1"/>
  <c r="BH45" i="27"/>
  <c r="BI45" i="27" s="1"/>
  <c r="BJ45" i="27" s="1"/>
  <c r="BH31" i="27"/>
  <c r="BI31" i="27" s="1"/>
  <c r="BJ31" i="27" s="1"/>
  <c r="BH44" i="27"/>
  <c r="BI44" i="27" s="1"/>
  <c r="BJ44" i="27" s="1"/>
  <c r="BH49" i="27"/>
  <c r="BI49" i="27" s="1"/>
  <c r="BJ49" i="27" s="1"/>
  <c r="BH21" i="27"/>
  <c r="BI21" i="27" s="1"/>
  <c r="BJ21" i="27" s="1"/>
  <c r="BH12" i="27"/>
  <c r="BI12" i="27" s="1"/>
  <c r="BJ12" i="27" s="1"/>
  <c r="BH15" i="27"/>
  <c r="BI15" i="27" s="1"/>
  <c r="BJ15" i="27" s="1"/>
  <c r="BH19" i="27"/>
  <c r="BI19" i="27" s="1"/>
  <c r="BJ19" i="27" s="1"/>
  <c r="BH23" i="27"/>
  <c r="BI23" i="27" s="1"/>
  <c r="BJ23" i="27" s="1"/>
  <c r="BH22" i="27"/>
  <c r="BI22" i="27" s="1"/>
  <c r="BJ22" i="27" s="1"/>
  <c r="BH26" i="27"/>
  <c r="BI26" i="27" s="1"/>
  <c r="BJ26" i="27" s="1"/>
  <c r="BH35" i="27"/>
  <c r="BI35" i="27" s="1"/>
  <c r="BJ35" i="27" s="1"/>
  <c r="BH25" i="27"/>
  <c r="BI25" i="27" s="1"/>
  <c r="BJ25" i="27" s="1"/>
  <c r="BH16" i="27"/>
  <c r="BI16" i="27" s="1"/>
  <c r="BJ16" i="27" s="1"/>
  <c r="BH30" i="27"/>
  <c r="BI30" i="27" s="1"/>
  <c r="BJ30" i="27" s="1"/>
  <c r="BH41" i="27"/>
  <c r="BI41" i="27" s="1"/>
  <c r="BJ41" i="27" s="1"/>
  <c r="BH32" i="27"/>
  <c r="BI32" i="27" s="1"/>
  <c r="BJ32" i="27" s="1"/>
  <c r="BH36" i="27"/>
  <c r="BI36" i="27" s="1"/>
  <c r="BJ36" i="27" s="1"/>
  <c r="BH40" i="27"/>
  <c r="BI40" i="27" s="1"/>
  <c r="BJ40" i="27" s="1"/>
  <c r="BH27" i="27"/>
  <c r="BI27" i="27" s="1"/>
  <c r="BJ27" i="27" s="1"/>
  <c r="BH57" i="27"/>
  <c r="BI57" i="27" s="1"/>
  <c r="BJ57" i="27" s="1"/>
  <c r="BH69" i="27"/>
  <c r="BI69" i="27" s="1"/>
  <c r="BJ69" i="27" s="1"/>
  <c r="BH73" i="27"/>
  <c r="BI73" i="27" s="1"/>
  <c r="BJ73" i="27" s="1"/>
  <c r="BH58" i="27"/>
  <c r="BI58" i="27" s="1"/>
  <c r="BJ58" i="27" s="1"/>
  <c r="BH62" i="27"/>
  <c r="BI62" i="27" s="1"/>
  <c r="BJ62" i="27" s="1"/>
  <c r="BH67" i="27"/>
  <c r="BI67" i="27" s="1"/>
  <c r="BJ67" i="27" s="1"/>
  <c r="BH72" i="27"/>
  <c r="BI72" i="27" s="1"/>
  <c r="BJ72" i="27" s="1"/>
  <c r="BH71" i="27"/>
  <c r="BI71" i="27" s="1"/>
  <c r="BJ71" i="27" s="1"/>
  <c r="BH75" i="27"/>
  <c r="BI75" i="27" s="1"/>
  <c r="BJ75" i="27" s="1"/>
  <c r="BH81" i="27"/>
  <c r="BI81" i="27" s="1"/>
  <c r="BJ81" i="27" s="1"/>
  <c r="BH83" i="27"/>
  <c r="BI83" i="27" s="1"/>
  <c r="BJ83" i="27" s="1"/>
  <c r="BH78" i="27"/>
  <c r="BI78" i="27" s="1"/>
  <c r="BJ78" i="27" s="1"/>
  <c r="BH82" i="27"/>
  <c r="BI82" i="27" s="1"/>
  <c r="BJ82" i="27" s="1"/>
  <c r="BH59" i="27"/>
  <c r="BI59" i="27" s="1"/>
  <c r="BJ59" i="27" s="1"/>
  <c r="BH61" i="27"/>
  <c r="BI61" i="27" s="1"/>
  <c r="BJ61" i="27" s="1"/>
  <c r="BH63" i="27"/>
  <c r="BI63" i="27" s="1"/>
  <c r="BJ63" i="27" s="1"/>
  <c r="BH65" i="27"/>
  <c r="BI65" i="27" s="1"/>
  <c r="BJ65" i="27" s="1"/>
  <c r="BH53" i="27"/>
  <c r="BI53" i="27" s="1"/>
  <c r="BJ53" i="27" s="1"/>
  <c r="BH55" i="27"/>
  <c r="BI55" i="27" s="1"/>
  <c r="BJ55" i="27" s="1"/>
  <c r="BH74" i="27"/>
  <c r="BI74" i="27" s="1"/>
  <c r="BJ74" i="27" s="1"/>
  <c r="BH76" i="27"/>
  <c r="BI76" i="27" s="1"/>
  <c r="BJ76" i="27" s="1"/>
  <c r="BH80" i="27"/>
  <c r="BI80" i="27" s="1"/>
  <c r="BJ80" i="27" s="1"/>
  <c r="BH87" i="27"/>
  <c r="BI87" i="27" s="1"/>
  <c r="BJ87" i="27" s="1"/>
  <c r="BH51" i="27"/>
  <c r="BI51" i="27" s="1"/>
  <c r="BJ51" i="27" s="1"/>
  <c r="BH66" i="27"/>
  <c r="BI66" i="27" s="1"/>
  <c r="BJ66" i="27" s="1"/>
  <c r="BH60" i="27"/>
  <c r="BI60" i="27" s="1"/>
  <c r="BJ60" i="27" s="1"/>
  <c r="BH64" i="27"/>
  <c r="BI64" i="27" s="1"/>
  <c r="BJ64" i="27" s="1"/>
  <c r="BH68" i="27"/>
  <c r="BI68" i="27" s="1"/>
  <c r="BJ68" i="27" s="1"/>
  <c r="BH70" i="27"/>
  <c r="BI70" i="27" s="1"/>
  <c r="BJ70" i="27" s="1"/>
  <c r="BH85" i="27"/>
  <c r="BI85" i="27" s="1"/>
  <c r="BJ85" i="27" s="1"/>
  <c r="BJ4" i="27" l="1"/>
  <c r="BJ3" i="27"/>
  <c r="BJ5" i="27"/>
  <c r="BK86" i="27"/>
  <c r="BK70" i="27"/>
  <c r="BK80" i="27"/>
  <c r="BK33" i="27"/>
  <c r="BK34" i="27"/>
  <c r="BK54" i="27"/>
  <c r="BK68" i="27"/>
  <c r="BK51" i="27"/>
  <c r="BK76" i="27"/>
  <c r="BK65" i="27"/>
  <c r="BK82" i="27"/>
  <c r="BK75" i="27"/>
  <c r="BK62" i="27"/>
  <c r="BK36" i="27"/>
  <c r="BK41" i="27"/>
  <c r="BK25" i="27"/>
  <c r="BK22" i="27"/>
  <c r="BK12" i="27"/>
  <c r="BK49" i="27"/>
  <c r="BK47" i="27"/>
  <c r="BK29" i="27"/>
  <c r="BK14" i="27"/>
  <c r="BK56" i="27"/>
  <c r="BK84" i="27"/>
  <c r="BK53" i="27"/>
  <c r="BK81" i="27"/>
  <c r="BK26" i="27"/>
  <c r="BK24" i="27"/>
  <c r="BK11" i="27"/>
  <c r="BK64" i="27"/>
  <c r="BK74" i="27"/>
  <c r="BK63" i="27"/>
  <c r="BK78" i="27"/>
  <c r="BK71" i="27"/>
  <c r="BK58" i="27"/>
  <c r="BK69" i="27"/>
  <c r="BK27" i="27"/>
  <c r="BK35" i="27"/>
  <c r="BK23" i="27"/>
  <c r="BK39" i="27"/>
  <c r="BK17" i="27"/>
  <c r="BK38" i="27"/>
  <c r="BK88" i="27"/>
  <c r="BK66" i="27"/>
  <c r="BK59" i="27"/>
  <c r="BK67" i="27"/>
  <c r="BK16" i="27"/>
  <c r="BK15" i="27"/>
  <c r="BK45" i="27"/>
  <c r="BK85" i="27"/>
  <c r="BK60" i="27"/>
  <c r="BK87" i="27"/>
  <c r="BK55" i="27"/>
  <c r="BK61" i="27"/>
  <c r="BK72" i="27"/>
  <c r="BK57" i="27"/>
  <c r="BK40" i="27"/>
  <c r="BK30" i="27"/>
  <c r="BK19" i="27"/>
  <c r="BK44" i="27"/>
  <c r="BK52" i="27"/>
  <c r="BK79" i="27"/>
  <c r="BK32" i="27"/>
  <c r="BH8" i="27"/>
  <c r="BI10" i="27"/>
  <c r="BK48" i="27"/>
  <c r="BK77" i="27"/>
  <c r="BK13" i="27"/>
  <c r="BK46" i="27"/>
  <c r="BK50" i="27"/>
  <c r="BL9" i="27"/>
  <c r="BL70" i="27" s="1"/>
  <c r="BK21" i="27"/>
  <c r="BK20" i="27"/>
  <c r="BK18" i="27"/>
  <c r="BK31" i="27"/>
  <c r="BK37" i="27"/>
  <c r="BK42" i="27"/>
  <c r="BK43" i="27"/>
  <c r="BL73" i="27"/>
  <c r="BK73" i="27"/>
  <c r="BK83" i="27"/>
  <c r="BL48" i="27" l="1"/>
  <c r="BL83" i="27"/>
  <c r="BL37" i="27"/>
  <c r="BL20" i="27"/>
  <c r="BL13" i="27"/>
  <c r="BL52" i="27"/>
  <c r="BL44" i="27"/>
  <c r="BL72" i="27"/>
  <c r="BL39" i="27"/>
  <c r="BL56" i="27"/>
  <c r="BL29" i="27"/>
  <c r="BL41" i="27"/>
  <c r="BL68" i="27"/>
  <c r="BL54" i="27"/>
  <c r="BL19" i="27"/>
  <c r="BL15" i="27"/>
  <c r="BL88" i="27"/>
  <c r="BL23" i="27"/>
  <c r="BL74" i="27"/>
  <c r="BL11" i="27"/>
  <c r="BL81" i="27"/>
  <c r="BL65" i="27"/>
  <c r="BL76" i="27"/>
  <c r="BL33" i="27"/>
  <c r="BL86" i="27"/>
  <c r="BL42" i="27"/>
  <c r="BL31" i="27"/>
  <c r="BL21" i="27"/>
  <c r="BL79" i="27"/>
  <c r="BL30" i="27"/>
  <c r="BL57" i="27"/>
  <c r="BL45" i="27"/>
  <c r="BL16" i="27"/>
  <c r="BL66" i="27"/>
  <c r="BL69" i="27"/>
  <c r="BL58" i="27"/>
  <c r="BL24" i="27"/>
  <c r="BL53" i="27"/>
  <c r="BL47" i="27"/>
  <c r="BL12" i="27"/>
  <c r="BL62" i="27"/>
  <c r="BL34" i="27"/>
  <c r="BL80" i="27"/>
  <c r="BL43" i="27"/>
  <c r="BL18" i="27"/>
  <c r="BI8" i="27"/>
  <c r="BJ10" i="27"/>
  <c r="BL55" i="27"/>
  <c r="BL87" i="27"/>
  <c r="BL60" i="27"/>
  <c r="BL85" i="27"/>
  <c r="BL38" i="27"/>
  <c r="BL17" i="27"/>
  <c r="BL35" i="27"/>
  <c r="BL27" i="27"/>
  <c r="BL71" i="27"/>
  <c r="BL78" i="27"/>
  <c r="BL64" i="27"/>
  <c r="BL25" i="27"/>
  <c r="BL75" i="27"/>
  <c r="BL82" i="27"/>
  <c r="BL50" i="27"/>
  <c r="BL46" i="27"/>
  <c r="BM9" i="27"/>
  <c r="BL77" i="27"/>
  <c r="BL32" i="27"/>
  <c r="BL40" i="27"/>
  <c r="BL61" i="27"/>
  <c r="BL67" i="27"/>
  <c r="BL59" i="27"/>
  <c r="BL63" i="27"/>
  <c r="BL26" i="27"/>
  <c r="BL84" i="27"/>
  <c r="BL14" i="27"/>
  <c r="BL49" i="27"/>
  <c r="BL22" i="27"/>
  <c r="BL36" i="27"/>
  <c r="BL51" i="27"/>
  <c r="BM50" i="27" l="1"/>
  <c r="BM46" i="27"/>
  <c r="BN9" i="27"/>
  <c r="BM33" i="27"/>
  <c r="BM68" i="27"/>
  <c r="BM41" i="27"/>
  <c r="BM29" i="27"/>
  <c r="BM11" i="27"/>
  <c r="BM78" i="27"/>
  <c r="BM23" i="27"/>
  <c r="BM39" i="27"/>
  <c r="BM15" i="27"/>
  <c r="BM19" i="27"/>
  <c r="BM44" i="27"/>
  <c r="BM48" i="27"/>
  <c r="BM77" i="27"/>
  <c r="BM13" i="27"/>
  <c r="BM20" i="27"/>
  <c r="BM69" i="27"/>
  <c r="BM57" i="27"/>
  <c r="BM31" i="27"/>
  <c r="BM42" i="27"/>
  <c r="BM51" i="27"/>
  <c r="BM76" i="27"/>
  <c r="BM65" i="27"/>
  <c r="BM75" i="27"/>
  <c r="BM62" i="27"/>
  <c r="BM36" i="27"/>
  <c r="BM22" i="27"/>
  <c r="BM49" i="27"/>
  <c r="BM14" i="27"/>
  <c r="BM56" i="27"/>
  <c r="BM26" i="27"/>
  <c r="BM64" i="27"/>
  <c r="BM71" i="27"/>
  <c r="BM58" i="27"/>
  <c r="BM88" i="27"/>
  <c r="BM66" i="27"/>
  <c r="BM67" i="27"/>
  <c r="BM60" i="27"/>
  <c r="BM87" i="27"/>
  <c r="BM61" i="27"/>
  <c r="BM72" i="27"/>
  <c r="BM40" i="27"/>
  <c r="BM52" i="27"/>
  <c r="BM79" i="27"/>
  <c r="BM32" i="27"/>
  <c r="BM37" i="27"/>
  <c r="BM47" i="27"/>
  <c r="BM16" i="27"/>
  <c r="BM30" i="27"/>
  <c r="BM21" i="27"/>
  <c r="BM86" i="27"/>
  <c r="BM70" i="27"/>
  <c r="BM54" i="27"/>
  <c r="BM25" i="27"/>
  <c r="BM81" i="27"/>
  <c r="BM74" i="27"/>
  <c r="BM63" i="27"/>
  <c r="BM27" i="27"/>
  <c r="BM35" i="27"/>
  <c r="BM17" i="27"/>
  <c r="BM38" i="27"/>
  <c r="BM59" i="27"/>
  <c r="BM85" i="27"/>
  <c r="BM18" i="27"/>
  <c r="BM43" i="27"/>
  <c r="BM73" i="27"/>
  <c r="BM83" i="27"/>
  <c r="BM80" i="27"/>
  <c r="BM34" i="27"/>
  <c r="BM82" i="27"/>
  <c r="BM12" i="27"/>
  <c r="BM84" i="27"/>
  <c r="BM53" i="27"/>
  <c r="BM24" i="27"/>
  <c r="BM45" i="27"/>
  <c r="BM55" i="27"/>
  <c r="BM10" i="27"/>
  <c r="BJ8" i="27"/>
  <c r="BL10" i="27"/>
  <c r="BL8" i="27" s="1"/>
  <c r="BK10" i="27"/>
  <c r="BN10" i="27"/>
  <c r="BJ1" i="27"/>
  <c r="D6" i="24" l="1"/>
  <c r="D7" i="26"/>
  <c r="D6" i="26" s="1"/>
  <c r="BM8" i="27"/>
  <c r="BK8" i="27"/>
  <c r="BN46" i="27"/>
  <c r="BN50" i="27"/>
  <c r="BO9" i="27"/>
  <c r="BN34" i="27"/>
  <c r="BN12" i="27"/>
  <c r="BN47" i="27"/>
  <c r="BN24" i="27"/>
  <c r="BN69" i="27"/>
  <c r="BN16" i="27"/>
  <c r="BN45" i="27"/>
  <c r="BN30" i="27"/>
  <c r="BN79" i="27"/>
  <c r="BN21" i="27"/>
  <c r="BN31" i="27"/>
  <c r="BN42" i="27"/>
  <c r="BN83" i="27"/>
  <c r="BN17" i="27"/>
  <c r="BN85" i="27"/>
  <c r="BN80" i="27"/>
  <c r="BN33" i="27"/>
  <c r="BN68" i="27"/>
  <c r="BN76" i="27"/>
  <c r="BN65" i="27"/>
  <c r="BN62" i="27"/>
  <c r="BN41" i="27"/>
  <c r="BN29" i="27"/>
  <c r="BN84" i="27"/>
  <c r="BN53" i="27"/>
  <c r="BN11" i="27"/>
  <c r="BN74" i="27"/>
  <c r="BN63" i="27"/>
  <c r="BN58" i="27"/>
  <c r="BN23" i="27"/>
  <c r="BN39" i="27"/>
  <c r="BN66" i="27"/>
  <c r="BN59" i="27"/>
  <c r="BN15" i="27"/>
  <c r="BN61" i="27"/>
  <c r="BN72" i="27"/>
  <c r="BN57" i="27"/>
  <c r="BN19" i="27"/>
  <c r="BN44" i="27"/>
  <c r="BN48" i="27"/>
  <c r="BN13" i="27"/>
  <c r="BN20" i="27"/>
  <c r="BN27" i="27"/>
  <c r="BN18" i="27"/>
  <c r="BN86" i="27"/>
  <c r="BN51" i="27"/>
  <c r="BN82" i="27"/>
  <c r="BN75" i="27"/>
  <c r="BN36" i="27"/>
  <c r="BN22" i="27"/>
  <c r="BN49" i="27"/>
  <c r="BN14" i="27"/>
  <c r="BN26" i="27"/>
  <c r="BN64" i="27"/>
  <c r="BN78" i="27"/>
  <c r="BN71" i="27"/>
  <c r="BN88" i="27"/>
  <c r="BN67" i="27"/>
  <c r="BN60" i="27"/>
  <c r="BN87" i="27"/>
  <c r="BN55" i="27"/>
  <c r="BN40" i="27"/>
  <c r="BN32" i="27"/>
  <c r="BN77" i="27"/>
  <c r="BN37" i="27"/>
  <c r="BN73" i="27"/>
  <c r="BN70" i="27"/>
  <c r="BN54" i="27"/>
  <c r="BN25" i="27"/>
  <c r="BN56" i="27"/>
  <c r="BN81" i="27"/>
  <c r="BN35" i="27"/>
  <c r="BN38" i="27"/>
  <c r="BN52" i="27"/>
  <c r="BN43" i="27"/>
  <c r="D29" i="24" l="1"/>
  <c r="I21" i="24"/>
  <c r="BN8" i="27"/>
  <c r="BO46" i="27"/>
  <c r="BO50" i="27"/>
  <c r="BP9" i="27"/>
  <c r="BO86" i="27"/>
  <c r="BO80" i="27"/>
  <c r="BO34" i="27"/>
  <c r="BO54" i="27"/>
  <c r="BO82" i="27"/>
  <c r="BO12" i="27"/>
  <c r="BO47" i="27"/>
  <c r="BO81" i="27"/>
  <c r="BO24" i="27"/>
  <c r="BO74" i="27"/>
  <c r="BO63" i="27"/>
  <c r="BO69" i="27"/>
  <c r="BO59" i="27"/>
  <c r="BO16" i="27"/>
  <c r="BO45" i="27"/>
  <c r="BO30" i="27"/>
  <c r="BO21" i="27"/>
  <c r="BO31" i="27"/>
  <c r="BO42" i="27"/>
  <c r="BO73" i="27"/>
  <c r="BO71" i="27"/>
  <c r="BO38" i="27"/>
  <c r="BO33" i="27"/>
  <c r="BO68" i="27"/>
  <c r="BO76" i="27"/>
  <c r="BO65" i="27"/>
  <c r="BO41" i="27"/>
  <c r="BO29" i="27"/>
  <c r="BO56" i="27"/>
  <c r="BO84" i="27"/>
  <c r="BO53" i="27"/>
  <c r="BO11" i="27"/>
  <c r="BO23" i="27"/>
  <c r="BO39" i="27"/>
  <c r="BO88" i="27"/>
  <c r="BO15" i="27"/>
  <c r="BO55" i="27"/>
  <c r="BO61" i="27"/>
  <c r="BO72" i="27"/>
  <c r="BO57" i="27"/>
  <c r="BO19" i="27"/>
  <c r="BO44" i="27"/>
  <c r="BO52" i="27"/>
  <c r="BO79" i="27"/>
  <c r="BO48" i="27"/>
  <c r="BO13" i="27"/>
  <c r="BO20" i="27"/>
  <c r="BO64" i="27"/>
  <c r="BO35" i="27"/>
  <c r="BO51" i="27"/>
  <c r="BO62" i="27"/>
  <c r="BO36" i="27"/>
  <c r="BO22" i="27"/>
  <c r="BO49" i="27"/>
  <c r="BO14" i="27"/>
  <c r="BO26" i="27"/>
  <c r="BO78" i="27"/>
  <c r="BO58" i="27"/>
  <c r="BO67" i="27"/>
  <c r="BO85" i="27"/>
  <c r="BO60" i="27"/>
  <c r="BO87" i="27"/>
  <c r="BO40" i="27"/>
  <c r="BO32" i="27"/>
  <c r="BO77" i="27"/>
  <c r="BO37" i="27"/>
  <c r="BO83" i="27"/>
  <c r="BO70" i="27"/>
  <c r="BO75" i="27"/>
  <c r="BO25" i="27"/>
  <c r="BO27" i="27"/>
  <c r="BO17" i="27"/>
  <c r="BO66" i="27"/>
  <c r="BO18" i="27"/>
  <c r="BO43" i="27"/>
  <c r="BO10" i="27"/>
  <c r="A6" i="24" l="1"/>
  <c r="A25" i="24"/>
  <c r="A15" i="24"/>
  <c r="A11" i="24"/>
  <c r="I24" i="24"/>
  <c r="I29" i="24"/>
  <c r="BO8" i="27"/>
  <c r="BP50" i="27"/>
  <c r="BP46" i="27"/>
  <c r="BQ9" i="27"/>
  <c r="BP70" i="27"/>
  <c r="BP82" i="27"/>
  <c r="BP75" i="27"/>
  <c r="BP25" i="27"/>
  <c r="BP81" i="27"/>
  <c r="BP64" i="27"/>
  <c r="BP78" i="27"/>
  <c r="BP71" i="27"/>
  <c r="BP27" i="27"/>
  <c r="BP35" i="27"/>
  <c r="BP17" i="27"/>
  <c r="BP38" i="27"/>
  <c r="BP85" i="27"/>
  <c r="BP60" i="27"/>
  <c r="BP87" i="27"/>
  <c r="BP55" i="27"/>
  <c r="BP77" i="27"/>
  <c r="BP18" i="27"/>
  <c r="BP43" i="27"/>
  <c r="BP14" i="27"/>
  <c r="BP67" i="27"/>
  <c r="BP72" i="27"/>
  <c r="BP86" i="27"/>
  <c r="BP80" i="27"/>
  <c r="BP34" i="27"/>
  <c r="BP54" i="27"/>
  <c r="BP62" i="27"/>
  <c r="BP12" i="27"/>
  <c r="BP47" i="27"/>
  <c r="BP56" i="27"/>
  <c r="BP53" i="27"/>
  <c r="BP24" i="27"/>
  <c r="BP58" i="27"/>
  <c r="BP69" i="27"/>
  <c r="BP66" i="27"/>
  <c r="BP16" i="27"/>
  <c r="BP45" i="27"/>
  <c r="BP57" i="27"/>
  <c r="BP30" i="27"/>
  <c r="BP52" i="27"/>
  <c r="BP21" i="27"/>
  <c r="BP31" i="27"/>
  <c r="BP42" i="27"/>
  <c r="BP83" i="27"/>
  <c r="BP26" i="27"/>
  <c r="BP88" i="27"/>
  <c r="BP33" i="27"/>
  <c r="BP68" i="27"/>
  <c r="BP41" i="27"/>
  <c r="BP29" i="27"/>
  <c r="BP84" i="27"/>
  <c r="BP11" i="27"/>
  <c r="BP63" i="27"/>
  <c r="BP23" i="27"/>
  <c r="BP39" i="27"/>
  <c r="BP59" i="27"/>
  <c r="BP15" i="27"/>
  <c r="BP61" i="27"/>
  <c r="BP19" i="27"/>
  <c r="BP44" i="27"/>
  <c r="BP79" i="27"/>
  <c r="BP48" i="27"/>
  <c r="BP13" i="27"/>
  <c r="BP20" i="27"/>
  <c r="BP73" i="27"/>
  <c r="BP51" i="27"/>
  <c r="BP76" i="27"/>
  <c r="BP65" i="27"/>
  <c r="BP36" i="27"/>
  <c r="BP22" i="27"/>
  <c r="BP49" i="27"/>
  <c r="BP74" i="27"/>
  <c r="BP40" i="27"/>
  <c r="BP32" i="27"/>
  <c r="BP37" i="27"/>
  <c r="BP10" i="27"/>
  <c r="F6" i="24" l="1"/>
  <c r="F11" i="24"/>
  <c r="D7" i="11"/>
  <c r="I25" i="24"/>
  <c r="BP8" i="27"/>
  <c r="BQ50" i="27"/>
  <c r="BQ46" i="27"/>
  <c r="BR9" i="27"/>
  <c r="BQ51" i="27"/>
  <c r="BQ76" i="27"/>
  <c r="BQ65" i="27"/>
  <c r="BQ36" i="27"/>
  <c r="BQ22" i="27"/>
  <c r="BQ49" i="27"/>
  <c r="BQ14" i="27"/>
  <c r="BQ56" i="27"/>
  <c r="BQ53" i="27"/>
  <c r="BQ26" i="27"/>
  <c r="BQ88" i="27"/>
  <c r="BQ67" i="27"/>
  <c r="BQ87" i="27"/>
  <c r="BQ55" i="27"/>
  <c r="BQ61" i="27"/>
  <c r="BQ72" i="27"/>
  <c r="BQ57" i="27"/>
  <c r="BQ40" i="27"/>
  <c r="BQ52" i="27"/>
  <c r="BQ79" i="27"/>
  <c r="BQ32" i="27"/>
  <c r="BQ37" i="27"/>
  <c r="BQ11" i="27"/>
  <c r="BQ78" i="27"/>
  <c r="BQ15" i="27"/>
  <c r="BQ86" i="27"/>
  <c r="BQ70" i="27"/>
  <c r="BQ54" i="27"/>
  <c r="BQ25" i="27"/>
  <c r="BQ84" i="27"/>
  <c r="BQ81" i="27"/>
  <c r="BQ74" i="27"/>
  <c r="BQ63" i="27"/>
  <c r="BQ27" i="27"/>
  <c r="BQ35" i="27"/>
  <c r="BQ17" i="27"/>
  <c r="BQ38" i="27"/>
  <c r="BQ59" i="27"/>
  <c r="BQ85" i="27"/>
  <c r="BQ18" i="27"/>
  <c r="BQ43" i="27"/>
  <c r="BQ83" i="27"/>
  <c r="BQ29" i="27"/>
  <c r="BQ23" i="27"/>
  <c r="BQ19" i="27"/>
  <c r="BQ20" i="27"/>
  <c r="BQ80" i="27"/>
  <c r="BQ34" i="27"/>
  <c r="BQ82" i="27"/>
  <c r="BQ75" i="27"/>
  <c r="BQ12" i="27"/>
  <c r="BQ47" i="27"/>
  <c r="BQ24" i="27"/>
  <c r="BQ64" i="27"/>
  <c r="BQ71" i="27"/>
  <c r="BQ69" i="27"/>
  <c r="BQ66" i="27"/>
  <c r="BQ16" i="27"/>
  <c r="BQ45" i="27"/>
  <c r="BQ30" i="27"/>
  <c r="BQ21" i="27"/>
  <c r="BQ31" i="27"/>
  <c r="BQ42" i="27"/>
  <c r="BQ33" i="27"/>
  <c r="BQ68" i="27"/>
  <c r="BQ62" i="27"/>
  <c r="BQ41" i="27"/>
  <c r="BQ58" i="27"/>
  <c r="BQ39" i="27"/>
  <c r="BQ60" i="27"/>
  <c r="BQ44" i="27"/>
  <c r="BQ48" i="27"/>
  <c r="BQ77" i="27"/>
  <c r="BQ13" i="27"/>
  <c r="BQ73" i="27"/>
  <c r="BQ10" i="27"/>
  <c r="D8" i="11" l="1"/>
  <c r="D9" i="11"/>
  <c r="BR46" i="27"/>
  <c r="BR50" i="27"/>
  <c r="BS9" i="27"/>
  <c r="BR86" i="27"/>
  <c r="BR80" i="27"/>
  <c r="BR33" i="27"/>
  <c r="BR54" i="27"/>
  <c r="BR68" i="27"/>
  <c r="BR62" i="27"/>
  <c r="BR41" i="27"/>
  <c r="BR29" i="27"/>
  <c r="BR56" i="27"/>
  <c r="BR84" i="27"/>
  <c r="BR53" i="27"/>
  <c r="BR11" i="27"/>
  <c r="BR58" i="27"/>
  <c r="BR23" i="27"/>
  <c r="BR39" i="27"/>
  <c r="BR88" i="27"/>
  <c r="BR66" i="27"/>
  <c r="BR15" i="27"/>
  <c r="BR57" i="27"/>
  <c r="BR19" i="27"/>
  <c r="BR44" i="27"/>
  <c r="BR52" i="27"/>
  <c r="BR48" i="27"/>
  <c r="BR13" i="27"/>
  <c r="BR20" i="27"/>
  <c r="BR45" i="27"/>
  <c r="BR61" i="27"/>
  <c r="BR30" i="27"/>
  <c r="BR79" i="27"/>
  <c r="BR42" i="27"/>
  <c r="BR83" i="27"/>
  <c r="BR51" i="27"/>
  <c r="BR82" i="27"/>
  <c r="BR75" i="27"/>
  <c r="BR36" i="27"/>
  <c r="BR22" i="27"/>
  <c r="BR49" i="27"/>
  <c r="BR14" i="27"/>
  <c r="BR26" i="27"/>
  <c r="BR64" i="27"/>
  <c r="BR78" i="27"/>
  <c r="BR71" i="27"/>
  <c r="BR67" i="27"/>
  <c r="BR60" i="27"/>
  <c r="BR87" i="27"/>
  <c r="BR55" i="27"/>
  <c r="BR40" i="27"/>
  <c r="BR32" i="27"/>
  <c r="BR77" i="27"/>
  <c r="BR37" i="27"/>
  <c r="BR73" i="27"/>
  <c r="BR63" i="27"/>
  <c r="BR21" i="27"/>
  <c r="BR70" i="27"/>
  <c r="BR76" i="27"/>
  <c r="BR65" i="27"/>
  <c r="BR25" i="27"/>
  <c r="BR81" i="27"/>
  <c r="BR74" i="27"/>
  <c r="BR27" i="27"/>
  <c r="BR35" i="27"/>
  <c r="BR17" i="27"/>
  <c r="BR38" i="27"/>
  <c r="BR72" i="27"/>
  <c r="BR18" i="27"/>
  <c r="BR43" i="27"/>
  <c r="BR34" i="27"/>
  <c r="BR12" i="27"/>
  <c r="BR47" i="27"/>
  <c r="BR24" i="27"/>
  <c r="BR69" i="27"/>
  <c r="BR59" i="27"/>
  <c r="BR16" i="27"/>
  <c r="BR85" i="27"/>
  <c r="BR31" i="27"/>
  <c r="BR10" i="27"/>
  <c r="BQ8" i="27"/>
  <c r="F34" i="11" l="1"/>
  <c r="F38" i="11"/>
  <c r="F42" i="11"/>
  <c r="F32" i="11"/>
  <c r="F35" i="11"/>
  <c r="F39" i="11"/>
  <c r="F31" i="11"/>
  <c r="F36" i="11"/>
  <c r="F40" i="11"/>
  <c r="F41" i="11"/>
  <c r="F33" i="11"/>
  <c r="F37" i="11"/>
  <c r="H37" i="11"/>
  <c r="H42" i="11"/>
  <c r="H40" i="11"/>
  <c r="H38" i="11"/>
  <c r="H36" i="11"/>
  <c r="H34" i="11"/>
  <c r="H31" i="11"/>
  <c r="H41" i="11"/>
  <c r="H39" i="11"/>
  <c r="H35" i="11"/>
  <c r="H33" i="11"/>
  <c r="H32" i="11"/>
  <c r="F28" i="11"/>
  <c r="F29" i="11"/>
  <c r="F27" i="11"/>
  <c r="F30" i="11"/>
  <c r="H28" i="11"/>
  <c r="H30" i="11"/>
  <c r="H29" i="11"/>
  <c r="H27" i="11"/>
  <c r="F25" i="11"/>
  <c r="F26" i="11"/>
  <c r="H25" i="11"/>
  <c r="J25" i="11" s="1"/>
  <c r="H26" i="11"/>
  <c r="F22" i="11"/>
  <c r="F24" i="11"/>
  <c r="F23" i="11"/>
  <c r="H23" i="11"/>
  <c r="H24" i="11"/>
  <c r="H22" i="11"/>
  <c r="F21" i="11"/>
  <c r="F20" i="11"/>
  <c r="F19" i="11"/>
  <c r="H21" i="11"/>
  <c r="H20" i="11"/>
  <c r="H19" i="11"/>
  <c r="I8" i="11"/>
  <c r="F15" i="11"/>
  <c r="F17" i="11"/>
  <c r="F14" i="11"/>
  <c r="F16" i="11"/>
  <c r="F18" i="11"/>
  <c r="F13" i="11"/>
  <c r="H17" i="11"/>
  <c r="H14" i="11"/>
  <c r="H15" i="11"/>
  <c r="H18" i="11"/>
  <c r="H16" i="11"/>
  <c r="H13" i="11"/>
  <c r="BS46" i="27"/>
  <c r="BS50" i="27"/>
  <c r="BT9" i="27"/>
  <c r="BS33" i="27"/>
  <c r="BS68" i="27"/>
  <c r="BS76" i="27"/>
  <c r="BS65" i="27"/>
  <c r="BS41" i="27"/>
  <c r="BS29" i="27"/>
  <c r="BS56" i="27"/>
  <c r="BS84" i="27"/>
  <c r="BS11" i="27"/>
  <c r="BS23" i="27"/>
  <c r="BS39" i="27"/>
  <c r="BS88" i="27"/>
  <c r="BS15" i="27"/>
  <c r="BS85" i="27"/>
  <c r="BS61" i="27"/>
  <c r="BS72" i="27"/>
  <c r="BS19" i="27"/>
  <c r="BS44" i="27"/>
  <c r="BS52" i="27"/>
  <c r="BS79" i="27"/>
  <c r="BS48" i="27"/>
  <c r="BS13" i="27"/>
  <c r="BS20" i="27"/>
  <c r="BS24" i="27"/>
  <c r="BS74" i="27"/>
  <c r="BS63" i="27"/>
  <c r="BS58" i="27"/>
  <c r="BS69" i="27"/>
  <c r="BS60" i="27"/>
  <c r="BS51" i="27"/>
  <c r="BS36" i="27"/>
  <c r="BS22" i="27"/>
  <c r="BS49" i="27"/>
  <c r="BS14" i="27"/>
  <c r="BS26" i="27"/>
  <c r="BS78" i="27"/>
  <c r="BS67" i="27"/>
  <c r="BS40" i="27"/>
  <c r="BS32" i="27"/>
  <c r="BS77" i="27"/>
  <c r="BS37" i="27"/>
  <c r="BS83" i="27"/>
  <c r="BS47" i="27"/>
  <c r="BS81" i="27"/>
  <c r="BS16" i="27"/>
  <c r="BS30" i="27"/>
  <c r="BS31" i="27"/>
  <c r="BS70" i="27"/>
  <c r="BS80" i="27"/>
  <c r="BS82" i="27"/>
  <c r="BS75" i="27"/>
  <c r="BS25" i="27"/>
  <c r="BS53" i="27"/>
  <c r="BS64" i="27"/>
  <c r="BS71" i="27"/>
  <c r="BS27" i="27"/>
  <c r="BS35" i="27"/>
  <c r="BS17" i="27"/>
  <c r="BS38" i="27"/>
  <c r="BS66" i="27"/>
  <c r="BS87" i="27"/>
  <c r="BS55" i="27"/>
  <c r="BS57" i="27"/>
  <c r="BS18" i="27"/>
  <c r="BS43" i="27"/>
  <c r="BS86" i="27"/>
  <c r="BS34" i="27"/>
  <c r="BS54" i="27"/>
  <c r="BS62" i="27"/>
  <c r="BS12" i="27"/>
  <c r="BS59" i="27"/>
  <c r="BS45" i="27"/>
  <c r="BS21" i="27"/>
  <c r="BS42" i="27"/>
  <c r="BS73" i="27"/>
  <c r="BS10" i="27"/>
  <c r="BR8" i="27"/>
  <c r="J27" i="11" l="1"/>
  <c r="J37" i="11"/>
  <c r="J41" i="11"/>
  <c r="J36" i="11"/>
  <c r="J39" i="11"/>
  <c r="J32" i="11"/>
  <c r="J38" i="11"/>
  <c r="J33" i="11"/>
  <c r="J40" i="11"/>
  <c r="J31" i="11"/>
  <c r="J35" i="11"/>
  <c r="J42" i="11"/>
  <c r="J34" i="11"/>
  <c r="B17" i="6"/>
  <c r="B15" i="6"/>
  <c r="B16" i="6" s="1"/>
  <c r="J30" i="11"/>
  <c r="J29" i="11"/>
  <c r="J28" i="11"/>
  <c r="J26" i="11"/>
  <c r="L25" i="11"/>
  <c r="K25" i="11"/>
  <c r="J20" i="11"/>
  <c r="K20" i="11" s="1"/>
  <c r="J24" i="11"/>
  <c r="J23" i="11"/>
  <c r="J22" i="11"/>
  <c r="J19" i="11"/>
  <c r="J21" i="11"/>
  <c r="J15" i="11"/>
  <c r="H11" i="11"/>
  <c r="J13" i="11"/>
  <c r="F11" i="11"/>
  <c r="L7" i="11" s="1"/>
  <c r="J16" i="11"/>
  <c r="J14" i="11"/>
  <c r="J18" i="11"/>
  <c r="J17" i="11"/>
  <c r="BT50" i="27"/>
  <c r="BT46" i="27"/>
  <c r="BU9" i="27"/>
  <c r="BT80" i="27"/>
  <c r="BT34" i="27"/>
  <c r="BT62" i="27"/>
  <c r="BT12" i="27"/>
  <c r="BT47" i="27"/>
  <c r="BT53" i="27"/>
  <c r="BT24" i="27"/>
  <c r="BT58" i="27"/>
  <c r="BT69" i="27"/>
  <c r="BT66" i="27"/>
  <c r="BT16" i="27"/>
  <c r="BT45" i="27"/>
  <c r="BT57" i="27"/>
  <c r="BT30" i="27"/>
  <c r="BT21" i="27"/>
  <c r="BT31" i="27"/>
  <c r="BT42" i="27"/>
  <c r="BT64" i="27"/>
  <c r="BT63" i="27"/>
  <c r="BT27" i="27"/>
  <c r="BT35" i="27"/>
  <c r="BT17" i="27"/>
  <c r="BT59" i="27"/>
  <c r="BT18" i="27"/>
  <c r="BT33" i="27"/>
  <c r="BT68" i="27"/>
  <c r="BT41" i="27"/>
  <c r="BT29" i="27"/>
  <c r="BT11" i="27"/>
  <c r="BT23" i="27"/>
  <c r="BT39" i="27"/>
  <c r="BT15" i="27"/>
  <c r="BT19" i="27"/>
  <c r="BT44" i="27"/>
  <c r="BT79" i="27"/>
  <c r="BT48" i="27"/>
  <c r="BT13" i="27"/>
  <c r="BT20" i="27"/>
  <c r="BT73" i="27"/>
  <c r="BT84" i="27"/>
  <c r="BT78" i="27"/>
  <c r="BT60" i="27"/>
  <c r="BT43" i="27"/>
  <c r="BT83" i="27"/>
  <c r="BT86" i="27"/>
  <c r="BT54" i="27"/>
  <c r="BT51" i="27"/>
  <c r="BT76" i="27"/>
  <c r="BT65" i="27"/>
  <c r="BT36" i="27"/>
  <c r="BT22" i="27"/>
  <c r="BT49" i="27"/>
  <c r="BT14" i="27"/>
  <c r="BT56" i="27"/>
  <c r="BT81" i="27"/>
  <c r="BT26" i="27"/>
  <c r="BT74" i="27"/>
  <c r="BT88" i="27"/>
  <c r="BT67" i="27"/>
  <c r="BT72" i="27"/>
  <c r="BT40" i="27"/>
  <c r="BT52" i="27"/>
  <c r="BT32" i="27"/>
  <c r="BT37" i="27"/>
  <c r="BT70" i="27"/>
  <c r="BT82" i="27"/>
  <c r="BT75" i="27"/>
  <c r="BT25" i="27"/>
  <c r="BT71" i="27"/>
  <c r="BT38" i="27"/>
  <c r="BT85" i="27"/>
  <c r="BT87" i="27"/>
  <c r="BT55" i="27"/>
  <c r="BT61" i="27"/>
  <c r="BT77" i="27"/>
  <c r="BT10" i="27"/>
  <c r="BS8" i="27"/>
  <c r="K34" i="11" l="1"/>
  <c r="L34" i="11"/>
  <c r="K35" i="11"/>
  <c r="L35" i="11"/>
  <c r="L40" i="11"/>
  <c r="K40" i="11"/>
  <c r="L38" i="11"/>
  <c r="K38" i="11"/>
  <c r="L39" i="11"/>
  <c r="K39" i="11"/>
  <c r="L41" i="11"/>
  <c r="K41" i="11"/>
  <c r="L42" i="11"/>
  <c r="K42" i="11"/>
  <c r="K31" i="11"/>
  <c r="L31" i="11"/>
  <c r="K33" i="11"/>
  <c r="L33" i="11"/>
  <c r="K32" i="11"/>
  <c r="L32" i="11"/>
  <c r="L36" i="11"/>
  <c r="K36" i="11"/>
  <c r="L37" i="11"/>
  <c r="K37" i="11"/>
  <c r="K15" i="11"/>
  <c r="B19" i="6"/>
  <c r="L28" i="11"/>
  <c r="K28" i="11"/>
  <c r="L29" i="11"/>
  <c r="K29" i="11"/>
  <c r="L27" i="11"/>
  <c r="K27" i="11"/>
  <c r="K30" i="11"/>
  <c r="L30" i="11"/>
  <c r="L26" i="11"/>
  <c r="K26" i="11"/>
  <c r="L20" i="11"/>
  <c r="L15" i="11"/>
  <c r="K22" i="11"/>
  <c r="L22" i="11"/>
  <c r="L24" i="11"/>
  <c r="K24" i="11"/>
  <c r="L23" i="11"/>
  <c r="K23" i="11"/>
  <c r="K21" i="11"/>
  <c r="L21" i="11"/>
  <c r="K19" i="11"/>
  <c r="L19" i="11"/>
  <c r="L18" i="11"/>
  <c r="K18" i="11"/>
  <c r="L16" i="11"/>
  <c r="K16" i="11"/>
  <c r="J11" i="11"/>
  <c r="D21" i="26"/>
  <c r="D14" i="26" s="1"/>
  <c r="L17" i="11"/>
  <c r="K17" i="11"/>
  <c r="K14" i="11"/>
  <c r="L14" i="11"/>
  <c r="BT8" i="27"/>
  <c r="BU50" i="27"/>
  <c r="BU46" i="27"/>
  <c r="BV9" i="27"/>
  <c r="BU86" i="27"/>
  <c r="BU70" i="27"/>
  <c r="BU54" i="27"/>
  <c r="BU75" i="27"/>
  <c r="BU25" i="27"/>
  <c r="BU81" i="27"/>
  <c r="BU64" i="27"/>
  <c r="BU74" i="27"/>
  <c r="BU63" i="27"/>
  <c r="BU71" i="27"/>
  <c r="BU27" i="27"/>
  <c r="BU35" i="27"/>
  <c r="BU17" i="27"/>
  <c r="BU38" i="27"/>
  <c r="BU66" i="27"/>
  <c r="BU59" i="27"/>
  <c r="BU85" i="27"/>
  <c r="BU18" i="27"/>
  <c r="BU43" i="27"/>
  <c r="BU83" i="27"/>
  <c r="BU40" i="27"/>
  <c r="BU52" i="27"/>
  <c r="BU79" i="27"/>
  <c r="BU80" i="27"/>
  <c r="BU34" i="27"/>
  <c r="BU82" i="27"/>
  <c r="BU12" i="27"/>
  <c r="BU47" i="27"/>
  <c r="BU24" i="27"/>
  <c r="BU69" i="27"/>
  <c r="BU16" i="27"/>
  <c r="BU45" i="27"/>
  <c r="BU30" i="27"/>
  <c r="BU21" i="27"/>
  <c r="BU31" i="27"/>
  <c r="BU42" i="27"/>
  <c r="BU73" i="27"/>
  <c r="BU76" i="27"/>
  <c r="BU49" i="27"/>
  <c r="BU26" i="27"/>
  <c r="BU87" i="27"/>
  <c r="BU72" i="27"/>
  <c r="BU32" i="27"/>
  <c r="BU33" i="27"/>
  <c r="BU68" i="27"/>
  <c r="BU62" i="27"/>
  <c r="BU41" i="27"/>
  <c r="BU29" i="27"/>
  <c r="BU84" i="27"/>
  <c r="BU53" i="27"/>
  <c r="BU11" i="27"/>
  <c r="BU58" i="27"/>
  <c r="BU23" i="27"/>
  <c r="BU39" i="27"/>
  <c r="BU15" i="27"/>
  <c r="BU60" i="27"/>
  <c r="BU55" i="27"/>
  <c r="BU57" i="27"/>
  <c r="BU19" i="27"/>
  <c r="BU44" i="27"/>
  <c r="BU48" i="27"/>
  <c r="BU77" i="27"/>
  <c r="BU13" i="27"/>
  <c r="BU20" i="27"/>
  <c r="BU51" i="27"/>
  <c r="BU65" i="27"/>
  <c r="BU36" i="27"/>
  <c r="BU22" i="27"/>
  <c r="BU14" i="27"/>
  <c r="BU56" i="27"/>
  <c r="BU78" i="27"/>
  <c r="BU88" i="27"/>
  <c r="BU67" i="27"/>
  <c r="BU61" i="27"/>
  <c r="BU37" i="27"/>
  <c r="BU10" i="27"/>
  <c r="B21" i="6" l="1"/>
  <c r="B20" i="6"/>
  <c r="K11" i="11"/>
  <c r="L11" i="11"/>
  <c r="M30" i="11" s="1"/>
  <c r="D27" i="26"/>
  <c r="A14" i="26" s="1"/>
  <c r="BV46" i="27"/>
  <c r="BW46" i="27" s="1"/>
  <c r="BV50" i="27"/>
  <c r="BW50" i="27" s="1"/>
  <c r="BX50" i="27" s="1"/>
  <c r="BX46" i="27"/>
  <c r="BY9" i="27"/>
  <c r="BZ9" i="27" s="1"/>
  <c r="CA9" i="27" s="1"/>
  <c r="CB9" i="27" s="1"/>
  <c r="CC9" i="27" s="1"/>
  <c r="CD9" i="27" s="1"/>
  <c r="CE9" i="27" s="1"/>
  <c r="CF9" i="27" s="1"/>
  <c r="CG9" i="27" s="1"/>
  <c r="CH9" i="27" s="1"/>
  <c r="CI9" i="27" s="1"/>
  <c r="CJ9" i="27" s="1"/>
  <c r="BV51" i="27"/>
  <c r="BW51" i="27" s="1"/>
  <c r="BX51" i="27" s="1"/>
  <c r="BV76" i="27"/>
  <c r="BW76" i="27" s="1"/>
  <c r="BX76" i="27" s="1"/>
  <c r="BV65" i="27"/>
  <c r="BW65" i="27" s="1"/>
  <c r="BX65" i="27" s="1"/>
  <c r="BV82" i="27"/>
  <c r="BW82" i="27" s="1"/>
  <c r="BX82" i="27" s="1"/>
  <c r="BV75" i="27"/>
  <c r="BW75" i="27" s="1"/>
  <c r="BX75" i="27" s="1"/>
  <c r="BV36" i="27"/>
  <c r="BW36" i="27" s="1"/>
  <c r="BX36" i="27" s="1"/>
  <c r="BV22" i="27"/>
  <c r="BW22" i="27" s="1"/>
  <c r="BX22" i="27" s="1"/>
  <c r="BV49" i="27"/>
  <c r="BW49" i="27" s="1"/>
  <c r="BX49" i="27" s="1"/>
  <c r="BV14" i="27"/>
  <c r="BW14" i="27" s="1"/>
  <c r="BX14" i="27" s="1"/>
  <c r="BV26" i="27"/>
  <c r="BW26" i="27" s="1"/>
  <c r="BX26" i="27" s="1"/>
  <c r="BV64" i="27"/>
  <c r="BW64" i="27" s="1"/>
  <c r="BX64" i="27" s="1"/>
  <c r="BV74" i="27"/>
  <c r="BW74" i="27" s="1"/>
  <c r="BX74" i="27" s="1"/>
  <c r="BV78" i="27"/>
  <c r="BW78" i="27" s="1"/>
  <c r="BX78" i="27" s="1"/>
  <c r="BV71" i="27"/>
  <c r="BW71" i="27" s="1"/>
  <c r="BX71" i="27" s="1"/>
  <c r="BV67" i="27"/>
  <c r="BW67" i="27" s="1"/>
  <c r="BX67" i="27" s="1"/>
  <c r="BV60" i="27"/>
  <c r="BW60" i="27" s="1"/>
  <c r="BX60" i="27" s="1"/>
  <c r="BV87" i="27"/>
  <c r="BW87" i="27" s="1"/>
  <c r="BX87" i="27" s="1"/>
  <c r="BV55" i="27"/>
  <c r="BW55" i="27" s="1"/>
  <c r="BX55" i="27" s="1"/>
  <c r="BV72" i="27"/>
  <c r="BW72" i="27" s="1"/>
  <c r="BX72" i="27" s="1"/>
  <c r="BV40" i="27"/>
  <c r="BW40" i="27" s="1"/>
  <c r="BX40" i="27" s="1"/>
  <c r="BV32" i="27"/>
  <c r="BW32" i="27" s="1"/>
  <c r="BX32" i="27" s="1"/>
  <c r="BV37" i="27"/>
  <c r="BW37" i="27" s="1"/>
  <c r="BX37" i="27" s="1"/>
  <c r="BV73" i="27"/>
  <c r="BW73" i="27" s="1"/>
  <c r="BX73" i="27" s="1"/>
  <c r="BV23" i="27"/>
  <c r="BW23" i="27" s="1"/>
  <c r="BX23" i="27" s="1"/>
  <c r="BV39" i="27"/>
  <c r="BW39" i="27" s="1"/>
  <c r="BX39" i="27" s="1"/>
  <c r="BV57" i="27"/>
  <c r="BW57" i="27" s="1"/>
  <c r="BX57" i="27" s="1"/>
  <c r="BV20" i="27"/>
  <c r="BW20" i="27" s="1"/>
  <c r="BX20" i="27" s="1"/>
  <c r="BV70" i="27"/>
  <c r="BW70" i="27" s="1"/>
  <c r="BX70" i="27" s="1"/>
  <c r="BV25" i="27"/>
  <c r="BW25" i="27" s="1"/>
  <c r="BX25" i="27" s="1"/>
  <c r="BV81" i="27"/>
  <c r="BW81" i="27" s="1"/>
  <c r="BX81" i="27" s="1"/>
  <c r="BV27" i="27"/>
  <c r="BW27" i="27" s="1"/>
  <c r="BX27" i="27" s="1"/>
  <c r="BV35" i="27"/>
  <c r="BW35" i="27" s="1"/>
  <c r="BX35" i="27" s="1"/>
  <c r="BV17" i="27"/>
  <c r="BW17" i="27" s="1"/>
  <c r="BX17" i="27" s="1"/>
  <c r="BV38" i="27"/>
  <c r="BW38" i="27" s="1"/>
  <c r="BX38" i="27" s="1"/>
  <c r="BV88" i="27"/>
  <c r="BW88" i="27" s="1"/>
  <c r="BX88" i="27" s="1"/>
  <c r="BV77" i="27"/>
  <c r="BW77" i="27" s="1"/>
  <c r="BX77" i="27" s="1"/>
  <c r="BV18" i="27"/>
  <c r="BW18" i="27" s="1"/>
  <c r="BX18" i="27" s="1"/>
  <c r="BV43" i="27"/>
  <c r="BW43" i="27" s="1"/>
  <c r="BX43" i="27" s="1"/>
  <c r="BV53" i="27"/>
  <c r="BW53" i="27" s="1"/>
  <c r="BX53" i="27" s="1"/>
  <c r="BV11" i="27"/>
  <c r="BW11" i="27" s="1"/>
  <c r="BX11" i="27" s="1"/>
  <c r="BV34" i="27"/>
  <c r="BW34" i="27" s="1"/>
  <c r="BX34" i="27" s="1"/>
  <c r="BV54" i="27"/>
  <c r="BW54" i="27" s="1"/>
  <c r="BX54" i="27" s="1"/>
  <c r="BV12" i="27"/>
  <c r="BW12" i="27" s="1"/>
  <c r="BX12" i="27" s="1"/>
  <c r="BV47" i="27"/>
  <c r="BW47" i="27" s="1"/>
  <c r="BX47" i="27" s="1"/>
  <c r="BV56" i="27"/>
  <c r="BW56" i="27" s="1"/>
  <c r="BX56" i="27" s="1"/>
  <c r="BV24" i="27"/>
  <c r="BW24" i="27" s="1"/>
  <c r="BX24" i="27" s="1"/>
  <c r="BV63" i="27"/>
  <c r="BW63" i="27" s="1"/>
  <c r="BX63" i="27" s="1"/>
  <c r="BV69" i="27"/>
  <c r="BW69" i="27" s="1"/>
  <c r="BX69" i="27" s="1"/>
  <c r="BV59" i="27"/>
  <c r="BW59" i="27" s="1"/>
  <c r="BX59" i="27" s="1"/>
  <c r="BV16" i="27"/>
  <c r="BW16" i="27" s="1"/>
  <c r="BX16" i="27" s="1"/>
  <c r="BV45" i="27"/>
  <c r="BW45" i="27" s="1"/>
  <c r="BX45" i="27" s="1"/>
  <c r="BV85" i="27"/>
  <c r="BW85" i="27" s="1"/>
  <c r="BX85" i="27" s="1"/>
  <c r="BV61" i="27"/>
  <c r="BW61" i="27" s="1"/>
  <c r="BX61" i="27" s="1"/>
  <c r="BV30" i="27"/>
  <c r="BW30" i="27" s="1"/>
  <c r="BX30" i="27" s="1"/>
  <c r="BV52" i="27"/>
  <c r="BW52" i="27" s="1"/>
  <c r="BX52" i="27" s="1"/>
  <c r="BV21" i="27"/>
  <c r="BW21" i="27" s="1"/>
  <c r="BX21" i="27" s="1"/>
  <c r="BV31" i="27"/>
  <c r="BW31" i="27" s="1"/>
  <c r="BX31" i="27" s="1"/>
  <c r="BV42" i="27"/>
  <c r="BW42" i="27" s="1"/>
  <c r="BX42" i="27" s="1"/>
  <c r="BV83" i="27"/>
  <c r="BW83" i="27" s="1"/>
  <c r="BX83" i="27" s="1"/>
  <c r="BV86" i="27"/>
  <c r="BW86" i="27" s="1"/>
  <c r="BX86" i="27" s="1"/>
  <c r="BV80" i="27"/>
  <c r="BW80" i="27" s="1"/>
  <c r="BX80" i="27" s="1"/>
  <c r="BV33" i="27"/>
  <c r="BW33" i="27" s="1"/>
  <c r="BX33" i="27" s="1"/>
  <c r="BV68" i="27"/>
  <c r="BW68" i="27" s="1"/>
  <c r="BX68" i="27" s="1"/>
  <c r="BV62" i="27"/>
  <c r="BW62" i="27" s="1"/>
  <c r="BX62" i="27" s="1"/>
  <c r="BV41" i="27"/>
  <c r="BW41" i="27" s="1"/>
  <c r="BX41" i="27" s="1"/>
  <c r="BV29" i="27"/>
  <c r="BW29" i="27" s="1"/>
  <c r="BX29" i="27" s="1"/>
  <c r="BV84" i="27"/>
  <c r="BW84" i="27" s="1"/>
  <c r="BX84" i="27" s="1"/>
  <c r="BV58" i="27"/>
  <c r="BW58" i="27" s="1"/>
  <c r="BX58" i="27" s="1"/>
  <c r="BV66" i="27"/>
  <c r="BW66" i="27" s="1"/>
  <c r="BX66" i="27" s="1"/>
  <c r="BV15" i="27"/>
  <c r="BW15" i="27" s="1"/>
  <c r="BX15" i="27" s="1"/>
  <c r="BV19" i="27"/>
  <c r="BW19" i="27" s="1"/>
  <c r="BX19" i="27" s="1"/>
  <c r="BV44" i="27"/>
  <c r="BW44" i="27" s="1"/>
  <c r="BX44" i="27" s="1"/>
  <c r="BV79" i="27"/>
  <c r="BW79" i="27" s="1"/>
  <c r="BX79" i="27" s="1"/>
  <c r="BV48" i="27"/>
  <c r="BW48" i="27" s="1"/>
  <c r="BX48" i="27" s="1"/>
  <c r="BV13" i="27"/>
  <c r="BW13" i="27" s="1"/>
  <c r="BX13" i="27" s="1"/>
  <c r="BX5" i="27" s="1"/>
  <c r="BV10" i="27"/>
  <c r="BU8" i="27"/>
  <c r="M40" i="11" l="1"/>
  <c r="M39" i="11"/>
  <c r="M42" i="11"/>
  <c r="M37" i="11"/>
  <c r="M35" i="11"/>
  <c r="M33" i="11"/>
  <c r="M38" i="11"/>
  <c r="M41" i="11"/>
  <c r="M36" i="11"/>
  <c r="M34" i="11"/>
  <c r="M31" i="11"/>
  <c r="M32" i="11"/>
  <c r="M29" i="11"/>
  <c r="M26" i="11"/>
  <c r="M27" i="11"/>
  <c r="M28" i="11"/>
  <c r="M20" i="11"/>
  <c r="M25" i="11"/>
  <c r="M23" i="11"/>
  <c r="M24" i="11"/>
  <c r="M22" i="11"/>
  <c r="M21" i="11"/>
  <c r="M14" i="11"/>
  <c r="M19" i="11"/>
  <c r="BX4" i="27"/>
  <c r="M18" i="11"/>
  <c r="M16" i="11"/>
  <c r="M17" i="11"/>
  <c r="A23" i="26"/>
  <c r="A11" i="26"/>
  <c r="A6" i="26"/>
  <c r="M13" i="11"/>
  <c r="I7" i="26"/>
  <c r="I6" i="26" s="1"/>
  <c r="I27" i="26" s="1"/>
  <c r="M15" i="11"/>
  <c r="BX3" i="27"/>
  <c r="CG13" i="27"/>
  <c r="CC13" i="27"/>
  <c r="BY13" i="27"/>
  <c r="CJ13" i="27"/>
  <c r="CF13" i="27"/>
  <c r="CB13" i="27"/>
  <c r="CI13" i="27"/>
  <c r="CE13" i="27"/>
  <c r="CA13" i="27"/>
  <c r="CH13" i="27"/>
  <c r="CD13" i="27"/>
  <c r="BZ13" i="27"/>
  <c r="CI44" i="27"/>
  <c r="CE44" i="27"/>
  <c r="CA44" i="27"/>
  <c r="CH44" i="27"/>
  <c r="CD44" i="27"/>
  <c r="BZ44" i="27"/>
  <c r="CG44" i="27"/>
  <c r="CC44" i="27"/>
  <c r="BY44" i="27"/>
  <c r="CJ44" i="27"/>
  <c r="CF44" i="27"/>
  <c r="CB44" i="27"/>
  <c r="CJ58" i="27"/>
  <c r="CF58" i="27"/>
  <c r="CB58" i="27"/>
  <c r="CH58" i="27"/>
  <c r="CD58" i="27"/>
  <c r="BZ58" i="27"/>
  <c r="CE58" i="27"/>
  <c r="CI58" i="27"/>
  <c r="CA58" i="27"/>
  <c r="CC58" i="27"/>
  <c r="BY58" i="27"/>
  <c r="CG58" i="27"/>
  <c r="CI84" i="27"/>
  <c r="CE84" i="27"/>
  <c r="CA84" i="27"/>
  <c r="CH84" i="27"/>
  <c r="CD84" i="27"/>
  <c r="BZ84" i="27"/>
  <c r="CF84" i="27"/>
  <c r="CJ84" i="27"/>
  <c r="CB84" i="27"/>
  <c r="BY84" i="27"/>
  <c r="CG84" i="27"/>
  <c r="CC84" i="27"/>
  <c r="CJ62" i="27"/>
  <c r="CF62" i="27"/>
  <c r="CB62" i="27"/>
  <c r="CH62" i="27"/>
  <c r="CD62" i="27"/>
  <c r="BZ62" i="27"/>
  <c r="CE62" i="27"/>
  <c r="CI62" i="27"/>
  <c r="CA62" i="27"/>
  <c r="CC62" i="27"/>
  <c r="BY62" i="27"/>
  <c r="CG62" i="27"/>
  <c r="CG86" i="27"/>
  <c r="CC86" i="27"/>
  <c r="BY86" i="27"/>
  <c r="CI86" i="27"/>
  <c r="CE86" i="27"/>
  <c r="CA86" i="27"/>
  <c r="CJ86" i="27"/>
  <c r="CB86" i="27"/>
  <c r="CH86" i="27"/>
  <c r="BZ86" i="27"/>
  <c r="CF86" i="27"/>
  <c r="CD86" i="27"/>
  <c r="CI52" i="27"/>
  <c r="CE52" i="27"/>
  <c r="CA52" i="27"/>
  <c r="CG52" i="27"/>
  <c r="CC52" i="27"/>
  <c r="BY52" i="27"/>
  <c r="CJ52" i="27"/>
  <c r="CB52" i="27"/>
  <c r="CH52" i="27"/>
  <c r="BZ52" i="27"/>
  <c r="CF52" i="27"/>
  <c r="CD52" i="27"/>
  <c r="CG85" i="27"/>
  <c r="CC85" i="27"/>
  <c r="BY85" i="27"/>
  <c r="CJ85" i="27"/>
  <c r="CF85" i="27"/>
  <c r="CB85" i="27"/>
  <c r="CD85" i="27"/>
  <c r="CI85" i="27"/>
  <c r="CA85" i="27"/>
  <c r="CE85" i="27"/>
  <c r="BZ85" i="27"/>
  <c r="CH85" i="27"/>
  <c r="CG63" i="27"/>
  <c r="CC63" i="27"/>
  <c r="BY63" i="27"/>
  <c r="CI63" i="27"/>
  <c r="CE63" i="27"/>
  <c r="CA63" i="27"/>
  <c r="CF63" i="27"/>
  <c r="CJ63" i="27"/>
  <c r="CB63" i="27"/>
  <c r="CD63" i="27"/>
  <c r="BZ63" i="27"/>
  <c r="CH63" i="27"/>
  <c r="CJ47" i="27"/>
  <c r="CF47" i="27"/>
  <c r="CB47" i="27"/>
  <c r="CI47" i="27"/>
  <c r="CE47" i="27"/>
  <c r="CA47" i="27"/>
  <c r="CH47" i="27"/>
  <c r="CD47" i="27"/>
  <c r="BZ47" i="27"/>
  <c r="CG47" i="27"/>
  <c r="CC47" i="27"/>
  <c r="BY47" i="27"/>
  <c r="CG54" i="27"/>
  <c r="CC54" i="27"/>
  <c r="BY54" i="27"/>
  <c r="CI54" i="27"/>
  <c r="CE54" i="27"/>
  <c r="CA54" i="27"/>
  <c r="CJ54" i="27"/>
  <c r="CB54" i="27"/>
  <c r="CH54" i="27"/>
  <c r="BZ54" i="27"/>
  <c r="CF54" i="27"/>
  <c r="CD54" i="27"/>
  <c r="CG17" i="27"/>
  <c r="CC17" i="27"/>
  <c r="BY17" i="27"/>
  <c r="CJ17" i="27"/>
  <c r="CF17" i="27"/>
  <c r="CB17" i="27"/>
  <c r="CI17" i="27"/>
  <c r="CE17" i="27"/>
  <c r="CA17" i="27"/>
  <c r="CH17" i="27"/>
  <c r="CD17" i="27"/>
  <c r="BZ17" i="27"/>
  <c r="CI37" i="27"/>
  <c r="CE37" i="27"/>
  <c r="CA37" i="27"/>
  <c r="CH37" i="27"/>
  <c r="CD37" i="27"/>
  <c r="BZ37" i="27"/>
  <c r="CG37" i="27"/>
  <c r="CC37" i="27"/>
  <c r="BY37" i="27"/>
  <c r="CJ37" i="27"/>
  <c r="CF37" i="27"/>
  <c r="CB37" i="27"/>
  <c r="CH87" i="27"/>
  <c r="CD87" i="27"/>
  <c r="BZ87" i="27"/>
  <c r="CJ87" i="27"/>
  <c r="CF87" i="27"/>
  <c r="CB87" i="27"/>
  <c r="CI87" i="27"/>
  <c r="CA87" i="27"/>
  <c r="CG87" i="27"/>
  <c r="BY87" i="27"/>
  <c r="CC87" i="27"/>
  <c r="CE87" i="27"/>
  <c r="CH75" i="27"/>
  <c r="CD75" i="27"/>
  <c r="BZ75" i="27"/>
  <c r="CJ75" i="27"/>
  <c r="CF75" i="27"/>
  <c r="CB75" i="27"/>
  <c r="CG75" i="27"/>
  <c r="BY75" i="27"/>
  <c r="CE75" i="27"/>
  <c r="CC75" i="27"/>
  <c r="CI75" i="27"/>
  <c r="CA75" i="27"/>
  <c r="CI76" i="27"/>
  <c r="CE76" i="27"/>
  <c r="CA76" i="27"/>
  <c r="CG76" i="27"/>
  <c r="CC76" i="27"/>
  <c r="BY76" i="27"/>
  <c r="CH76" i="27"/>
  <c r="BZ76" i="27"/>
  <c r="CF76" i="27"/>
  <c r="CD76" i="27"/>
  <c r="CJ76" i="27"/>
  <c r="CB76" i="27"/>
  <c r="CG48" i="27"/>
  <c r="CC48" i="27"/>
  <c r="BY48" i="27"/>
  <c r="CJ48" i="27"/>
  <c r="CF48" i="27"/>
  <c r="CB48" i="27"/>
  <c r="CI48" i="27"/>
  <c r="CE48" i="27"/>
  <c r="CA48" i="27"/>
  <c r="CH48" i="27"/>
  <c r="CD48" i="27"/>
  <c r="BZ48" i="27"/>
  <c r="CI19" i="27"/>
  <c r="CE19" i="27"/>
  <c r="CA19" i="27"/>
  <c r="CH19" i="27"/>
  <c r="CD19" i="27"/>
  <c r="BZ19" i="27"/>
  <c r="CG19" i="27"/>
  <c r="CC19" i="27"/>
  <c r="BY19" i="27"/>
  <c r="CJ19" i="27"/>
  <c r="CF19" i="27"/>
  <c r="CB19" i="27"/>
  <c r="CI29" i="27"/>
  <c r="CE29" i="27"/>
  <c r="CA29" i="27"/>
  <c r="CH29" i="27"/>
  <c r="CD29" i="27"/>
  <c r="BZ29" i="27"/>
  <c r="CG29" i="27"/>
  <c r="CC29" i="27"/>
  <c r="BY29" i="27"/>
  <c r="CJ29" i="27"/>
  <c r="CF29" i="27"/>
  <c r="CB29" i="27"/>
  <c r="CH68" i="27"/>
  <c r="CJ68" i="27"/>
  <c r="CF68" i="27"/>
  <c r="CB68" i="27"/>
  <c r="CI68" i="27"/>
  <c r="CC68" i="27"/>
  <c r="CG68" i="27"/>
  <c r="CA68" i="27"/>
  <c r="CE68" i="27"/>
  <c r="BZ68" i="27"/>
  <c r="CD68" i="27"/>
  <c r="BY68" i="27"/>
  <c r="CH83" i="27"/>
  <c r="CD83" i="27"/>
  <c r="CG83" i="27"/>
  <c r="CF83" i="27"/>
  <c r="CA83" i="27"/>
  <c r="CJ83" i="27"/>
  <c r="CC83" i="27"/>
  <c r="BY83" i="27"/>
  <c r="CB83" i="27"/>
  <c r="CI83" i="27"/>
  <c r="CE83" i="27"/>
  <c r="BZ83" i="27"/>
  <c r="CG31" i="27"/>
  <c r="CC31" i="27"/>
  <c r="BY31" i="27"/>
  <c r="CJ31" i="27"/>
  <c r="CF31" i="27"/>
  <c r="CB31" i="27"/>
  <c r="CI31" i="27"/>
  <c r="CE31" i="27"/>
  <c r="CA31" i="27"/>
  <c r="CH31" i="27"/>
  <c r="CD31" i="27"/>
  <c r="BZ31" i="27"/>
  <c r="CJ30" i="27"/>
  <c r="CF30" i="27"/>
  <c r="CB30" i="27"/>
  <c r="CI30" i="27"/>
  <c r="CE30" i="27"/>
  <c r="CA30" i="27"/>
  <c r="CH30" i="27"/>
  <c r="CD30" i="27"/>
  <c r="BZ30" i="27"/>
  <c r="CG30" i="27"/>
  <c r="CC30" i="27"/>
  <c r="BY30" i="27"/>
  <c r="CJ45" i="27"/>
  <c r="CF45" i="27"/>
  <c r="CB45" i="27"/>
  <c r="CI45" i="27"/>
  <c r="CE45" i="27"/>
  <c r="CA45" i="27"/>
  <c r="CH45" i="27"/>
  <c r="CD45" i="27"/>
  <c r="BZ45" i="27"/>
  <c r="CG45" i="27"/>
  <c r="CC45" i="27"/>
  <c r="BY45" i="27"/>
  <c r="CJ24" i="27"/>
  <c r="CF24" i="27"/>
  <c r="CB24" i="27"/>
  <c r="CI24" i="27"/>
  <c r="CE24" i="27"/>
  <c r="CA24" i="27"/>
  <c r="CH24" i="27"/>
  <c r="CD24" i="27"/>
  <c r="BZ24" i="27"/>
  <c r="CG24" i="27"/>
  <c r="CC24" i="27"/>
  <c r="BY24" i="27"/>
  <c r="CJ34" i="27"/>
  <c r="CF34" i="27"/>
  <c r="CB34" i="27"/>
  <c r="CI34" i="27"/>
  <c r="CE34" i="27"/>
  <c r="CA34" i="27"/>
  <c r="CH34" i="27"/>
  <c r="CD34" i="27"/>
  <c r="BZ34" i="27"/>
  <c r="CG34" i="27"/>
  <c r="CC34" i="27"/>
  <c r="BY34" i="27"/>
  <c r="CI11" i="27"/>
  <c r="CE11" i="27"/>
  <c r="CA11" i="27"/>
  <c r="CH11" i="27"/>
  <c r="CD11" i="27"/>
  <c r="BZ11" i="27"/>
  <c r="CG11" i="27"/>
  <c r="CC11" i="27"/>
  <c r="BY11" i="27"/>
  <c r="CJ11" i="27"/>
  <c r="CF11" i="27"/>
  <c r="CB11" i="27"/>
  <c r="CH43" i="27"/>
  <c r="CD43" i="27"/>
  <c r="BZ43" i="27"/>
  <c r="CG43" i="27"/>
  <c r="CC43" i="27"/>
  <c r="BY43" i="27"/>
  <c r="CJ43" i="27"/>
  <c r="CF43" i="27"/>
  <c r="CB43" i="27"/>
  <c r="CI43" i="27"/>
  <c r="CE43" i="27"/>
  <c r="CA43" i="27"/>
  <c r="CI88" i="27"/>
  <c r="CE88" i="27"/>
  <c r="CA88" i="27"/>
  <c r="CG88" i="27"/>
  <c r="CC88" i="27"/>
  <c r="BY88" i="27"/>
  <c r="CJ88" i="27"/>
  <c r="CB88" i="27"/>
  <c r="CH88" i="27"/>
  <c r="BZ88" i="27"/>
  <c r="CD88" i="27"/>
  <c r="CF88" i="27"/>
  <c r="CG81" i="27"/>
  <c r="CC81" i="27"/>
  <c r="BY81" i="27"/>
  <c r="CI81" i="27"/>
  <c r="CE81" i="27"/>
  <c r="CA81" i="27"/>
  <c r="CJ81" i="27"/>
  <c r="CB81" i="27"/>
  <c r="CF81" i="27"/>
  <c r="CH81" i="27"/>
  <c r="CD81" i="27"/>
  <c r="BZ81" i="27"/>
  <c r="CI39" i="27"/>
  <c r="CE39" i="27"/>
  <c r="CA39" i="27"/>
  <c r="CH39" i="27"/>
  <c r="CD39" i="27"/>
  <c r="BZ39" i="27"/>
  <c r="CG39" i="27"/>
  <c r="CC39" i="27"/>
  <c r="BY39" i="27"/>
  <c r="CJ39" i="27"/>
  <c r="CF39" i="27"/>
  <c r="CB39" i="27"/>
  <c r="CJ73" i="27"/>
  <c r="CF73" i="27"/>
  <c r="CB73" i="27"/>
  <c r="CH73" i="27"/>
  <c r="CD73" i="27"/>
  <c r="BZ73" i="27"/>
  <c r="CG73" i="27"/>
  <c r="BY73" i="27"/>
  <c r="CE73" i="27"/>
  <c r="CC73" i="27"/>
  <c r="CI73" i="27"/>
  <c r="CA73" i="27"/>
  <c r="CH40" i="27"/>
  <c r="CD40" i="27"/>
  <c r="BZ40" i="27"/>
  <c r="CG40" i="27"/>
  <c r="CC40" i="27"/>
  <c r="BY40" i="27"/>
  <c r="CJ40" i="27"/>
  <c r="CF40" i="27"/>
  <c r="CB40" i="27"/>
  <c r="CI40" i="27"/>
  <c r="CE40" i="27"/>
  <c r="CA40" i="27"/>
  <c r="CH60" i="27"/>
  <c r="CD60" i="27"/>
  <c r="BZ60" i="27"/>
  <c r="CJ60" i="27"/>
  <c r="CF60" i="27"/>
  <c r="CB60" i="27"/>
  <c r="CE60" i="27"/>
  <c r="CI60" i="27"/>
  <c r="CA60" i="27"/>
  <c r="CC60" i="27"/>
  <c r="BY60" i="27"/>
  <c r="CG60" i="27"/>
  <c r="CH71" i="27"/>
  <c r="CD71" i="27"/>
  <c r="BZ71" i="27"/>
  <c r="CJ71" i="27"/>
  <c r="CF71" i="27"/>
  <c r="CB71" i="27"/>
  <c r="CG71" i="27"/>
  <c r="BY71" i="27"/>
  <c r="CE71" i="27"/>
  <c r="CC71" i="27"/>
  <c r="CI71" i="27"/>
  <c r="CA71" i="27"/>
  <c r="CH64" i="27"/>
  <c r="CD64" i="27"/>
  <c r="BZ64" i="27"/>
  <c r="CJ64" i="27"/>
  <c r="CF64" i="27"/>
  <c r="CB64" i="27"/>
  <c r="CG64" i="27"/>
  <c r="BY64" i="27"/>
  <c r="CE64" i="27"/>
  <c r="CC64" i="27"/>
  <c r="CI64" i="27"/>
  <c r="CA64" i="27"/>
  <c r="CH49" i="27"/>
  <c r="CD49" i="27"/>
  <c r="BZ49" i="27"/>
  <c r="CG49" i="27"/>
  <c r="CC49" i="27"/>
  <c r="BY49" i="27"/>
  <c r="CJ49" i="27"/>
  <c r="CF49" i="27"/>
  <c r="CB49" i="27"/>
  <c r="CI49" i="27"/>
  <c r="CE49" i="27"/>
  <c r="CA49" i="27"/>
  <c r="CH82" i="27"/>
  <c r="CD82" i="27"/>
  <c r="BZ82" i="27"/>
  <c r="CJ82" i="27"/>
  <c r="CF82" i="27"/>
  <c r="CB82" i="27"/>
  <c r="CI82" i="27"/>
  <c r="CA82" i="27"/>
  <c r="CE82" i="27"/>
  <c r="CG82" i="27"/>
  <c r="CC82" i="27"/>
  <c r="BY82" i="27"/>
  <c r="CH51" i="27"/>
  <c r="CD51" i="27"/>
  <c r="BZ51" i="27"/>
  <c r="CG51" i="27"/>
  <c r="CC51" i="27"/>
  <c r="BY51" i="27"/>
  <c r="CJ51" i="27"/>
  <c r="CF51" i="27"/>
  <c r="CB51" i="27"/>
  <c r="CI51" i="27"/>
  <c r="CE51" i="27"/>
  <c r="CA51" i="27"/>
  <c r="CI79" i="27"/>
  <c r="CE79" i="27"/>
  <c r="CA79" i="27"/>
  <c r="CG79" i="27"/>
  <c r="CC79" i="27"/>
  <c r="CJ79" i="27"/>
  <c r="CB79" i="27"/>
  <c r="CF79" i="27"/>
  <c r="BY79" i="27"/>
  <c r="CH79" i="27"/>
  <c r="CD79" i="27"/>
  <c r="BZ79" i="27"/>
  <c r="CI15" i="27"/>
  <c r="CE15" i="27"/>
  <c r="CA15" i="27"/>
  <c r="CH15" i="27"/>
  <c r="CD15" i="27"/>
  <c r="BZ15" i="27"/>
  <c r="CG15" i="27"/>
  <c r="CC15" i="27"/>
  <c r="BY15" i="27"/>
  <c r="CJ15" i="27"/>
  <c r="CF15" i="27"/>
  <c r="CB15" i="27"/>
  <c r="CI41" i="27"/>
  <c r="CE41" i="27"/>
  <c r="CA41" i="27"/>
  <c r="CH41" i="27"/>
  <c r="CD41" i="27"/>
  <c r="BZ41" i="27"/>
  <c r="CG41" i="27"/>
  <c r="CC41" i="27"/>
  <c r="BY41" i="27"/>
  <c r="CJ41" i="27"/>
  <c r="CF41" i="27"/>
  <c r="CB41" i="27"/>
  <c r="CI33" i="27"/>
  <c r="CE33" i="27"/>
  <c r="CA33" i="27"/>
  <c r="CH33" i="27"/>
  <c r="CD33" i="27"/>
  <c r="BZ33" i="27"/>
  <c r="CG33" i="27"/>
  <c r="CC33" i="27"/>
  <c r="BY33" i="27"/>
  <c r="CJ33" i="27"/>
  <c r="CF33" i="27"/>
  <c r="CB33" i="27"/>
  <c r="CG21" i="27"/>
  <c r="CC21" i="27"/>
  <c r="BY21" i="27"/>
  <c r="CJ21" i="27"/>
  <c r="CF21" i="27"/>
  <c r="CB21" i="27"/>
  <c r="CI21" i="27"/>
  <c r="CE21" i="27"/>
  <c r="CA21" i="27"/>
  <c r="CH21" i="27"/>
  <c r="CD21" i="27"/>
  <c r="BZ21" i="27"/>
  <c r="CJ16" i="27"/>
  <c r="CF16" i="27"/>
  <c r="CB16" i="27"/>
  <c r="CI16" i="27"/>
  <c r="CE16" i="27"/>
  <c r="CA16" i="27"/>
  <c r="CH16" i="27"/>
  <c r="CD16" i="27"/>
  <c r="BZ16" i="27"/>
  <c r="CG16" i="27"/>
  <c r="CC16" i="27"/>
  <c r="BY16" i="27"/>
  <c r="CI56" i="27"/>
  <c r="CE56" i="27"/>
  <c r="CA56" i="27"/>
  <c r="CG56" i="27"/>
  <c r="CC56" i="27"/>
  <c r="BY56" i="27"/>
  <c r="CJ56" i="27"/>
  <c r="CB56" i="27"/>
  <c r="CH56" i="27"/>
  <c r="BZ56" i="27"/>
  <c r="CF56" i="27"/>
  <c r="CD56" i="27"/>
  <c r="CJ12" i="27"/>
  <c r="CF12" i="27"/>
  <c r="CB12" i="27"/>
  <c r="CI12" i="27"/>
  <c r="CE12" i="27"/>
  <c r="CA12" i="27"/>
  <c r="CH12" i="27"/>
  <c r="CD12" i="27"/>
  <c r="BZ12" i="27"/>
  <c r="CG12" i="27"/>
  <c r="CC12" i="27"/>
  <c r="BY12" i="27"/>
  <c r="CJ53" i="27"/>
  <c r="CF53" i="27"/>
  <c r="CB53" i="27"/>
  <c r="CH53" i="27"/>
  <c r="CD53" i="27"/>
  <c r="BZ53" i="27"/>
  <c r="CI53" i="27"/>
  <c r="CA53" i="27"/>
  <c r="CG53" i="27"/>
  <c r="BY53" i="27"/>
  <c r="CE53" i="27"/>
  <c r="CC53" i="27"/>
  <c r="CH18" i="27"/>
  <c r="CD18" i="27"/>
  <c r="BZ18" i="27"/>
  <c r="CG18" i="27"/>
  <c r="CC18" i="27"/>
  <c r="BY18" i="27"/>
  <c r="CJ18" i="27"/>
  <c r="CF18" i="27"/>
  <c r="CB18" i="27"/>
  <c r="CI18" i="27"/>
  <c r="CE18" i="27"/>
  <c r="CA18" i="27"/>
  <c r="CG38" i="27"/>
  <c r="CC38" i="27"/>
  <c r="BY38" i="27"/>
  <c r="CJ38" i="27"/>
  <c r="CF38" i="27"/>
  <c r="CB38" i="27"/>
  <c r="CI38" i="27"/>
  <c r="CE38" i="27"/>
  <c r="CA38" i="27"/>
  <c r="CH38" i="27"/>
  <c r="CD38" i="27"/>
  <c r="BZ38" i="27"/>
  <c r="CG35" i="27"/>
  <c r="CC35" i="27"/>
  <c r="BY35" i="27"/>
  <c r="CJ35" i="27"/>
  <c r="CF35" i="27"/>
  <c r="CB35" i="27"/>
  <c r="CI35" i="27"/>
  <c r="CE35" i="27"/>
  <c r="CA35" i="27"/>
  <c r="CH35" i="27"/>
  <c r="CD35" i="27"/>
  <c r="BZ35" i="27"/>
  <c r="CG25" i="27"/>
  <c r="CC25" i="27"/>
  <c r="BY25" i="27"/>
  <c r="CJ25" i="27"/>
  <c r="CF25" i="27"/>
  <c r="CB25" i="27"/>
  <c r="CI25" i="27"/>
  <c r="CE25" i="27"/>
  <c r="CA25" i="27"/>
  <c r="CH25" i="27"/>
  <c r="CD25" i="27"/>
  <c r="BZ25" i="27"/>
  <c r="CJ20" i="27"/>
  <c r="CF20" i="27"/>
  <c r="CB20" i="27"/>
  <c r="CI20" i="27"/>
  <c r="CE20" i="27"/>
  <c r="CA20" i="27"/>
  <c r="CH20" i="27"/>
  <c r="CD20" i="27"/>
  <c r="BZ20" i="27"/>
  <c r="CG20" i="27"/>
  <c r="CC20" i="27"/>
  <c r="BY20" i="27"/>
  <c r="CI23" i="27"/>
  <c r="CE23" i="27"/>
  <c r="CA23" i="27"/>
  <c r="CH23" i="27"/>
  <c r="CD23" i="27"/>
  <c r="BZ23" i="27"/>
  <c r="CG23" i="27"/>
  <c r="CC23" i="27"/>
  <c r="BY23" i="27"/>
  <c r="CJ23" i="27"/>
  <c r="CF23" i="27"/>
  <c r="CB23" i="27"/>
  <c r="CH32" i="27"/>
  <c r="CD32" i="27"/>
  <c r="BZ32" i="27"/>
  <c r="CG32" i="27"/>
  <c r="CC32" i="27"/>
  <c r="BY32" i="27"/>
  <c r="CJ32" i="27"/>
  <c r="CF32" i="27"/>
  <c r="CB32" i="27"/>
  <c r="CI32" i="27"/>
  <c r="CE32" i="27"/>
  <c r="CA32" i="27"/>
  <c r="CI72" i="27"/>
  <c r="CE72" i="27"/>
  <c r="CA72" i="27"/>
  <c r="CG72" i="27"/>
  <c r="CC72" i="27"/>
  <c r="BY72" i="27"/>
  <c r="CH72" i="27"/>
  <c r="BZ72" i="27"/>
  <c r="CF72" i="27"/>
  <c r="CD72" i="27"/>
  <c r="CJ72" i="27"/>
  <c r="CB72" i="27"/>
  <c r="CH78" i="27"/>
  <c r="CD78" i="27"/>
  <c r="BZ78" i="27"/>
  <c r="CJ78" i="27"/>
  <c r="CF78" i="27"/>
  <c r="CB78" i="27"/>
  <c r="CE78" i="27"/>
  <c r="CC78" i="27"/>
  <c r="CI78" i="27"/>
  <c r="CA78" i="27"/>
  <c r="CG78" i="27"/>
  <c r="BY78" i="27"/>
  <c r="CH22" i="27"/>
  <c r="CD22" i="27"/>
  <c r="BZ22" i="27"/>
  <c r="CG22" i="27"/>
  <c r="CC22" i="27"/>
  <c r="BY22" i="27"/>
  <c r="CJ22" i="27"/>
  <c r="CF22" i="27"/>
  <c r="CB22" i="27"/>
  <c r="CI22" i="27"/>
  <c r="CE22" i="27"/>
  <c r="CA22" i="27"/>
  <c r="CG50" i="27"/>
  <c r="CC50" i="27"/>
  <c r="BY50" i="27"/>
  <c r="CJ50" i="27"/>
  <c r="CF50" i="27"/>
  <c r="CB50" i="27"/>
  <c r="CI50" i="27"/>
  <c r="CE50" i="27"/>
  <c r="CA50" i="27"/>
  <c r="CH50" i="27"/>
  <c r="CD50" i="27"/>
  <c r="BZ50" i="27"/>
  <c r="CJ66" i="27"/>
  <c r="CF66" i="27"/>
  <c r="CB66" i="27"/>
  <c r="CH66" i="27"/>
  <c r="CD66" i="27"/>
  <c r="BZ66" i="27"/>
  <c r="CG66" i="27"/>
  <c r="BY66" i="27"/>
  <c r="CE66" i="27"/>
  <c r="CC66" i="27"/>
  <c r="CI66" i="27"/>
  <c r="CA66" i="27"/>
  <c r="CJ80" i="27"/>
  <c r="CF80" i="27"/>
  <c r="CB80" i="27"/>
  <c r="CH80" i="27"/>
  <c r="CD80" i="27"/>
  <c r="BZ80" i="27"/>
  <c r="CI80" i="27"/>
  <c r="CA80" i="27"/>
  <c r="CE80" i="27"/>
  <c r="CG80" i="27"/>
  <c r="CC80" i="27"/>
  <c r="BY80" i="27"/>
  <c r="CG42" i="27"/>
  <c r="CC42" i="27"/>
  <c r="BY42" i="27"/>
  <c r="CJ42" i="27"/>
  <c r="CF42" i="27"/>
  <c r="CB42" i="27"/>
  <c r="CI42" i="27"/>
  <c r="CE42" i="27"/>
  <c r="CA42" i="27"/>
  <c r="CH42" i="27"/>
  <c r="CD42" i="27"/>
  <c r="BZ42" i="27"/>
  <c r="CI61" i="27"/>
  <c r="CE61" i="27"/>
  <c r="CA61" i="27"/>
  <c r="CG61" i="27"/>
  <c r="CC61" i="27"/>
  <c r="BY61" i="27"/>
  <c r="CF61" i="27"/>
  <c r="CJ61" i="27"/>
  <c r="CB61" i="27"/>
  <c r="CD61" i="27"/>
  <c r="BZ61" i="27"/>
  <c r="CH61" i="27"/>
  <c r="CG59" i="27"/>
  <c r="CC59" i="27"/>
  <c r="BY59" i="27"/>
  <c r="CI59" i="27"/>
  <c r="CE59" i="27"/>
  <c r="CA59" i="27"/>
  <c r="CF59" i="27"/>
  <c r="CJ59" i="27"/>
  <c r="CB59" i="27"/>
  <c r="CD59" i="27"/>
  <c r="BZ59" i="27"/>
  <c r="CH59" i="27"/>
  <c r="CJ69" i="27"/>
  <c r="CF69" i="27"/>
  <c r="CB69" i="27"/>
  <c r="CI69" i="27"/>
  <c r="CE69" i="27"/>
  <c r="CA69" i="27"/>
  <c r="CH69" i="27"/>
  <c r="CD69" i="27"/>
  <c r="BZ69" i="27"/>
  <c r="CG69" i="27"/>
  <c r="CC69" i="27"/>
  <c r="BY69" i="27"/>
  <c r="CG77" i="27"/>
  <c r="CC77" i="27"/>
  <c r="BY77" i="27"/>
  <c r="CI77" i="27"/>
  <c r="CE77" i="27"/>
  <c r="CA77" i="27"/>
  <c r="CF77" i="27"/>
  <c r="CD77" i="27"/>
  <c r="CJ77" i="27"/>
  <c r="CB77" i="27"/>
  <c r="CH77" i="27"/>
  <c r="BZ77" i="27"/>
  <c r="CG27" i="27"/>
  <c r="CC27" i="27"/>
  <c r="BY27" i="27"/>
  <c r="CJ27" i="27"/>
  <c r="CF27" i="27"/>
  <c r="CB27" i="27"/>
  <c r="CI27" i="27"/>
  <c r="CE27" i="27"/>
  <c r="CA27" i="27"/>
  <c r="CH27" i="27"/>
  <c r="CD27" i="27"/>
  <c r="BZ27" i="27"/>
  <c r="CG70" i="27"/>
  <c r="CC70" i="27"/>
  <c r="BY70" i="27"/>
  <c r="CJ70" i="27"/>
  <c r="CF70" i="27"/>
  <c r="CB70" i="27"/>
  <c r="CI70" i="27"/>
  <c r="CE70" i="27"/>
  <c r="CA70" i="27"/>
  <c r="CH70" i="27"/>
  <c r="CD70" i="27"/>
  <c r="BZ70" i="27"/>
  <c r="CJ57" i="27"/>
  <c r="CF57" i="27"/>
  <c r="CB57" i="27"/>
  <c r="CH57" i="27"/>
  <c r="CD57" i="27"/>
  <c r="BZ57" i="27"/>
  <c r="CI57" i="27"/>
  <c r="CA57" i="27"/>
  <c r="CG57" i="27"/>
  <c r="BY57" i="27"/>
  <c r="CE57" i="27"/>
  <c r="CC57" i="27"/>
  <c r="CH55" i="27"/>
  <c r="CD55" i="27"/>
  <c r="BZ55" i="27"/>
  <c r="CJ55" i="27"/>
  <c r="CF55" i="27"/>
  <c r="CB55" i="27"/>
  <c r="CI55" i="27"/>
  <c r="CA55" i="27"/>
  <c r="CG55" i="27"/>
  <c r="BY55" i="27"/>
  <c r="CE55" i="27"/>
  <c r="CC55" i="27"/>
  <c r="CH67" i="27"/>
  <c r="CD67" i="27"/>
  <c r="BZ67" i="27"/>
  <c r="CG67" i="27"/>
  <c r="CC67" i="27"/>
  <c r="BY67" i="27"/>
  <c r="CJ67" i="27"/>
  <c r="CF67" i="27"/>
  <c r="CB67" i="27"/>
  <c r="CI67" i="27"/>
  <c r="CE67" i="27"/>
  <c r="CA67" i="27"/>
  <c r="CG74" i="27"/>
  <c r="CC74" i="27"/>
  <c r="BY74" i="27"/>
  <c r="CI74" i="27"/>
  <c r="CE74" i="27"/>
  <c r="CA74" i="27"/>
  <c r="CH74" i="27"/>
  <c r="BZ74" i="27"/>
  <c r="CF74" i="27"/>
  <c r="CD74" i="27"/>
  <c r="CJ74" i="27"/>
  <c r="CB74" i="27"/>
  <c r="CH26" i="27"/>
  <c r="CD26" i="27"/>
  <c r="BZ26" i="27"/>
  <c r="CG26" i="27"/>
  <c r="CC26" i="27"/>
  <c r="BY26" i="27"/>
  <c r="CJ26" i="27"/>
  <c r="CF26" i="27"/>
  <c r="CB26" i="27"/>
  <c r="CI26" i="27"/>
  <c r="CE26" i="27"/>
  <c r="CA26" i="27"/>
  <c r="CH14" i="27"/>
  <c r="CD14" i="27"/>
  <c r="BZ14" i="27"/>
  <c r="CG14" i="27"/>
  <c r="CC14" i="27"/>
  <c r="BY14" i="27"/>
  <c r="CJ14" i="27"/>
  <c r="CF14" i="27"/>
  <c r="CB14" i="27"/>
  <c r="CI14" i="27"/>
  <c r="CE14" i="27"/>
  <c r="CA14" i="27"/>
  <c r="CH36" i="27"/>
  <c r="CD36" i="27"/>
  <c r="BZ36" i="27"/>
  <c r="CG36" i="27"/>
  <c r="CC36" i="27"/>
  <c r="BY36" i="27"/>
  <c r="CJ36" i="27"/>
  <c r="CF36" i="27"/>
  <c r="CB36" i="27"/>
  <c r="CI36" i="27"/>
  <c r="CE36" i="27"/>
  <c r="CA36" i="27"/>
  <c r="CI65" i="27"/>
  <c r="CE65" i="27"/>
  <c r="CA65" i="27"/>
  <c r="CG65" i="27"/>
  <c r="CC65" i="27"/>
  <c r="BY65" i="27"/>
  <c r="CH65" i="27"/>
  <c r="BZ65" i="27"/>
  <c r="CF65" i="27"/>
  <c r="CD65" i="27"/>
  <c r="CJ65" i="27"/>
  <c r="CB65" i="27"/>
  <c r="CM9" i="27"/>
  <c r="CN9" i="27" s="1"/>
  <c r="CO9" i="27" s="1"/>
  <c r="CP9" i="27" s="1"/>
  <c r="CQ9" i="27" s="1"/>
  <c r="CR9" i="27" s="1"/>
  <c r="CS9" i="27" s="1"/>
  <c r="CT9" i="27" s="1"/>
  <c r="CU9" i="27" s="1"/>
  <c r="CV9" i="27" s="1"/>
  <c r="CW9" i="27" s="1"/>
  <c r="CX9" i="27" s="1"/>
  <c r="BV8" i="27"/>
  <c r="BW10" i="27"/>
  <c r="CI46" i="27"/>
  <c r="CE46" i="27"/>
  <c r="CA46" i="27"/>
  <c r="CH46" i="27"/>
  <c r="CD46" i="27"/>
  <c r="BZ46" i="27"/>
  <c r="CG46" i="27"/>
  <c r="CC46" i="27"/>
  <c r="BY46" i="27"/>
  <c r="CJ46" i="27"/>
  <c r="CF46" i="27"/>
  <c r="CB46" i="27"/>
  <c r="F6" i="26" l="1"/>
  <c r="F11" i="26"/>
  <c r="M11" i="11"/>
  <c r="J27" i="26"/>
  <c r="CK33" i="27"/>
  <c r="CK41" i="27"/>
  <c r="CL41" i="27" s="1"/>
  <c r="CQ41" i="27" s="1"/>
  <c r="CK79" i="27"/>
  <c r="CL79" i="27" s="1"/>
  <c r="CQ79" i="27" s="1"/>
  <c r="CK60" i="27"/>
  <c r="CL60" i="27" s="1"/>
  <c r="CK39" i="27"/>
  <c r="CL39" i="27" s="1"/>
  <c r="CU39" i="27" s="1"/>
  <c r="CK29" i="27"/>
  <c r="CK62" i="27"/>
  <c r="CL62" i="27" s="1"/>
  <c r="CV62" i="27" s="1"/>
  <c r="CK58" i="27"/>
  <c r="CL58" i="27" s="1"/>
  <c r="CV58" i="27" s="1"/>
  <c r="CK15" i="27"/>
  <c r="CK11" i="27"/>
  <c r="CK69" i="27"/>
  <c r="CL69" i="27" s="1"/>
  <c r="CK80" i="27"/>
  <c r="CL80" i="27" s="1"/>
  <c r="CK66" i="27"/>
  <c r="CL66" i="27" s="1"/>
  <c r="CK78" i="27"/>
  <c r="CL78" i="27" s="1"/>
  <c r="CK20" i="27"/>
  <c r="CK12" i="27"/>
  <c r="CK16" i="27"/>
  <c r="CK82" i="27"/>
  <c r="CL82" i="27" s="1"/>
  <c r="CK64" i="27"/>
  <c r="CL64" i="27" s="1"/>
  <c r="CK71" i="27"/>
  <c r="CL71" i="27" s="1"/>
  <c r="CK73" i="27"/>
  <c r="CL73" i="27" s="1"/>
  <c r="CK34" i="27"/>
  <c r="CK24" i="27"/>
  <c r="CK45" i="27"/>
  <c r="CL45" i="27" s="1"/>
  <c r="CK30" i="27"/>
  <c r="CK83" i="27"/>
  <c r="CL83" i="27" s="1"/>
  <c r="CK68" i="27"/>
  <c r="CL68" i="27" s="1"/>
  <c r="CK75" i="27"/>
  <c r="CL75" i="27" s="1"/>
  <c r="CK47" i="27"/>
  <c r="CL47" i="27" s="1"/>
  <c r="CR79" i="27"/>
  <c r="CK74" i="27"/>
  <c r="CL74" i="27" s="1"/>
  <c r="CK70" i="27"/>
  <c r="CL70" i="27" s="1"/>
  <c r="CK27" i="27"/>
  <c r="CK77" i="27"/>
  <c r="CL77" i="27" s="1"/>
  <c r="CK59" i="27"/>
  <c r="CL59" i="27" s="1"/>
  <c r="CK42" i="27"/>
  <c r="CL42" i="27" s="1"/>
  <c r="CK50" i="27"/>
  <c r="CL50" i="27" s="1"/>
  <c r="CK25" i="27"/>
  <c r="CK35" i="27"/>
  <c r="CK38" i="27"/>
  <c r="CL38" i="27" s="1"/>
  <c r="CK21" i="27"/>
  <c r="CK81" i="27"/>
  <c r="CL81" i="27" s="1"/>
  <c r="CK31" i="27"/>
  <c r="CK48" i="27"/>
  <c r="CL48" i="27" s="1"/>
  <c r="CK17" i="27"/>
  <c r="CK54" i="27"/>
  <c r="CL54" i="27" s="1"/>
  <c r="CK63" i="27"/>
  <c r="CL63" i="27" s="1"/>
  <c r="CK85" i="27"/>
  <c r="CL85" i="27" s="1"/>
  <c r="CK86" i="27"/>
  <c r="CL86" i="27" s="1"/>
  <c r="CK13" i="27"/>
  <c r="BW8" i="27"/>
  <c r="BX10" i="27"/>
  <c r="CX60" i="27"/>
  <c r="CT60" i="27"/>
  <c r="CP60" i="27"/>
  <c r="CV60" i="27"/>
  <c r="CR60" i="27"/>
  <c r="CN60" i="27"/>
  <c r="CU60" i="27"/>
  <c r="CM60" i="27"/>
  <c r="CQ60" i="27"/>
  <c r="CS60" i="27"/>
  <c r="CO60" i="27"/>
  <c r="CW60" i="27"/>
  <c r="CQ39" i="27"/>
  <c r="CV39" i="27"/>
  <c r="CP62" i="27"/>
  <c r="CK65" i="27"/>
  <c r="CL65" i="27" s="1"/>
  <c r="CK36" i="27"/>
  <c r="CK14" i="27"/>
  <c r="CK26" i="27"/>
  <c r="CK67" i="27"/>
  <c r="CL67" i="27" s="1"/>
  <c r="CK55" i="27"/>
  <c r="CL55" i="27" s="1"/>
  <c r="CK57" i="27"/>
  <c r="CL57" i="27" s="1"/>
  <c r="CK61" i="27"/>
  <c r="CL61" i="27" s="1"/>
  <c r="CK22" i="27"/>
  <c r="CK72" i="27"/>
  <c r="CL72" i="27" s="1"/>
  <c r="CK32" i="27"/>
  <c r="CK18" i="27"/>
  <c r="CK53" i="27"/>
  <c r="CL53" i="27" s="1"/>
  <c r="CK56" i="27"/>
  <c r="CL56" i="27" s="1"/>
  <c r="CK51" i="27"/>
  <c r="CL51" i="27" s="1"/>
  <c r="CK49" i="27"/>
  <c r="CL49" i="27" s="1"/>
  <c r="CK40" i="27"/>
  <c r="CL40" i="27" s="1"/>
  <c r="CK88" i="27"/>
  <c r="CL88" i="27" s="1"/>
  <c r="CK43" i="27"/>
  <c r="CL43" i="27" s="1"/>
  <c r="CK76" i="27"/>
  <c r="CL76" i="27" s="1"/>
  <c r="CK87" i="27"/>
  <c r="CL87" i="27" s="1"/>
  <c r="CK52" i="27"/>
  <c r="CL52" i="27" s="1"/>
  <c r="CK84" i="27"/>
  <c r="CL84" i="27" s="1"/>
  <c r="CK46" i="27"/>
  <c r="CL46" i="27" s="1"/>
  <c r="DA9" i="27"/>
  <c r="DB9" i="27" s="1"/>
  <c r="DC9" i="27" s="1"/>
  <c r="DD9" i="27" s="1"/>
  <c r="DE9" i="27" s="1"/>
  <c r="DF9" i="27" s="1"/>
  <c r="DG9" i="27" s="1"/>
  <c r="DH9" i="27" s="1"/>
  <c r="DI9" i="27" s="1"/>
  <c r="DJ9" i="27" s="1"/>
  <c r="DK9" i="27" s="1"/>
  <c r="DL9" i="27" s="1"/>
  <c r="CM41" i="27"/>
  <c r="CW41" i="27"/>
  <c r="CR41" i="27"/>
  <c r="CK23" i="27"/>
  <c r="CK19" i="27"/>
  <c r="CK37" i="27"/>
  <c r="CL37" i="27" s="1"/>
  <c r="CK44" i="27"/>
  <c r="CL44" i="27" s="1"/>
  <c r="CS62" i="27" l="1"/>
  <c r="CR62" i="27"/>
  <c r="CP39" i="27"/>
  <c r="CT79" i="27"/>
  <c r="CM79" i="27"/>
  <c r="CX58" i="27"/>
  <c r="CL4" i="27"/>
  <c r="CO41" i="27"/>
  <c r="CT41" i="27"/>
  <c r="CU41" i="27"/>
  <c r="CW62" i="27"/>
  <c r="CM62" i="27"/>
  <c r="CX62" i="27"/>
  <c r="CN39" i="27"/>
  <c r="CS39" i="27"/>
  <c r="CX39" i="27"/>
  <c r="CN79" i="27"/>
  <c r="CS79" i="27"/>
  <c r="CU79" i="27"/>
  <c r="CW58" i="27"/>
  <c r="CM58" i="27"/>
  <c r="CS58" i="27"/>
  <c r="CP58" i="27"/>
  <c r="CR58" i="27"/>
  <c r="CN41" i="27"/>
  <c r="CV41" i="27"/>
  <c r="CS41" i="27"/>
  <c r="CP41" i="27"/>
  <c r="CX41" i="27"/>
  <c r="CO62" i="27"/>
  <c r="CQ62" i="27"/>
  <c r="CU62" i="27"/>
  <c r="CT62" i="27"/>
  <c r="CN62" i="27"/>
  <c r="CR39" i="27"/>
  <c r="CO39" i="27"/>
  <c r="CW39" i="27"/>
  <c r="CT39" i="27"/>
  <c r="CM39" i="27"/>
  <c r="CP79" i="27"/>
  <c r="CX79" i="27"/>
  <c r="CV79" i="27"/>
  <c r="CO79" i="27"/>
  <c r="CW79" i="27"/>
  <c r="CO58" i="27"/>
  <c r="CQ58" i="27"/>
  <c r="CU58" i="27"/>
  <c r="CT58" i="27"/>
  <c r="CN58" i="27"/>
  <c r="CL5" i="27"/>
  <c r="CU46" i="27"/>
  <c r="CQ46" i="27"/>
  <c r="CM46" i="27"/>
  <c r="CX46" i="27"/>
  <c r="CT46" i="27"/>
  <c r="CP46" i="27"/>
  <c r="CW46" i="27"/>
  <c r="CS46" i="27"/>
  <c r="CO46" i="27"/>
  <c r="CV46" i="27"/>
  <c r="CR46" i="27"/>
  <c r="CN46" i="27"/>
  <c r="CU56" i="27"/>
  <c r="CQ56" i="27"/>
  <c r="CM56" i="27"/>
  <c r="CW56" i="27"/>
  <c r="CS56" i="27"/>
  <c r="CO56" i="27"/>
  <c r="CR56" i="27"/>
  <c r="CX56" i="27"/>
  <c r="CP56" i="27"/>
  <c r="CV56" i="27"/>
  <c r="CN56" i="27"/>
  <c r="CT56" i="27"/>
  <c r="CV57" i="27"/>
  <c r="CR57" i="27"/>
  <c r="CN57" i="27"/>
  <c r="CX57" i="27"/>
  <c r="CT57" i="27"/>
  <c r="CP57" i="27"/>
  <c r="CQ57" i="27"/>
  <c r="CW57" i="27"/>
  <c r="CO57" i="27"/>
  <c r="CU57" i="27"/>
  <c r="CM57" i="27"/>
  <c r="CS57" i="27"/>
  <c r="CW86" i="27"/>
  <c r="CS86" i="27"/>
  <c r="CO86" i="27"/>
  <c r="CU86" i="27"/>
  <c r="CQ86" i="27"/>
  <c r="CM86" i="27"/>
  <c r="CR86" i="27"/>
  <c r="CX86" i="27"/>
  <c r="CP86" i="27"/>
  <c r="CV86" i="27"/>
  <c r="CT86" i="27"/>
  <c r="CN86" i="27"/>
  <c r="CW54" i="27"/>
  <c r="CS54" i="27"/>
  <c r="CO54" i="27"/>
  <c r="CU54" i="27"/>
  <c r="CQ54" i="27"/>
  <c r="CM54" i="27"/>
  <c r="CR54" i="27"/>
  <c r="CX54" i="27"/>
  <c r="CP54" i="27"/>
  <c r="CV54" i="27"/>
  <c r="CN54" i="27"/>
  <c r="CT54" i="27"/>
  <c r="CW81" i="27"/>
  <c r="CS81" i="27"/>
  <c r="CO81" i="27"/>
  <c r="CU81" i="27"/>
  <c r="CQ81" i="27"/>
  <c r="CM81" i="27"/>
  <c r="CR81" i="27"/>
  <c r="CV81" i="27"/>
  <c r="CN81" i="27"/>
  <c r="CX81" i="27"/>
  <c r="CT81" i="27"/>
  <c r="CP81" i="27"/>
  <c r="CW38" i="27"/>
  <c r="CS38" i="27"/>
  <c r="CO38" i="27"/>
  <c r="CV38" i="27"/>
  <c r="CR38" i="27"/>
  <c r="CN38" i="27"/>
  <c r="CU38" i="27"/>
  <c r="CQ38" i="27"/>
  <c r="CM38" i="27"/>
  <c r="CX38" i="27"/>
  <c r="CT38" i="27"/>
  <c r="CP38" i="27"/>
  <c r="CW50" i="27"/>
  <c r="CS50" i="27"/>
  <c r="CO50" i="27"/>
  <c r="CV50" i="27"/>
  <c r="CR50" i="27"/>
  <c r="CN50" i="27"/>
  <c r="CU50" i="27"/>
  <c r="CQ50" i="27"/>
  <c r="CM50" i="27"/>
  <c r="CX50" i="27"/>
  <c r="CT50" i="27"/>
  <c r="CP50" i="27"/>
  <c r="CW70" i="27"/>
  <c r="CS70" i="27"/>
  <c r="CO70" i="27"/>
  <c r="CV70" i="27"/>
  <c r="CR70" i="27"/>
  <c r="CN70" i="27"/>
  <c r="CU70" i="27"/>
  <c r="CQ70" i="27"/>
  <c r="CM70" i="27"/>
  <c r="CX70" i="27"/>
  <c r="CT70" i="27"/>
  <c r="CP70" i="27"/>
  <c r="CX71" i="27"/>
  <c r="CT71" i="27"/>
  <c r="CP71" i="27"/>
  <c r="CV71" i="27"/>
  <c r="CR71" i="27"/>
  <c r="CN71" i="27"/>
  <c r="CW71" i="27"/>
  <c r="CO71" i="27"/>
  <c r="CU71" i="27"/>
  <c r="CM71" i="27"/>
  <c r="CS71" i="27"/>
  <c r="CQ71" i="27"/>
  <c r="CV69" i="27"/>
  <c r="CR69" i="27"/>
  <c r="CN69" i="27"/>
  <c r="CU69" i="27"/>
  <c r="CQ69" i="27"/>
  <c r="CM69" i="27"/>
  <c r="CX69" i="27"/>
  <c r="CT69" i="27"/>
  <c r="CP69" i="27"/>
  <c r="CW69" i="27"/>
  <c r="CS69" i="27"/>
  <c r="CO69" i="27"/>
  <c r="CU37" i="27"/>
  <c r="CQ37" i="27"/>
  <c r="CM37" i="27"/>
  <c r="CX37" i="27"/>
  <c r="CT37" i="27"/>
  <c r="CP37" i="27"/>
  <c r="CW37" i="27"/>
  <c r="CS37" i="27"/>
  <c r="CO37" i="27"/>
  <c r="CV37" i="27"/>
  <c r="CR37" i="27"/>
  <c r="CN37" i="27"/>
  <c r="CU84" i="27"/>
  <c r="CQ84" i="27"/>
  <c r="CM84" i="27"/>
  <c r="CX84" i="27"/>
  <c r="CT84" i="27"/>
  <c r="CP84" i="27"/>
  <c r="CV84" i="27"/>
  <c r="CN84" i="27"/>
  <c r="CR84" i="27"/>
  <c r="CO84" i="27"/>
  <c r="CW84" i="27"/>
  <c r="CS84" i="27"/>
  <c r="CX43" i="27"/>
  <c r="CT43" i="27"/>
  <c r="CP43" i="27"/>
  <c r="CW43" i="27"/>
  <c r="CS43" i="27"/>
  <c r="CO43" i="27"/>
  <c r="CV43" i="27"/>
  <c r="CR43" i="27"/>
  <c r="CN43" i="27"/>
  <c r="CU43" i="27"/>
  <c r="CQ43" i="27"/>
  <c r="CM43" i="27"/>
  <c r="CX49" i="27"/>
  <c r="CT49" i="27"/>
  <c r="CP49" i="27"/>
  <c r="CW49" i="27"/>
  <c r="CS49" i="27"/>
  <c r="CO49" i="27"/>
  <c r="CV49" i="27"/>
  <c r="CR49" i="27"/>
  <c r="CN49" i="27"/>
  <c r="CU49" i="27"/>
  <c r="CQ49" i="27"/>
  <c r="CM49" i="27"/>
  <c r="CU72" i="27"/>
  <c r="CQ72" i="27"/>
  <c r="CM72" i="27"/>
  <c r="CW72" i="27"/>
  <c r="CS72" i="27"/>
  <c r="CO72" i="27"/>
  <c r="CX72" i="27"/>
  <c r="CP72" i="27"/>
  <c r="CV72" i="27"/>
  <c r="CN72" i="27"/>
  <c r="CT72" i="27"/>
  <c r="CR72" i="27"/>
  <c r="CY62" i="27"/>
  <c r="CZ62" i="27" s="1"/>
  <c r="CY60" i="27"/>
  <c r="CZ60" i="27" s="1"/>
  <c r="CG10" i="27"/>
  <c r="CG8" i="27" s="1"/>
  <c r="CC10" i="27"/>
  <c r="CC8" i="27" s="1"/>
  <c r="BY10" i="27"/>
  <c r="CJ10" i="27"/>
  <c r="CJ8" i="27" s="1"/>
  <c r="CF10" i="27"/>
  <c r="CF8" i="27" s="1"/>
  <c r="CB10" i="27"/>
  <c r="CB8" i="27" s="1"/>
  <c r="BX1" i="27"/>
  <c r="CI10" i="27"/>
  <c r="CI8" i="27" s="1"/>
  <c r="CE10" i="27"/>
  <c r="CE8" i="27" s="1"/>
  <c r="CA10" i="27"/>
  <c r="CA8" i="27" s="1"/>
  <c r="BX8" i="27"/>
  <c r="CH10" i="27"/>
  <c r="CH8" i="27" s="1"/>
  <c r="CD10" i="27"/>
  <c r="CD8" i="27" s="1"/>
  <c r="BZ10" i="27"/>
  <c r="BZ8" i="27" s="1"/>
  <c r="CW48" i="27"/>
  <c r="CS48" i="27"/>
  <c r="CO48" i="27"/>
  <c r="CV48" i="27"/>
  <c r="CR48" i="27"/>
  <c r="CN48" i="27"/>
  <c r="CU48" i="27"/>
  <c r="CQ48" i="27"/>
  <c r="CM48" i="27"/>
  <c r="CX48" i="27"/>
  <c r="CT48" i="27"/>
  <c r="CP48" i="27"/>
  <c r="CW42" i="27"/>
  <c r="CS42" i="27"/>
  <c r="CO42" i="27"/>
  <c r="CV42" i="27"/>
  <c r="CR42" i="27"/>
  <c r="CN42" i="27"/>
  <c r="CU42" i="27"/>
  <c r="CQ42" i="27"/>
  <c r="CM42" i="27"/>
  <c r="CX42" i="27"/>
  <c r="CT42" i="27"/>
  <c r="CP42" i="27"/>
  <c r="CW77" i="27"/>
  <c r="CS77" i="27"/>
  <c r="CO77" i="27"/>
  <c r="CU77" i="27"/>
  <c r="CQ77" i="27"/>
  <c r="CM77" i="27"/>
  <c r="CV77" i="27"/>
  <c r="CN77" i="27"/>
  <c r="CT77" i="27"/>
  <c r="CR77" i="27"/>
  <c r="CX77" i="27"/>
  <c r="CP77" i="27"/>
  <c r="CW74" i="27"/>
  <c r="CS74" i="27"/>
  <c r="CO74" i="27"/>
  <c r="CU74" i="27"/>
  <c r="CQ74" i="27"/>
  <c r="CM74" i="27"/>
  <c r="CX74" i="27"/>
  <c r="CP74" i="27"/>
  <c r="CV74" i="27"/>
  <c r="CN74" i="27"/>
  <c r="CT74" i="27"/>
  <c r="CR74" i="27"/>
  <c r="CX75" i="27"/>
  <c r="CT75" i="27"/>
  <c r="CP75" i="27"/>
  <c r="CV75" i="27"/>
  <c r="CR75" i="27"/>
  <c r="CN75" i="27"/>
  <c r="CW75" i="27"/>
  <c r="CO75" i="27"/>
  <c r="CU75" i="27"/>
  <c r="CM75" i="27"/>
  <c r="CS75" i="27"/>
  <c r="CQ75" i="27"/>
  <c r="CV45" i="27"/>
  <c r="CR45" i="27"/>
  <c r="CN45" i="27"/>
  <c r="CU45" i="27"/>
  <c r="CQ45" i="27"/>
  <c r="CM45" i="27"/>
  <c r="CX45" i="27"/>
  <c r="CT45" i="27"/>
  <c r="CP45" i="27"/>
  <c r="CW45" i="27"/>
  <c r="CS45" i="27"/>
  <c r="CO45" i="27"/>
  <c r="CX64" i="27"/>
  <c r="CT64" i="27"/>
  <c r="CP64" i="27"/>
  <c r="CV64" i="27"/>
  <c r="CR64" i="27"/>
  <c r="CN64" i="27"/>
  <c r="CW64" i="27"/>
  <c r="CO64" i="27"/>
  <c r="CU64" i="27"/>
  <c r="CM64" i="27"/>
  <c r="CS64" i="27"/>
  <c r="CQ64" i="27"/>
  <c r="CX78" i="27"/>
  <c r="CT78" i="27"/>
  <c r="CP78" i="27"/>
  <c r="CV78" i="27"/>
  <c r="CR78" i="27"/>
  <c r="CN78" i="27"/>
  <c r="CU78" i="27"/>
  <c r="CM78" i="27"/>
  <c r="CS78" i="27"/>
  <c r="CQ78" i="27"/>
  <c r="CW78" i="27"/>
  <c r="CO78" i="27"/>
  <c r="CV66" i="27"/>
  <c r="CR66" i="27"/>
  <c r="CN66" i="27"/>
  <c r="CX66" i="27"/>
  <c r="CT66" i="27"/>
  <c r="CP66" i="27"/>
  <c r="CW66" i="27"/>
  <c r="CO66" i="27"/>
  <c r="CU66" i="27"/>
  <c r="CM66" i="27"/>
  <c r="CS66" i="27"/>
  <c r="CQ66" i="27"/>
  <c r="DO9" i="27"/>
  <c r="DP9" i="27" s="1"/>
  <c r="DQ9" i="27" s="1"/>
  <c r="DR9" i="27" s="1"/>
  <c r="DS9" i="27" s="1"/>
  <c r="DT9" i="27" s="1"/>
  <c r="DU9" i="27" s="1"/>
  <c r="DV9" i="27" s="1"/>
  <c r="DW9" i="27" s="1"/>
  <c r="DX9" i="27" s="1"/>
  <c r="DY9" i="27" s="1"/>
  <c r="DZ9" i="27" s="1"/>
  <c r="CU52" i="27"/>
  <c r="CQ52" i="27"/>
  <c r="CM52" i="27"/>
  <c r="CW52" i="27"/>
  <c r="CS52" i="27"/>
  <c r="CO52" i="27"/>
  <c r="CR52" i="27"/>
  <c r="CX52" i="27"/>
  <c r="CP52" i="27"/>
  <c r="CV52" i="27"/>
  <c r="CN52" i="27"/>
  <c r="CT52" i="27"/>
  <c r="CU88" i="27"/>
  <c r="CQ88" i="27"/>
  <c r="CM88" i="27"/>
  <c r="CW88" i="27"/>
  <c r="CS88" i="27"/>
  <c r="CO88" i="27"/>
  <c r="CR88" i="27"/>
  <c r="CX88" i="27"/>
  <c r="CP88" i="27"/>
  <c r="CN88" i="27"/>
  <c r="CT88" i="27"/>
  <c r="CV88" i="27"/>
  <c r="CX51" i="27"/>
  <c r="CT51" i="27"/>
  <c r="CP51" i="27"/>
  <c r="CV51" i="27"/>
  <c r="CR51" i="27"/>
  <c r="CQ51" i="27"/>
  <c r="CW51" i="27"/>
  <c r="CO51" i="27"/>
  <c r="CU51" i="27"/>
  <c r="CN51" i="27"/>
  <c r="CS51" i="27"/>
  <c r="CM51" i="27"/>
  <c r="CV53" i="27"/>
  <c r="CR53" i="27"/>
  <c r="CN53" i="27"/>
  <c r="CX53" i="27"/>
  <c r="CT53" i="27"/>
  <c r="CP53" i="27"/>
  <c r="CQ53" i="27"/>
  <c r="CW53" i="27"/>
  <c r="CO53" i="27"/>
  <c r="CU53" i="27"/>
  <c r="CM53" i="27"/>
  <c r="CS53" i="27"/>
  <c r="CU61" i="27"/>
  <c r="CQ61" i="27"/>
  <c r="CM61" i="27"/>
  <c r="CW61" i="27"/>
  <c r="CS61" i="27"/>
  <c r="CO61" i="27"/>
  <c r="CV61" i="27"/>
  <c r="CN61" i="27"/>
  <c r="CR61" i="27"/>
  <c r="CT61" i="27"/>
  <c r="CP61" i="27"/>
  <c r="CX61" i="27"/>
  <c r="CX55" i="27"/>
  <c r="CT55" i="27"/>
  <c r="CP55" i="27"/>
  <c r="CV55" i="27"/>
  <c r="CR55" i="27"/>
  <c r="CN55" i="27"/>
  <c r="CQ55" i="27"/>
  <c r="CW55" i="27"/>
  <c r="CO55" i="27"/>
  <c r="CU55" i="27"/>
  <c r="CM55" i="27"/>
  <c r="CS55" i="27"/>
  <c r="CY39" i="27"/>
  <c r="CZ39" i="27" s="1"/>
  <c r="CW85" i="27"/>
  <c r="CS85" i="27"/>
  <c r="CO85" i="27"/>
  <c r="CV85" i="27"/>
  <c r="CR85" i="27"/>
  <c r="CN85" i="27"/>
  <c r="CT85" i="27"/>
  <c r="CQ85" i="27"/>
  <c r="CM85" i="27"/>
  <c r="CU85" i="27"/>
  <c r="CP85" i="27"/>
  <c r="CX85" i="27"/>
  <c r="CY58" i="27"/>
  <c r="CZ58" i="27" s="1"/>
  <c r="CV47" i="27"/>
  <c r="CR47" i="27"/>
  <c r="CN47" i="27"/>
  <c r="CU47" i="27"/>
  <c r="CQ47" i="27"/>
  <c r="CM47" i="27"/>
  <c r="CX47" i="27"/>
  <c r="CT47" i="27"/>
  <c r="CP47" i="27"/>
  <c r="CW47" i="27"/>
  <c r="CS47" i="27"/>
  <c r="CO47" i="27"/>
  <c r="CU68" i="27"/>
  <c r="CQ68" i="27"/>
  <c r="CM68" i="27"/>
  <c r="CX68" i="27"/>
  <c r="CT68" i="27"/>
  <c r="CP68" i="27"/>
  <c r="CW68" i="27"/>
  <c r="CS68" i="27"/>
  <c r="CO68" i="27"/>
  <c r="CV68" i="27"/>
  <c r="CR68" i="27"/>
  <c r="CN68" i="27"/>
  <c r="CX82" i="27"/>
  <c r="CT82" i="27"/>
  <c r="CP82" i="27"/>
  <c r="CV82" i="27"/>
  <c r="CR82" i="27"/>
  <c r="CN82" i="27"/>
  <c r="CQ82" i="27"/>
  <c r="CU82" i="27"/>
  <c r="CM82" i="27"/>
  <c r="CW82" i="27"/>
  <c r="CS82" i="27"/>
  <c r="CO82" i="27"/>
  <c r="CU44" i="27"/>
  <c r="CQ44" i="27"/>
  <c r="CM44" i="27"/>
  <c r="CX44" i="27"/>
  <c r="CT44" i="27"/>
  <c r="CP44" i="27"/>
  <c r="CW44" i="27"/>
  <c r="CS44" i="27"/>
  <c r="CO44" i="27"/>
  <c r="CV44" i="27"/>
  <c r="CR44" i="27"/>
  <c r="CN44" i="27"/>
  <c r="CY41" i="27"/>
  <c r="CZ41" i="27" s="1"/>
  <c r="CX87" i="27"/>
  <c r="CT87" i="27"/>
  <c r="CP87" i="27"/>
  <c r="CV87" i="27"/>
  <c r="CR87" i="27"/>
  <c r="CN87" i="27"/>
  <c r="CQ87" i="27"/>
  <c r="CW87" i="27"/>
  <c r="CO87" i="27"/>
  <c r="CS87" i="27"/>
  <c r="CM87" i="27"/>
  <c r="CU87" i="27"/>
  <c r="CU76" i="27"/>
  <c r="CQ76" i="27"/>
  <c r="CM76" i="27"/>
  <c r="CW76" i="27"/>
  <c r="CS76" i="27"/>
  <c r="CO76" i="27"/>
  <c r="CX76" i="27"/>
  <c r="CP76" i="27"/>
  <c r="CV76" i="27"/>
  <c r="CN76" i="27"/>
  <c r="CT76" i="27"/>
  <c r="CR76" i="27"/>
  <c r="CX40" i="27"/>
  <c r="CT40" i="27"/>
  <c r="CP40" i="27"/>
  <c r="CW40" i="27"/>
  <c r="CS40" i="27"/>
  <c r="CO40" i="27"/>
  <c r="CV40" i="27"/>
  <c r="CR40" i="27"/>
  <c r="CN40" i="27"/>
  <c r="CU40" i="27"/>
  <c r="CQ40" i="27"/>
  <c r="CM40" i="27"/>
  <c r="CX67" i="27"/>
  <c r="CT67" i="27"/>
  <c r="CP67" i="27"/>
  <c r="CW67" i="27"/>
  <c r="CS67" i="27"/>
  <c r="CO67" i="27"/>
  <c r="CV67" i="27"/>
  <c r="CR67" i="27"/>
  <c r="CN67" i="27"/>
  <c r="CU67" i="27"/>
  <c r="CQ67" i="27"/>
  <c r="CM67" i="27"/>
  <c r="CU65" i="27"/>
  <c r="CQ65" i="27"/>
  <c r="CM65" i="27"/>
  <c r="CW65" i="27"/>
  <c r="CS65" i="27"/>
  <c r="CO65" i="27"/>
  <c r="CX65" i="27"/>
  <c r="CP65" i="27"/>
  <c r="CV65" i="27"/>
  <c r="CN65" i="27"/>
  <c r="CT65" i="27"/>
  <c r="CR65" i="27"/>
  <c r="CW63" i="27"/>
  <c r="CS63" i="27"/>
  <c r="CO63" i="27"/>
  <c r="CU63" i="27"/>
  <c r="CQ63" i="27"/>
  <c r="CM63" i="27"/>
  <c r="CV63" i="27"/>
  <c r="CN63" i="27"/>
  <c r="CR63" i="27"/>
  <c r="CT63" i="27"/>
  <c r="CP63" i="27"/>
  <c r="CX63" i="27"/>
  <c r="CW59" i="27"/>
  <c r="CS59" i="27"/>
  <c r="CO59" i="27"/>
  <c r="CU59" i="27"/>
  <c r="CQ59" i="27"/>
  <c r="CM59" i="27"/>
  <c r="CV59" i="27"/>
  <c r="CN59" i="27"/>
  <c r="CR59" i="27"/>
  <c r="CT59" i="27"/>
  <c r="CP59" i="27"/>
  <c r="CX59" i="27"/>
  <c r="CY79" i="27"/>
  <c r="CZ79" i="27" s="1"/>
  <c r="CX83" i="27"/>
  <c r="CT83" i="27"/>
  <c r="CP83" i="27"/>
  <c r="CW83" i="27"/>
  <c r="CS83" i="27"/>
  <c r="CO83" i="27"/>
  <c r="CV83" i="27"/>
  <c r="CN83" i="27"/>
  <c r="CR83" i="27"/>
  <c r="CQ83" i="27"/>
  <c r="CU83" i="27"/>
  <c r="CM83" i="27"/>
  <c r="CV73" i="27"/>
  <c r="CR73" i="27"/>
  <c r="CN73" i="27"/>
  <c r="CX73" i="27"/>
  <c r="CT73" i="27"/>
  <c r="CP73" i="27"/>
  <c r="CW73" i="27"/>
  <c r="CO73" i="27"/>
  <c r="CU73" i="27"/>
  <c r="CM73" i="27"/>
  <c r="CS73" i="27"/>
  <c r="CQ73" i="27"/>
  <c r="CV80" i="27"/>
  <c r="CR80" i="27"/>
  <c r="CN80" i="27"/>
  <c r="CX80" i="27"/>
  <c r="CT80" i="27"/>
  <c r="CP80" i="27"/>
  <c r="CQ80" i="27"/>
  <c r="CU80" i="27"/>
  <c r="CM80" i="27"/>
  <c r="CW80" i="27"/>
  <c r="CS80" i="27"/>
  <c r="CO80" i="27"/>
  <c r="CY73" i="27" l="1"/>
  <c r="CZ73" i="27" s="1"/>
  <c r="DH73" i="27" s="1"/>
  <c r="CY51" i="27"/>
  <c r="CZ51" i="27" s="1"/>
  <c r="DJ51" i="27" s="1"/>
  <c r="CY57" i="27"/>
  <c r="CZ57" i="27" s="1"/>
  <c r="DK57" i="27" s="1"/>
  <c r="CY85" i="27"/>
  <c r="CZ85" i="27" s="1"/>
  <c r="DI85" i="27" s="1"/>
  <c r="CY59" i="27"/>
  <c r="CZ59" i="27" s="1"/>
  <c r="CY63" i="27"/>
  <c r="CZ63" i="27" s="1"/>
  <c r="CY82" i="27"/>
  <c r="CZ82" i="27" s="1"/>
  <c r="DK39" i="27"/>
  <c r="DG39" i="27"/>
  <c r="DC39" i="27"/>
  <c r="DJ39" i="27"/>
  <c r="DF39" i="27"/>
  <c r="DB39" i="27"/>
  <c r="DI39" i="27"/>
  <c r="DE39" i="27"/>
  <c r="DA39" i="27"/>
  <c r="DL39" i="27"/>
  <c r="DH39" i="27"/>
  <c r="DD39" i="27"/>
  <c r="CY78" i="27"/>
  <c r="CZ78" i="27" s="1"/>
  <c r="CY49" i="27"/>
  <c r="CZ49" i="27" s="1"/>
  <c r="CY43" i="27"/>
  <c r="CZ43" i="27" s="1"/>
  <c r="DL73" i="27"/>
  <c r="DD73" i="27"/>
  <c r="DF73" i="27"/>
  <c r="DE73" i="27"/>
  <c r="DC73" i="27"/>
  <c r="DA73" i="27"/>
  <c r="DL58" i="27"/>
  <c r="DH58" i="27"/>
  <c r="DD58" i="27"/>
  <c r="DJ58" i="27"/>
  <c r="DF58" i="27"/>
  <c r="DB58" i="27"/>
  <c r="DK58" i="27"/>
  <c r="DC58" i="27"/>
  <c r="DG58" i="27"/>
  <c r="DI58" i="27"/>
  <c r="DE58" i="27"/>
  <c r="DA58" i="27"/>
  <c r="DF51" i="27"/>
  <c r="DB51" i="27"/>
  <c r="DL51" i="27"/>
  <c r="DH51" i="27"/>
  <c r="DD51" i="27"/>
  <c r="DG51" i="27"/>
  <c r="DE51" i="27"/>
  <c r="DK51" i="27"/>
  <c r="DC51" i="27"/>
  <c r="DI51" i="27"/>
  <c r="DA51" i="27"/>
  <c r="CY72" i="27"/>
  <c r="CZ72" i="27" s="1"/>
  <c r="CY84" i="27"/>
  <c r="CZ84" i="27" s="1"/>
  <c r="CY37" i="27"/>
  <c r="CZ37" i="27" s="1"/>
  <c r="DI57" i="27"/>
  <c r="DL57" i="27"/>
  <c r="DH57" i="27"/>
  <c r="DJ57" i="27"/>
  <c r="DC57" i="27"/>
  <c r="CY56" i="27"/>
  <c r="CZ56" i="27" s="1"/>
  <c r="CY46" i="27"/>
  <c r="CZ46" i="27" s="1"/>
  <c r="DK79" i="27"/>
  <c r="DG79" i="27"/>
  <c r="DC79" i="27"/>
  <c r="DI79" i="27"/>
  <c r="DE79" i="27"/>
  <c r="DA79" i="27"/>
  <c r="DH79" i="27"/>
  <c r="DL79" i="27"/>
  <c r="DD79" i="27"/>
  <c r="DB79" i="27"/>
  <c r="DJ79" i="27"/>
  <c r="DF79" i="27"/>
  <c r="CY80" i="27"/>
  <c r="CZ80" i="27" s="1"/>
  <c r="CY67" i="27"/>
  <c r="CZ67" i="27" s="1"/>
  <c r="CY40" i="27"/>
  <c r="CZ40" i="27" s="1"/>
  <c r="CY44" i="27"/>
  <c r="CZ44" i="27" s="1"/>
  <c r="CY68" i="27"/>
  <c r="CZ68" i="27" s="1"/>
  <c r="CY55" i="27"/>
  <c r="CZ55" i="27" s="1"/>
  <c r="CY61" i="27"/>
  <c r="CZ61" i="27" s="1"/>
  <c r="CY53" i="27"/>
  <c r="CZ53" i="27" s="1"/>
  <c r="CY88" i="27"/>
  <c r="CZ88" i="27" s="1"/>
  <c r="CY52" i="27"/>
  <c r="CZ52" i="27" s="1"/>
  <c r="CY66" i="27"/>
  <c r="CZ66" i="27" s="1"/>
  <c r="CY64" i="27"/>
  <c r="CZ64" i="27" s="1"/>
  <c r="CY45" i="27"/>
  <c r="CZ45" i="27" s="1"/>
  <c r="CY75" i="27"/>
  <c r="CZ75" i="27" s="1"/>
  <c r="CY74" i="27"/>
  <c r="CZ74" i="27" s="1"/>
  <c r="CY77" i="27"/>
  <c r="CZ77" i="27" s="1"/>
  <c r="DJ60" i="27"/>
  <c r="DF60" i="27"/>
  <c r="DB60" i="27"/>
  <c r="DL60" i="27"/>
  <c r="DH60" i="27"/>
  <c r="DD60" i="27"/>
  <c r="DK60" i="27"/>
  <c r="DC60" i="27"/>
  <c r="DG60" i="27"/>
  <c r="DI60" i="27"/>
  <c r="DE60" i="27"/>
  <c r="DA60" i="27"/>
  <c r="CY69" i="27"/>
  <c r="CZ69" i="27" s="1"/>
  <c r="CY71" i="27"/>
  <c r="CZ71" i="27" s="1"/>
  <c r="CY81" i="27"/>
  <c r="CZ81" i="27" s="1"/>
  <c r="CY54" i="27"/>
  <c r="CZ54" i="27" s="1"/>
  <c r="CY86" i="27"/>
  <c r="CZ86" i="27" s="1"/>
  <c r="CY83" i="27"/>
  <c r="CZ83" i="27" s="1"/>
  <c r="CY65" i="27"/>
  <c r="CZ65" i="27" s="1"/>
  <c r="CY76" i="27"/>
  <c r="CZ76" i="27" s="1"/>
  <c r="CY87" i="27"/>
  <c r="CZ87" i="27" s="1"/>
  <c r="DK41" i="27"/>
  <c r="DG41" i="27"/>
  <c r="DC41" i="27"/>
  <c r="DJ41" i="27"/>
  <c r="DF41" i="27"/>
  <c r="DB41" i="27"/>
  <c r="DI41" i="27"/>
  <c r="DE41" i="27"/>
  <c r="DA41" i="27"/>
  <c r="DL41" i="27"/>
  <c r="DH41" i="27"/>
  <c r="DD41" i="27"/>
  <c r="CY47" i="27"/>
  <c r="CZ47" i="27" s="1"/>
  <c r="CY42" i="27"/>
  <c r="CZ42" i="27" s="1"/>
  <c r="CY48" i="27"/>
  <c r="CZ48" i="27" s="1"/>
  <c r="CK10" i="27"/>
  <c r="BY8" i="27"/>
  <c r="DL62" i="27"/>
  <c r="DH62" i="27"/>
  <c r="DD62" i="27"/>
  <c r="DJ62" i="27"/>
  <c r="DF62" i="27"/>
  <c r="DB62" i="27"/>
  <c r="DK62" i="27"/>
  <c r="DC62" i="27"/>
  <c r="DG62" i="27"/>
  <c r="DI62" i="27"/>
  <c r="DE62" i="27"/>
  <c r="DA62" i="27"/>
  <c r="CY70" i="27"/>
  <c r="CZ70" i="27" s="1"/>
  <c r="CY50" i="27"/>
  <c r="CZ50" i="27" s="1"/>
  <c r="CY38" i="27"/>
  <c r="CZ38" i="27" s="1"/>
  <c r="DA57" i="27" l="1"/>
  <c r="DF57" i="27"/>
  <c r="DB57" i="27"/>
  <c r="DD57" i="27"/>
  <c r="DE57" i="27"/>
  <c r="DG57" i="27"/>
  <c r="DG73" i="27"/>
  <c r="DI73" i="27"/>
  <c r="DK73" i="27"/>
  <c r="DB73" i="27"/>
  <c r="DJ73" i="27"/>
  <c r="DF85" i="27"/>
  <c r="DL85" i="27"/>
  <c r="DB85" i="27"/>
  <c r="CL26" i="27"/>
  <c r="CL13" i="27"/>
  <c r="CZ4" i="27"/>
  <c r="DC85" i="27"/>
  <c r="DD85" i="27"/>
  <c r="DE85" i="27"/>
  <c r="DM62" i="27"/>
  <c r="DN62" i="27" s="1"/>
  <c r="DX62" i="27" s="1"/>
  <c r="DK85" i="27"/>
  <c r="DG85" i="27"/>
  <c r="DJ85" i="27"/>
  <c r="DH85" i="27"/>
  <c r="DA85" i="27"/>
  <c r="CL23" i="27"/>
  <c r="CL35" i="27"/>
  <c r="CL24" i="27"/>
  <c r="CL36" i="27"/>
  <c r="CL31" i="27"/>
  <c r="CL25" i="27"/>
  <c r="CL30" i="27"/>
  <c r="CL20" i="27"/>
  <c r="CL33" i="27"/>
  <c r="CL22" i="27"/>
  <c r="CL27" i="27"/>
  <c r="CL32" i="27"/>
  <c r="CL21" i="27"/>
  <c r="CL34" i="27"/>
  <c r="CL29" i="27"/>
  <c r="CL18" i="27"/>
  <c r="CL16" i="27"/>
  <c r="CL15" i="27"/>
  <c r="CL17" i="27"/>
  <c r="CL14" i="27"/>
  <c r="CL12" i="27"/>
  <c r="CL19" i="27"/>
  <c r="CL11" i="27"/>
  <c r="DM41" i="27"/>
  <c r="DN41" i="27" s="1"/>
  <c r="DM60" i="27"/>
  <c r="DN60" i="27" s="1"/>
  <c r="DZ60" i="27" s="1"/>
  <c r="CZ5" i="27"/>
  <c r="DV62" i="27"/>
  <c r="DO62" i="27"/>
  <c r="DI70" i="27"/>
  <c r="DE70" i="27"/>
  <c r="DA70" i="27"/>
  <c r="DL70" i="27"/>
  <c r="DH70" i="27"/>
  <c r="DD70" i="27"/>
  <c r="DK70" i="27"/>
  <c r="DG70" i="27"/>
  <c r="DC70" i="27"/>
  <c r="DJ70" i="27"/>
  <c r="DF70" i="27"/>
  <c r="DB70" i="27"/>
  <c r="DK76" i="27"/>
  <c r="DG76" i="27"/>
  <c r="DC76" i="27"/>
  <c r="DI76" i="27"/>
  <c r="DE76" i="27"/>
  <c r="DA76" i="27"/>
  <c r="DF76" i="27"/>
  <c r="DL76" i="27"/>
  <c r="DD76" i="27"/>
  <c r="DJ76" i="27"/>
  <c r="DB76" i="27"/>
  <c r="DH76" i="27"/>
  <c r="DJ83" i="27"/>
  <c r="DF83" i="27"/>
  <c r="DB83" i="27"/>
  <c r="DI83" i="27"/>
  <c r="DE83" i="27"/>
  <c r="DA83" i="27"/>
  <c r="DL83" i="27"/>
  <c r="DD83" i="27"/>
  <c r="DH83" i="27"/>
  <c r="DG83" i="27"/>
  <c r="DK83" i="27"/>
  <c r="DC83" i="27"/>
  <c r="DI81" i="27"/>
  <c r="DE81" i="27"/>
  <c r="DA81" i="27"/>
  <c r="DK81" i="27"/>
  <c r="DG81" i="27"/>
  <c r="DC81" i="27"/>
  <c r="DH81" i="27"/>
  <c r="DL81" i="27"/>
  <c r="DD81" i="27"/>
  <c r="DB81" i="27"/>
  <c r="DJ81" i="27"/>
  <c r="DF81" i="27"/>
  <c r="DJ71" i="27"/>
  <c r="DF71" i="27"/>
  <c r="DB71" i="27"/>
  <c r="DL71" i="27"/>
  <c r="DH71" i="27"/>
  <c r="DD71" i="27"/>
  <c r="DE71" i="27"/>
  <c r="DK71" i="27"/>
  <c r="DC71" i="27"/>
  <c r="DI71" i="27"/>
  <c r="DA71" i="27"/>
  <c r="DG71" i="27"/>
  <c r="DL69" i="27"/>
  <c r="DH69" i="27"/>
  <c r="DD69" i="27"/>
  <c r="DK69" i="27"/>
  <c r="DG69" i="27"/>
  <c r="DC69" i="27"/>
  <c r="DJ69" i="27"/>
  <c r="DF69" i="27"/>
  <c r="DB69" i="27"/>
  <c r="DI69" i="27"/>
  <c r="DE69" i="27"/>
  <c r="DA69" i="27"/>
  <c r="DJ75" i="27"/>
  <c r="DF75" i="27"/>
  <c r="DB75" i="27"/>
  <c r="DL75" i="27"/>
  <c r="DH75" i="27"/>
  <c r="DD75" i="27"/>
  <c r="DE75" i="27"/>
  <c r="DK75" i="27"/>
  <c r="DC75" i="27"/>
  <c r="DI75" i="27"/>
  <c r="DA75" i="27"/>
  <c r="DG75" i="27"/>
  <c r="DK88" i="27"/>
  <c r="DG88" i="27"/>
  <c r="DC88" i="27"/>
  <c r="DI88" i="27"/>
  <c r="DE88" i="27"/>
  <c r="DA88" i="27"/>
  <c r="DH88" i="27"/>
  <c r="DF88" i="27"/>
  <c r="DD88" i="27"/>
  <c r="DB88" i="27"/>
  <c r="DJ88" i="27"/>
  <c r="DL88" i="27"/>
  <c r="DJ55" i="27"/>
  <c r="DF55" i="27"/>
  <c r="DB55" i="27"/>
  <c r="DL55" i="27"/>
  <c r="DH55" i="27"/>
  <c r="DD55" i="27"/>
  <c r="DG55" i="27"/>
  <c r="DE55" i="27"/>
  <c r="DK55" i="27"/>
  <c r="DC55" i="27"/>
  <c r="DI55" i="27"/>
  <c r="DA55" i="27"/>
  <c r="DJ40" i="27"/>
  <c r="DF40" i="27"/>
  <c r="DB40" i="27"/>
  <c r="DI40" i="27"/>
  <c r="DE40" i="27"/>
  <c r="DA40" i="27"/>
  <c r="DL40" i="27"/>
  <c r="DH40" i="27"/>
  <c r="DD40" i="27"/>
  <c r="DK40" i="27"/>
  <c r="DG40" i="27"/>
  <c r="DC40" i="27"/>
  <c r="DL80" i="27"/>
  <c r="DH80" i="27"/>
  <c r="DD80" i="27"/>
  <c r="DJ80" i="27"/>
  <c r="DF80" i="27"/>
  <c r="DB80" i="27"/>
  <c r="DG80" i="27"/>
  <c r="DK80" i="27"/>
  <c r="DC80" i="27"/>
  <c r="DA80" i="27"/>
  <c r="DI80" i="27"/>
  <c r="DE80" i="27"/>
  <c r="DK46" i="27"/>
  <c r="DG46" i="27"/>
  <c r="DC46" i="27"/>
  <c r="DJ46" i="27"/>
  <c r="DF46" i="27"/>
  <c r="DB46" i="27"/>
  <c r="DI46" i="27"/>
  <c r="DE46" i="27"/>
  <c r="DA46" i="27"/>
  <c r="DL46" i="27"/>
  <c r="DH46" i="27"/>
  <c r="DD46" i="27"/>
  <c r="DM57" i="27"/>
  <c r="DN57" i="27" s="1"/>
  <c r="DK37" i="27"/>
  <c r="DG37" i="27"/>
  <c r="DC37" i="27"/>
  <c r="DJ37" i="27"/>
  <c r="DF37" i="27"/>
  <c r="DB37" i="27"/>
  <c r="DI37" i="27"/>
  <c r="DE37" i="27"/>
  <c r="DA37" i="27"/>
  <c r="DL37" i="27"/>
  <c r="DH37" i="27"/>
  <c r="DD37" i="27"/>
  <c r="DM51" i="27"/>
  <c r="DN51" i="27" s="1"/>
  <c r="DM58" i="27"/>
  <c r="DN58" i="27" s="1"/>
  <c r="DJ49" i="27"/>
  <c r="DF49" i="27"/>
  <c r="DB49" i="27"/>
  <c r="DI49" i="27"/>
  <c r="DE49" i="27"/>
  <c r="DA49" i="27"/>
  <c r="DL49" i="27"/>
  <c r="DH49" i="27"/>
  <c r="DD49" i="27"/>
  <c r="DK49" i="27"/>
  <c r="DG49" i="27"/>
  <c r="DC49" i="27"/>
  <c r="DJ82" i="27"/>
  <c r="DF82" i="27"/>
  <c r="DB82" i="27"/>
  <c r="DL82" i="27"/>
  <c r="DH82" i="27"/>
  <c r="DD82" i="27"/>
  <c r="DG82" i="27"/>
  <c r="DK82" i="27"/>
  <c r="DC82" i="27"/>
  <c r="DA82" i="27"/>
  <c r="DI82" i="27"/>
  <c r="DE82" i="27"/>
  <c r="DI48" i="27"/>
  <c r="DE48" i="27"/>
  <c r="DA48" i="27"/>
  <c r="DL48" i="27"/>
  <c r="DH48" i="27"/>
  <c r="DD48" i="27"/>
  <c r="DK48" i="27"/>
  <c r="DG48" i="27"/>
  <c r="DC48" i="27"/>
  <c r="DJ48" i="27"/>
  <c r="DF48" i="27"/>
  <c r="DB48" i="27"/>
  <c r="DL47" i="27"/>
  <c r="DH47" i="27"/>
  <c r="DD47" i="27"/>
  <c r="DK47" i="27"/>
  <c r="DG47" i="27"/>
  <c r="DC47" i="27"/>
  <c r="DJ47" i="27"/>
  <c r="DF47" i="27"/>
  <c r="DB47" i="27"/>
  <c r="DI47" i="27"/>
  <c r="DE47" i="27"/>
  <c r="DA47" i="27"/>
  <c r="DW41" i="27"/>
  <c r="DS41" i="27"/>
  <c r="DO41" i="27"/>
  <c r="DZ41" i="27"/>
  <c r="DV41" i="27"/>
  <c r="DR41" i="27"/>
  <c r="DY41" i="27"/>
  <c r="DU41" i="27"/>
  <c r="DQ41" i="27"/>
  <c r="DX41" i="27"/>
  <c r="DT41" i="27"/>
  <c r="DP41" i="27"/>
  <c r="DI86" i="27"/>
  <c r="DE86" i="27"/>
  <c r="DA86" i="27"/>
  <c r="DK86" i="27"/>
  <c r="DG86" i="27"/>
  <c r="DC86" i="27"/>
  <c r="DH86" i="27"/>
  <c r="DF86" i="27"/>
  <c r="DL86" i="27"/>
  <c r="DJ86" i="27"/>
  <c r="DB86" i="27"/>
  <c r="DD86" i="27"/>
  <c r="DP60" i="27"/>
  <c r="DY60" i="27"/>
  <c r="DL45" i="27"/>
  <c r="DH45" i="27"/>
  <c r="DD45" i="27"/>
  <c r="DK45" i="27"/>
  <c r="DG45" i="27"/>
  <c r="DC45" i="27"/>
  <c r="DJ45" i="27"/>
  <c r="DF45" i="27"/>
  <c r="DB45" i="27"/>
  <c r="DI45" i="27"/>
  <c r="DE45" i="27"/>
  <c r="DA45" i="27"/>
  <c r="DL66" i="27"/>
  <c r="DH66" i="27"/>
  <c r="DD66" i="27"/>
  <c r="DJ66" i="27"/>
  <c r="DF66" i="27"/>
  <c r="DB66" i="27"/>
  <c r="DE66" i="27"/>
  <c r="DK66" i="27"/>
  <c r="DC66" i="27"/>
  <c r="DI66" i="27"/>
  <c r="DA66" i="27"/>
  <c r="DG66" i="27"/>
  <c r="DL53" i="27"/>
  <c r="DH53" i="27"/>
  <c r="DD53" i="27"/>
  <c r="DJ53" i="27"/>
  <c r="DF53" i="27"/>
  <c r="DB53" i="27"/>
  <c r="DG53" i="27"/>
  <c r="DE53" i="27"/>
  <c r="DK53" i="27"/>
  <c r="DC53" i="27"/>
  <c r="DI53" i="27"/>
  <c r="DA53" i="27"/>
  <c r="DK68" i="27"/>
  <c r="DG68" i="27"/>
  <c r="DC68" i="27"/>
  <c r="DJ68" i="27"/>
  <c r="DF68" i="27"/>
  <c r="DB68" i="27"/>
  <c r="DI68" i="27"/>
  <c r="DE68" i="27"/>
  <c r="DA68" i="27"/>
  <c r="DL68" i="27"/>
  <c r="DH68" i="27"/>
  <c r="DD68" i="27"/>
  <c r="DM85" i="27"/>
  <c r="DN85" i="27" s="1"/>
  <c r="DI63" i="27"/>
  <c r="DE63" i="27"/>
  <c r="DA63" i="27"/>
  <c r="DK63" i="27"/>
  <c r="DG63" i="27"/>
  <c r="DC63" i="27"/>
  <c r="DL63" i="27"/>
  <c r="DD63" i="27"/>
  <c r="DH63" i="27"/>
  <c r="DJ63" i="27"/>
  <c r="DF63" i="27"/>
  <c r="DB63" i="27"/>
  <c r="DI38" i="27"/>
  <c r="DE38" i="27"/>
  <c r="DA38" i="27"/>
  <c r="DL38" i="27"/>
  <c r="DH38" i="27"/>
  <c r="DD38" i="27"/>
  <c r="DK38" i="27"/>
  <c r="DG38" i="27"/>
  <c r="DC38" i="27"/>
  <c r="DJ38" i="27"/>
  <c r="DF38" i="27"/>
  <c r="DB38" i="27"/>
  <c r="CK8" i="27"/>
  <c r="CL10" i="27"/>
  <c r="DI54" i="27"/>
  <c r="DE54" i="27"/>
  <c r="DA54" i="27"/>
  <c r="DK54" i="27"/>
  <c r="DG54" i="27"/>
  <c r="DC54" i="27"/>
  <c r="DH54" i="27"/>
  <c r="DF54" i="27"/>
  <c r="DL54" i="27"/>
  <c r="DD54" i="27"/>
  <c r="DJ54" i="27"/>
  <c r="DB54" i="27"/>
  <c r="DI77" i="27"/>
  <c r="DE77" i="27"/>
  <c r="DA77" i="27"/>
  <c r="DK77" i="27"/>
  <c r="DG77" i="27"/>
  <c r="DC77" i="27"/>
  <c r="DL77" i="27"/>
  <c r="DD77" i="27"/>
  <c r="DJ77" i="27"/>
  <c r="DB77" i="27"/>
  <c r="DH77" i="27"/>
  <c r="DF77" i="27"/>
  <c r="DK44" i="27"/>
  <c r="DG44" i="27"/>
  <c r="DC44" i="27"/>
  <c r="DJ44" i="27"/>
  <c r="DF44" i="27"/>
  <c r="DB44" i="27"/>
  <c r="DI44" i="27"/>
  <c r="DE44" i="27"/>
  <c r="DA44" i="27"/>
  <c r="DL44" i="27"/>
  <c r="DH44" i="27"/>
  <c r="DD44" i="27"/>
  <c r="DK84" i="27"/>
  <c r="DG84" i="27"/>
  <c r="DC84" i="27"/>
  <c r="DJ84" i="27"/>
  <c r="DF84" i="27"/>
  <c r="DB84" i="27"/>
  <c r="DL84" i="27"/>
  <c r="DD84" i="27"/>
  <c r="DH84" i="27"/>
  <c r="DE84" i="27"/>
  <c r="DI84" i="27"/>
  <c r="DA84" i="27"/>
  <c r="DM73" i="27"/>
  <c r="DN73" i="27" s="1"/>
  <c r="DI50" i="27"/>
  <c r="DE50" i="27"/>
  <c r="DA50" i="27"/>
  <c r="DL50" i="27"/>
  <c r="DH50" i="27"/>
  <c r="DD50" i="27"/>
  <c r="DK50" i="27"/>
  <c r="DG50" i="27"/>
  <c r="DC50" i="27"/>
  <c r="DJ50" i="27"/>
  <c r="DF50" i="27"/>
  <c r="DB50" i="27"/>
  <c r="DI42" i="27"/>
  <c r="DE42" i="27"/>
  <c r="DA42" i="27"/>
  <c r="DL42" i="27"/>
  <c r="DH42" i="27"/>
  <c r="DD42" i="27"/>
  <c r="DK42" i="27"/>
  <c r="DG42" i="27"/>
  <c r="DC42" i="27"/>
  <c r="DJ42" i="27"/>
  <c r="DF42" i="27"/>
  <c r="DB42" i="27"/>
  <c r="DJ87" i="27"/>
  <c r="DF87" i="27"/>
  <c r="DB87" i="27"/>
  <c r="DL87" i="27"/>
  <c r="DH87" i="27"/>
  <c r="DD87" i="27"/>
  <c r="DG87" i="27"/>
  <c r="DE87" i="27"/>
  <c r="DI87" i="27"/>
  <c r="DC87" i="27"/>
  <c r="DK87" i="27"/>
  <c r="DA87" i="27"/>
  <c r="DK65" i="27"/>
  <c r="DG65" i="27"/>
  <c r="DC65" i="27"/>
  <c r="DI65" i="27"/>
  <c r="DE65" i="27"/>
  <c r="DA65" i="27"/>
  <c r="DF65" i="27"/>
  <c r="DL65" i="27"/>
  <c r="DD65" i="27"/>
  <c r="DJ65" i="27"/>
  <c r="DB65" i="27"/>
  <c r="DH65" i="27"/>
  <c r="DI74" i="27"/>
  <c r="DE74" i="27"/>
  <c r="DA74" i="27"/>
  <c r="DK74" i="27"/>
  <c r="DG74" i="27"/>
  <c r="DC74" i="27"/>
  <c r="DF74" i="27"/>
  <c r="DL74" i="27"/>
  <c r="DD74" i="27"/>
  <c r="DJ74" i="27"/>
  <c r="DB74" i="27"/>
  <c r="DH74" i="27"/>
  <c r="DJ64" i="27"/>
  <c r="DF64" i="27"/>
  <c r="DB64" i="27"/>
  <c r="DL64" i="27"/>
  <c r="DH64" i="27"/>
  <c r="DD64" i="27"/>
  <c r="DE64" i="27"/>
  <c r="DK64" i="27"/>
  <c r="DC64" i="27"/>
  <c r="DI64" i="27"/>
  <c r="DA64" i="27"/>
  <c r="DG64" i="27"/>
  <c r="DK52" i="27"/>
  <c r="DG52" i="27"/>
  <c r="DC52" i="27"/>
  <c r="DI52" i="27"/>
  <c r="DE52" i="27"/>
  <c r="DA52" i="27"/>
  <c r="DH52" i="27"/>
  <c r="DF52" i="27"/>
  <c r="DL52" i="27"/>
  <c r="DD52" i="27"/>
  <c r="DJ52" i="27"/>
  <c r="DB52" i="27"/>
  <c r="DK61" i="27"/>
  <c r="DG61" i="27"/>
  <c r="DC61" i="27"/>
  <c r="DI61" i="27"/>
  <c r="DE61" i="27"/>
  <c r="DA61" i="27"/>
  <c r="DL61" i="27"/>
  <c r="DD61" i="27"/>
  <c r="DH61" i="27"/>
  <c r="DJ61" i="27"/>
  <c r="DF61" i="27"/>
  <c r="DB61" i="27"/>
  <c r="DJ67" i="27"/>
  <c r="DF67" i="27"/>
  <c r="DB67" i="27"/>
  <c r="DI67" i="27"/>
  <c r="DE67" i="27"/>
  <c r="DA67" i="27"/>
  <c r="DL67" i="27"/>
  <c r="DH67" i="27"/>
  <c r="DD67" i="27"/>
  <c r="DK67" i="27"/>
  <c r="DG67" i="27"/>
  <c r="DC67" i="27"/>
  <c r="DM79" i="27"/>
  <c r="DN79" i="27" s="1"/>
  <c r="DK56" i="27"/>
  <c r="DG56" i="27"/>
  <c r="DC56" i="27"/>
  <c r="DI56" i="27"/>
  <c r="DE56" i="27"/>
  <c r="DA56" i="27"/>
  <c r="DH56" i="27"/>
  <c r="DF56" i="27"/>
  <c r="DL56" i="27"/>
  <c r="DD56" i="27"/>
  <c r="DJ56" i="27"/>
  <c r="DB56" i="27"/>
  <c r="DK72" i="27"/>
  <c r="DG72" i="27"/>
  <c r="DC72" i="27"/>
  <c r="DI72" i="27"/>
  <c r="DE72" i="27"/>
  <c r="DA72" i="27"/>
  <c r="DF72" i="27"/>
  <c r="DL72" i="27"/>
  <c r="DD72" i="27"/>
  <c r="DJ72" i="27"/>
  <c r="DB72" i="27"/>
  <c r="DH72" i="27"/>
  <c r="DJ43" i="27"/>
  <c r="DF43" i="27"/>
  <c r="DB43" i="27"/>
  <c r="DI43" i="27"/>
  <c r="DE43" i="27"/>
  <c r="DA43" i="27"/>
  <c r="DL43" i="27"/>
  <c r="DH43" i="27"/>
  <c r="DD43" i="27"/>
  <c r="DK43" i="27"/>
  <c r="DG43" i="27"/>
  <c r="DC43" i="27"/>
  <c r="DJ78" i="27"/>
  <c r="DF78" i="27"/>
  <c r="DB78" i="27"/>
  <c r="DL78" i="27"/>
  <c r="DH78" i="27"/>
  <c r="DD78" i="27"/>
  <c r="DK78" i="27"/>
  <c r="DC78" i="27"/>
  <c r="DI78" i="27"/>
  <c r="DA78" i="27"/>
  <c r="DG78" i="27"/>
  <c r="DE78" i="27"/>
  <c r="DM39" i="27"/>
  <c r="DN39" i="27" s="1"/>
  <c r="DI59" i="27"/>
  <c r="DE59" i="27"/>
  <c r="DA59" i="27"/>
  <c r="DK59" i="27"/>
  <c r="DG59" i="27"/>
  <c r="DC59" i="27"/>
  <c r="DL59" i="27"/>
  <c r="DD59" i="27"/>
  <c r="DH59" i="27"/>
  <c r="DJ59" i="27"/>
  <c r="DF59" i="27"/>
  <c r="DB59" i="27"/>
  <c r="DV60" i="27" l="1"/>
  <c r="DU62" i="27"/>
  <c r="DS62" i="27"/>
  <c r="DP62" i="27"/>
  <c r="DQ60" i="27"/>
  <c r="DW60" i="27"/>
  <c r="DX60" i="27"/>
  <c r="DQ62" i="27"/>
  <c r="DY62" i="27"/>
  <c r="DW62" i="27"/>
  <c r="DR62" i="27"/>
  <c r="DZ62" i="27"/>
  <c r="DT62" i="27"/>
  <c r="CQ13" i="27"/>
  <c r="CW13" i="27"/>
  <c r="CO13" i="27"/>
  <c r="CR13" i="27"/>
  <c r="CU13" i="27"/>
  <c r="CM13" i="27"/>
  <c r="CT13" i="27"/>
  <c r="CS13" i="27"/>
  <c r="CV13" i="27"/>
  <c r="CN13" i="27"/>
  <c r="CX13" i="27"/>
  <c r="CP13" i="27"/>
  <c r="CR26" i="27"/>
  <c r="CX26" i="27"/>
  <c r="CP26" i="27"/>
  <c r="CS26" i="27"/>
  <c r="CQ26" i="27"/>
  <c r="CM26" i="27"/>
  <c r="CV26" i="27"/>
  <c r="CN26" i="27"/>
  <c r="CT26" i="27"/>
  <c r="CW26" i="27"/>
  <c r="CU26" i="27"/>
  <c r="CO26" i="27"/>
  <c r="CV34" i="27"/>
  <c r="CN34" i="27"/>
  <c r="CQ34" i="27"/>
  <c r="CX34" i="27"/>
  <c r="CP34" i="27"/>
  <c r="CS34" i="27"/>
  <c r="CR34" i="27"/>
  <c r="CU34" i="27"/>
  <c r="CM34" i="27"/>
  <c r="CT34" i="27"/>
  <c r="CW34" i="27"/>
  <c r="CO34" i="27"/>
  <c r="CX32" i="27"/>
  <c r="CP32" i="27"/>
  <c r="CS32" i="27"/>
  <c r="CV32" i="27"/>
  <c r="CN32" i="27"/>
  <c r="CQ32" i="27"/>
  <c r="CT32" i="27"/>
  <c r="CW32" i="27"/>
  <c r="CO32" i="27"/>
  <c r="CR32" i="27"/>
  <c r="CU32" i="27"/>
  <c r="CM32" i="27"/>
  <c r="CX22" i="27"/>
  <c r="CP22" i="27"/>
  <c r="CS22" i="27"/>
  <c r="CV22" i="27"/>
  <c r="CN22" i="27"/>
  <c r="CQ22" i="27"/>
  <c r="CT22" i="27"/>
  <c r="CW22" i="27"/>
  <c r="CO22" i="27"/>
  <c r="CR22" i="27"/>
  <c r="CU22" i="27"/>
  <c r="CM22" i="27"/>
  <c r="CV20" i="27"/>
  <c r="CN20" i="27"/>
  <c r="CQ20" i="27"/>
  <c r="CX20" i="27"/>
  <c r="CP20" i="27"/>
  <c r="CS20" i="27"/>
  <c r="CR20" i="27"/>
  <c r="CU20" i="27"/>
  <c r="CM20" i="27"/>
  <c r="CT20" i="27"/>
  <c r="CW20" i="27"/>
  <c r="CO20" i="27"/>
  <c r="CW25" i="27"/>
  <c r="CO25" i="27"/>
  <c r="CR25" i="27"/>
  <c r="CU25" i="27"/>
  <c r="CM25" i="27"/>
  <c r="CT25" i="27"/>
  <c r="CS25" i="27"/>
  <c r="CV25" i="27"/>
  <c r="CN25" i="27"/>
  <c r="CQ25" i="27"/>
  <c r="CX25" i="27"/>
  <c r="CP25" i="27"/>
  <c r="CT36" i="27"/>
  <c r="CW36" i="27"/>
  <c r="CO36" i="27"/>
  <c r="CR36" i="27"/>
  <c r="CU36" i="27"/>
  <c r="CM36" i="27"/>
  <c r="CX36" i="27"/>
  <c r="CP36" i="27"/>
  <c r="CS36" i="27"/>
  <c r="CV36" i="27"/>
  <c r="CN36" i="27"/>
  <c r="CQ36" i="27"/>
  <c r="CW35" i="27"/>
  <c r="CO35" i="27"/>
  <c r="CR35" i="27"/>
  <c r="CU35" i="27"/>
  <c r="CM35" i="27"/>
  <c r="CT35" i="27"/>
  <c r="CS35" i="27"/>
  <c r="CV35" i="27"/>
  <c r="CN35" i="27"/>
  <c r="CQ35" i="27"/>
  <c r="CX35" i="27"/>
  <c r="CP35" i="27"/>
  <c r="CQ29" i="27"/>
  <c r="CX29" i="27"/>
  <c r="CP29" i="27"/>
  <c r="CS29" i="27"/>
  <c r="CV29" i="27"/>
  <c r="CN29" i="27"/>
  <c r="CU29" i="27"/>
  <c r="CM29" i="27"/>
  <c r="CT29" i="27"/>
  <c r="CW29" i="27"/>
  <c r="CR29" i="27"/>
  <c r="CO29" i="27"/>
  <c r="CW21" i="27"/>
  <c r="CO21" i="27"/>
  <c r="CR21" i="27"/>
  <c r="CU21" i="27"/>
  <c r="CM21" i="27"/>
  <c r="CT21" i="27"/>
  <c r="CS21" i="27"/>
  <c r="CV21" i="27"/>
  <c r="CN21" i="27"/>
  <c r="CQ21" i="27"/>
  <c r="CX21" i="27"/>
  <c r="CP21" i="27"/>
  <c r="CW27" i="27"/>
  <c r="CO27" i="27"/>
  <c r="CR27" i="27"/>
  <c r="CU27" i="27"/>
  <c r="CM27" i="27"/>
  <c r="CT27" i="27"/>
  <c r="CS27" i="27"/>
  <c r="CV27" i="27"/>
  <c r="CN27" i="27"/>
  <c r="CQ27" i="27"/>
  <c r="CX27" i="27"/>
  <c r="CP27" i="27"/>
  <c r="CU33" i="27"/>
  <c r="CM33" i="27"/>
  <c r="CT33" i="27"/>
  <c r="CW33" i="27"/>
  <c r="CO33" i="27"/>
  <c r="CR33" i="27"/>
  <c r="CQ33" i="27"/>
  <c r="CX33" i="27"/>
  <c r="CP33" i="27"/>
  <c r="CS33" i="27"/>
  <c r="CV33" i="27"/>
  <c r="CN33" i="27"/>
  <c r="CV30" i="27"/>
  <c r="CN30" i="27"/>
  <c r="CQ30" i="27"/>
  <c r="CX30" i="27"/>
  <c r="CP30" i="27"/>
  <c r="CS30" i="27"/>
  <c r="CR30" i="27"/>
  <c r="CU30" i="27"/>
  <c r="CM30" i="27"/>
  <c r="CT30" i="27"/>
  <c r="CW30" i="27"/>
  <c r="CO30" i="27"/>
  <c r="CW31" i="27"/>
  <c r="CO31" i="27"/>
  <c r="CR31" i="27"/>
  <c r="CU31" i="27"/>
  <c r="CM31" i="27"/>
  <c r="CT31" i="27"/>
  <c r="CS31" i="27"/>
  <c r="CV31" i="27"/>
  <c r="CN31" i="27"/>
  <c r="CQ31" i="27"/>
  <c r="CX31" i="27"/>
  <c r="CP31" i="27"/>
  <c r="CV24" i="27"/>
  <c r="CN24" i="27"/>
  <c r="CQ24" i="27"/>
  <c r="CX24" i="27"/>
  <c r="CR24" i="27"/>
  <c r="CU24" i="27"/>
  <c r="CM24" i="27"/>
  <c r="CT24" i="27"/>
  <c r="CW24" i="27"/>
  <c r="CS24" i="27"/>
  <c r="CP24" i="27"/>
  <c r="CO24" i="27"/>
  <c r="CQ23" i="27"/>
  <c r="CX23" i="27"/>
  <c r="CP23" i="27"/>
  <c r="CS23" i="27"/>
  <c r="CV23" i="27"/>
  <c r="CN23" i="27"/>
  <c r="CU23" i="27"/>
  <c r="CM23" i="27"/>
  <c r="CT23" i="27"/>
  <c r="CW23" i="27"/>
  <c r="CO23" i="27"/>
  <c r="CR23" i="27"/>
  <c r="DU60" i="27"/>
  <c r="DO60" i="27"/>
  <c r="DS60" i="27"/>
  <c r="DT60" i="27"/>
  <c r="DR60" i="27"/>
  <c r="DM44" i="27"/>
  <c r="DN44" i="27" s="1"/>
  <c r="DW44" i="27" s="1"/>
  <c r="DM53" i="27"/>
  <c r="DN53" i="27" s="1"/>
  <c r="DX53" i="27" s="1"/>
  <c r="DM45" i="27"/>
  <c r="DN45" i="27" s="1"/>
  <c r="DT45" i="27" s="1"/>
  <c r="DM47" i="27"/>
  <c r="DN47" i="27" s="1"/>
  <c r="DX47" i="27" s="1"/>
  <c r="DM55" i="27"/>
  <c r="DN55" i="27" s="1"/>
  <c r="DZ55" i="27" s="1"/>
  <c r="DM69" i="27"/>
  <c r="DN69" i="27" s="1"/>
  <c r="CQ11" i="27"/>
  <c r="CP11" i="27"/>
  <c r="CV11" i="27"/>
  <c r="CU11" i="27"/>
  <c r="CM11" i="27"/>
  <c r="CT11" i="27"/>
  <c r="CW11" i="27"/>
  <c r="CO11" i="27"/>
  <c r="CR11" i="27"/>
  <c r="CX11" i="27"/>
  <c r="CS11" i="27"/>
  <c r="CN11" i="27"/>
  <c r="CU12" i="27"/>
  <c r="CO12" i="27"/>
  <c r="CV12" i="27"/>
  <c r="CN12" i="27"/>
  <c r="CQ12" i="27"/>
  <c r="CX12" i="27"/>
  <c r="CP12" i="27"/>
  <c r="CS12" i="27"/>
  <c r="CR12" i="27"/>
  <c r="CM12" i="27"/>
  <c r="CT12" i="27"/>
  <c r="CW12" i="27"/>
  <c r="CW17" i="27"/>
  <c r="CO17" i="27"/>
  <c r="CR17" i="27"/>
  <c r="CU17" i="27"/>
  <c r="CM17" i="27"/>
  <c r="CT17" i="27"/>
  <c r="CS17" i="27"/>
  <c r="CV17" i="27"/>
  <c r="CN17" i="27"/>
  <c r="CQ17" i="27"/>
  <c r="CX17" i="27"/>
  <c r="CP17" i="27"/>
  <c r="CR16" i="27"/>
  <c r="CU16" i="27"/>
  <c r="CM16" i="27"/>
  <c r="CT16" i="27"/>
  <c r="CW16" i="27"/>
  <c r="CO16" i="27"/>
  <c r="CV16" i="27"/>
  <c r="CN16" i="27"/>
  <c r="CQ16" i="27"/>
  <c r="CX16" i="27"/>
  <c r="CP16" i="27"/>
  <c r="CS16" i="27"/>
  <c r="CQ19" i="27"/>
  <c r="CX19" i="27"/>
  <c r="CP19" i="27"/>
  <c r="CS19" i="27"/>
  <c r="CV19" i="27"/>
  <c r="CN19" i="27"/>
  <c r="CU19" i="27"/>
  <c r="CM19" i="27"/>
  <c r="CT19" i="27"/>
  <c r="CW19" i="27"/>
  <c r="CO19" i="27"/>
  <c r="CR19" i="27"/>
  <c r="CL3" i="27"/>
  <c r="CT14" i="27"/>
  <c r="CW14" i="27"/>
  <c r="CO14" i="27"/>
  <c r="CR14" i="27"/>
  <c r="CU14" i="27"/>
  <c r="CM14" i="27"/>
  <c r="CX14" i="27"/>
  <c r="CP14" i="27"/>
  <c r="CS14" i="27"/>
  <c r="CV14" i="27"/>
  <c r="CN14" i="27"/>
  <c r="CQ14" i="27"/>
  <c r="CQ15" i="27"/>
  <c r="CT15" i="27"/>
  <c r="CR15" i="27"/>
  <c r="CU15" i="27"/>
  <c r="CO15" i="27"/>
  <c r="CM15" i="27"/>
  <c r="CV15" i="27"/>
  <c r="CP15" i="27"/>
  <c r="CW15" i="27"/>
  <c r="CN15" i="27"/>
  <c r="CS15" i="27"/>
  <c r="CX15" i="27"/>
  <c r="CX18" i="27"/>
  <c r="CS18" i="27"/>
  <c r="CN18" i="27"/>
  <c r="CT18" i="27"/>
  <c r="CW18" i="27"/>
  <c r="CO18" i="27"/>
  <c r="CR18" i="27"/>
  <c r="CU18" i="27"/>
  <c r="CM18" i="27"/>
  <c r="CP18" i="27"/>
  <c r="CV18" i="27"/>
  <c r="CQ18" i="27"/>
  <c r="DM78" i="27"/>
  <c r="DN78" i="27" s="1"/>
  <c r="DW39" i="27"/>
  <c r="DS39" i="27"/>
  <c r="DO39" i="27"/>
  <c r="DZ39" i="27"/>
  <c r="DV39" i="27"/>
  <c r="DR39" i="27"/>
  <c r="DY39" i="27"/>
  <c r="DU39" i="27"/>
  <c r="DQ39" i="27"/>
  <c r="DX39" i="27"/>
  <c r="DT39" i="27"/>
  <c r="DP39" i="27"/>
  <c r="DM72" i="27"/>
  <c r="DN72" i="27" s="1"/>
  <c r="DM65" i="27"/>
  <c r="DN65" i="27" s="1"/>
  <c r="DM84" i="27"/>
  <c r="DN84" i="27" s="1"/>
  <c r="CW10" i="27"/>
  <c r="CS10" i="27"/>
  <c r="CO10" i="27"/>
  <c r="CL8" i="27"/>
  <c r="CV10" i="27"/>
  <c r="CR10" i="27"/>
  <c r="CN10" i="27"/>
  <c r="CL1" i="27"/>
  <c r="CU10" i="27"/>
  <c r="CQ10" i="27"/>
  <c r="CM10" i="27"/>
  <c r="CX10" i="27"/>
  <c r="CT10" i="27"/>
  <c r="CP10" i="27"/>
  <c r="DY85" i="27"/>
  <c r="DU85" i="27"/>
  <c r="DQ85" i="27"/>
  <c r="DX85" i="27"/>
  <c r="DT85" i="27"/>
  <c r="DP85" i="27"/>
  <c r="DZ85" i="27"/>
  <c r="DR85" i="27"/>
  <c r="DW85" i="27"/>
  <c r="DO85" i="27"/>
  <c r="DS85" i="27"/>
  <c r="DV85" i="27"/>
  <c r="DM68" i="27"/>
  <c r="DN68" i="27" s="1"/>
  <c r="EA60" i="27"/>
  <c r="EB60" i="27" s="1"/>
  <c r="DM82" i="27"/>
  <c r="DN82" i="27" s="1"/>
  <c r="DM49" i="27"/>
  <c r="DN49" i="27" s="1"/>
  <c r="DM37" i="27"/>
  <c r="DN37" i="27" s="1"/>
  <c r="DM80" i="27"/>
  <c r="DN80" i="27" s="1"/>
  <c r="DM40" i="27"/>
  <c r="DN40" i="27" s="1"/>
  <c r="DM75" i="27"/>
  <c r="DN75" i="27" s="1"/>
  <c r="DM71" i="27"/>
  <c r="DN71" i="27" s="1"/>
  <c r="DM81" i="27"/>
  <c r="DN81" i="27" s="1"/>
  <c r="DM56" i="27"/>
  <c r="DN56" i="27" s="1"/>
  <c r="DS44" i="27"/>
  <c r="DZ44" i="27"/>
  <c r="DR44" i="27"/>
  <c r="DU44" i="27"/>
  <c r="DX44" i="27"/>
  <c r="DP44" i="27"/>
  <c r="DT53" i="27"/>
  <c r="DZ53" i="27"/>
  <c r="DR53" i="27"/>
  <c r="DO53" i="27"/>
  <c r="DS53" i="27"/>
  <c r="DQ53" i="27"/>
  <c r="DX45" i="27"/>
  <c r="DP45" i="27"/>
  <c r="DS45" i="27"/>
  <c r="DZ45" i="27"/>
  <c r="DR45" i="27"/>
  <c r="DU45" i="27"/>
  <c r="DT47" i="27"/>
  <c r="DW47" i="27"/>
  <c r="DO47" i="27"/>
  <c r="DV47" i="27"/>
  <c r="DY47" i="27"/>
  <c r="DQ47" i="27"/>
  <c r="DW57" i="27"/>
  <c r="DS57" i="27"/>
  <c r="DO57" i="27"/>
  <c r="DY57" i="27"/>
  <c r="DU57" i="27"/>
  <c r="DQ57" i="27"/>
  <c r="DT57" i="27"/>
  <c r="DX57" i="27"/>
  <c r="DP57" i="27"/>
  <c r="DZ57" i="27"/>
  <c r="DV57" i="27"/>
  <c r="DR57" i="27"/>
  <c r="DM46" i="27"/>
  <c r="DN46" i="27" s="1"/>
  <c r="DM88" i="27"/>
  <c r="DN88" i="27" s="1"/>
  <c r="DM83" i="27"/>
  <c r="DN83" i="27" s="1"/>
  <c r="DM76" i="27"/>
  <c r="DN76" i="27" s="1"/>
  <c r="DM70" i="27"/>
  <c r="DN70" i="27" s="1"/>
  <c r="DM59" i="27"/>
  <c r="DN59" i="27" s="1"/>
  <c r="DM67" i="27"/>
  <c r="DN67" i="27" s="1"/>
  <c r="DM64" i="27"/>
  <c r="DN64" i="27" s="1"/>
  <c r="DM74" i="27"/>
  <c r="DN74" i="27" s="1"/>
  <c r="DM87" i="27"/>
  <c r="DN87" i="27" s="1"/>
  <c r="DX73" i="27"/>
  <c r="DT73" i="27"/>
  <c r="DP73" i="27"/>
  <c r="DZ73" i="27"/>
  <c r="DV73" i="27"/>
  <c r="DR73" i="27"/>
  <c r="DU73" i="27"/>
  <c r="DS73" i="27"/>
  <c r="DY73" i="27"/>
  <c r="DQ73" i="27"/>
  <c r="DW73" i="27"/>
  <c r="DO73" i="27"/>
  <c r="DM66" i="27"/>
  <c r="DN66" i="27" s="1"/>
  <c r="DM86" i="27"/>
  <c r="DN86" i="27" s="1"/>
  <c r="EA41" i="27"/>
  <c r="EB41" i="27" s="1"/>
  <c r="DM48" i="27"/>
  <c r="DN48" i="27" s="1"/>
  <c r="DX58" i="27"/>
  <c r="DT58" i="27"/>
  <c r="DP58" i="27"/>
  <c r="DZ58" i="27"/>
  <c r="DV58" i="27"/>
  <c r="DR58" i="27"/>
  <c r="DS58" i="27"/>
  <c r="DW58" i="27"/>
  <c r="DO58" i="27"/>
  <c r="DY58" i="27"/>
  <c r="DU58" i="27"/>
  <c r="DQ58" i="27"/>
  <c r="DM43" i="27"/>
  <c r="DN43" i="27" s="1"/>
  <c r="DW79" i="27"/>
  <c r="DS79" i="27"/>
  <c r="DO79" i="27"/>
  <c r="DY79" i="27"/>
  <c r="DU79" i="27"/>
  <c r="DQ79" i="27"/>
  <c r="DX79" i="27"/>
  <c r="DP79" i="27"/>
  <c r="DT79" i="27"/>
  <c r="DR79" i="27"/>
  <c r="DZ79" i="27"/>
  <c r="DV79" i="27"/>
  <c r="DM61" i="27"/>
  <c r="DN61" i="27" s="1"/>
  <c r="DM52" i="27"/>
  <c r="DN52" i="27" s="1"/>
  <c r="DM42" i="27"/>
  <c r="DN42" i="27" s="1"/>
  <c r="DM50" i="27"/>
  <c r="DN50" i="27" s="1"/>
  <c r="DM77" i="27"/>
  <c r="DN77" i="27" s="1"/>
  <c r="DM54" i="27"/>
  <c r="DN54" i="27" s="1"/>
  <c r="DM38" i="27"/>
  <c r="DN38" i="27" s="1"/>
  <c r="DM63" i="27"/>
  <c r="DN63" i="27" s="1"/>
  <c r="DZ51" i="27"/>
  <c r="DV51" i="27"/>
  <c r="DR51" i="27"/>
  <c r="DX51" i="27"/>
  <c r="DT51" i="27"/>
  <c r="DP51" i="27"/>
  <c r="DW51" i="27"/>
  <c r="DO51" i="27"/>
  <c r="DU51" i="27"/>
  <c r="DS51" i="27"/>
  <c r="DY51" i="27"/>
  <c r="DQ51" i="27"/>
  <c r="DV55" i="27"/>
  <c r="DX55" i="27"/>
  <c r="DP55" i="27"/>
  <c r="DO55" i="27"/>
  <c r="DS55" i="27"/>
  <c r="DQ55" i="27"/>
  <c r="DX69" i="27"/>
  <c r="DT69" i="27"/>
  <c r="DP69" i="27"/>
  <c r="DW69" i="27"/>
  <c r="DS69" i="27"/>
  <c r="DO69" i="27"/>
  <c r="DZ69" i="27"/>
  <c r="DV69" i="27"/>
  <c r="DR69" i="27"/>
  <c r="DY69" i="27"/>
  <c r="DU69" i="27"/>
  <c r="DQ69" i="27"/>
  <c r="EA62" i="27"/>
  <c r="EB62" i="27" s="1"/>
  <c r="DU47" i="27" l="1"/>
  <c r="DR47" i="27"/>
  <c r="DZ47" i="27"/>
  <c r="DS47" i="27"/>
  <c r="DP47" i="27"/>
  <c r="DY53" i="27"/>
  <c r="DU53" i="27"/>
  <c r="DW53" i="27"/>
  <c r="DV53" i="27"/>
  <c r="DP53" i="27"/>
  <c r="CY26" i="27"/>
  <c r="CZ26" i="27" s="1"/>
  <c r="CY13" i="27"/>
  <c r="CZ13" i="27" s="1"/>
  <c r="DN4" i="27"/>
  <c r="CT8" i="27"/>
  <c r="CU8" i="27"/>
  <c r="CN8" i="27"/>
  <c r="CV8" i="27"/>
  <c r="CO8" i="27"/>
  <c r="CW8" i="27"/>
  <c r="CY23" i="27"/>
  <c r="CZ23" i="27" s="1"/>
  <c r="CY33" i="27"/>
  <c r="CZ33" i="27" s="1"/>
  <c r="CY29" i="27"/>
  <c r="CZ29" i="27" s="1"/>
  <c r="CY36" i="27"/>
  <c r="CZ36" i="27" s="1"/>
  <c r="CY22" i="27"/>
  <c r="CZ22" i="27" s="1"/>
  <c r="CY32" i="27"/>
  <c r="CZ32" i="27" s="1"/>
  <c r="CY24" i="27"/>
  <c r="CZ24" i="27" s="1"/>
  <c r="CY31" i="27"/>
  <c r="CZ31" i="27" s="1"/>
  <c r="CY30" i="27"/>
  <c r="CZ30" i="27" s="1"/>
  <c r="CY27" i="27"/>
  <c r="CZ27" i="27" s="1"/>
  <c r="CY21" i="27"/>
  <c r="CZ21" i="27" s="1"/>
  <c r="CY35" i="27"/>
  <c r="CZ35" i="27" s="1"/>
  <c r="CY25" i="27"/>
  <c r="CZ25" i="27" s="1"/>
  <c r="CY20" i="27"/>
  <c r="CZ20" i="27" s="1"/>
  <c r="CY34" i="27"/>
  <c r="CZ34" i="27" s="1"/>
  <c r="DY55" i="27"/>
  <c r="DU55" i="27"/>
  <c r="DW55" i="27"/>
  <c r="DT55" i="27"/>
  <c r="DR55" i="27"/>
  <c r="DQ45" i="27"/>
  <c r="DY45" i="27"/>
  <c r="DV45" i="27"/>
  <c r="DO45" i="27"/>
  <c r="DW45" i="27"/>
  <c r="DT44" i="27"/>
  <c r="DQ44" i="27"/>
  <c r="DY44" i="27"/>
  <c r="DV44" i="27"/>
  <c r="DO44" i="27"/>
  <c r="CP8" i="27"/>
  <c r="CX8" i="27"/>
  <c r="CQ8" i="27"/>
  <c r="CR8" i="27"/>
  <c r="EA85" i="27"/>
  <c r="EB85" i="27" s="1"/>
  <c r="CS8" i="27"/>
  <c r="CY18" i="27"/>
  <c r="CZ18" i="27" s="1"/>
  <c r="CY19" i="27"/>
  <c r="CZ19" i="27" s="1"/>
  <c r="CY12" i="27"/>
  <c r="CZ12" i="27" s="1"/>
  <c r="CY15" i="27"/>
  <c r="CZ15" i="27" s="1"/>
  <c r="CY14" i="27"/>
  <c r="CZ14" i="27" s="1"/>
  <c r="CY16" i="27"/>
  <c r="CZ16" i="27" s="1"/>
  <c r="CY17" i="27"/>
  <c r="CZ17" i="27" s="1"/>
  <c r="CY11" i="27"/>
  <c r="CZ11" i="27" s="1"/>
  <c r="DY77" i="27"/>
  <c r="DU77" i="27"/>
  <c r="DQ77" i="27"/>
  <c r="DW77" i="27"/>
  <c r="DS77" i="27"/>
  <c r="DO77" i="27"/>
  <c r="DT77" i="27"/>
  <c r="DZ77" i="27"/>
  <c r="DR77" i="27"/>
  <c r="DX77" i="27"/>
  <c r="DP77" i="27"/>
  <c r="DV77" i="27"/>
  <c r="DY42" i="27"/>
  <c r="DU42" i="27"/>
  <c r="DQ42" i="27"/>
  <c r="DX42" i="27"/>
  <c r="DT42" i="27"/>
  <c r="DP42" i="27"/>
  <c r="DW42" i="27"/>
  <c r="DS42" i="27"/>
  <c r="DO42" i="27"/>
  <c r="DZ42" i="27"/>
  <c r="DV42" i="27"/>
  <c r="DR42" i="27"/>
  <c r="DX76" i="27"/>
  <c r="DT76" i="27"/>
  <c r="DP76" i="27"/>
  <c r="DZ76" i="27"/>
  <c r="DV76" i="27"/>
  <c r="DR76" i="27"/>
  <c r="DY76" i="27"/>
  <c r="DQ76" i="27"/>
  <c r="DW76" i="27"/>
  <c r="DO76" i="27"/>
  <c r="DU76" i="27"/>
  <c r="DS76" i="27"/>
  <c r="DW46" i="27"/>
  <c r="DS46" i="27"/>
  <c r="DO46" i="27"/>
  <c r="DZ46" i="27"/>
  <c r="DV46" i="27"/>
  <c r="DR46" i="27"/>
  <c r="DY46" i="27"/>
  <c r="DU46" i="27"/>
  <c r="DQ46" i="27"/>
  <c r="DX46" i="27"/>
  <c r="DT46" i="27"/>
  <c r="DP46" i="27"/>
  <c r="DZ71" i="27"/>
  <c r="DV71" i="27"/>
  <c r="DR71" i="27"/>
  <c r="DX71" i="27"/>
  <c r="DT71" i="27"/>
  <c r="DP71" i="27"/>
  <c r="DU71" i="27"/>
  <c r="DS71" i="27"/>
  <c r="DY71" i="27"/>
  <c r="DQ71" i="27"/>
  <c r="DW71" i="27"/>
  <c r="DO71" i="27"/>
  <c r="DW37" i="27"/>
  <c r="DS37" i="27"/>
  <c r="DO37" i="27"/>
  <c r="DZ37" i="27"/>
  <c r="DV37" i="27"/>
  <c r="DR37" i="27"/>
  <c r="DY37" i="27"/>
  <c r="DU37" i="27"/>
  <c r="DQ37" i="27"/>
  <c r="DX37" i="27"/>
  <c r="DT37" i="27"/>
  <c r="DP37" i="27"/>
  <c r="DZ49" i="27"/>
  <c r="DV49" i="27"/>
  <c r="DR49" i="27"/>
  <c r="DY49" i="27"/>
  <c r="DU49" i="27"/>
  <c r="DQ49" i="27"/>
  <c r="DX49" i="27"/>
  <c r="DT49" i="27"/>
  <c r="DP49" i="27"/>
  <c r="DW49" i="27"/>
  <c r="DS49" i="27"/>
  <c r="DO49" i="27"/>
  <c r="DX84" i="27"/>
  <c r="DW84" i="27"/>
  <c r="DY84" i="27"/>
  <c r="DS84" i="27"/>
  <c r="DO84" i="27"/>
  <c r="DV84" i="27"/>
  <c r="DR84" i="27"/>
  <c r="DT84" i="27"/>
  <c r="DZ84" i="27"/>
  <c r="DP84" i="27"/>
  <c r="DU84" i="27"/>
  <c r="DQ84" i="27"/>
  <c r="DW65" i="27"/>
  <c r="DS65" i="27"/>
  <c r="DO65" i="27"/>
  <c r="DY65" i="27"/>
  <c r="DU65" i="27"/>
  <c r="DQ65" i="27"/>
  <c r="DV65" i="27"/>
  <c r="DT65" i="27"/>
  <c r="DZ65" i="27"/>
  <c r="DR65" i="27"/>
  <c r="DX65" i="27"/>
  <c r="DP65" i="27"/>
  <c r="EA39" i="27"/>
  <c r="EB39" i="27" s="1"/>
  <c r="EA51" i="27"/>
  <c r="EB51" i="27" s="1"/>
  <c r="DY54" i="27"/>
  <c r="DU54" i="27"/>
  <c r="DQ54" i="27"/>
  <c r="DW54" i="27"/>
  <c r="DS54" i="27"/>
  <c r="DO54" i="27"/>
  <c r="DX54" i="27"/>
  <c r="DP54" i="27"/>
  <c r="DV54" i="27"/>
  <c r="DT54" i="27"/>
  <c r="DZ54" i="27"/>
  <c r="DR54" i="27"/>
  <c r="DX66" i="27"/>
  <c r="DT66" i="27"/>
  <c r="DP66" i="27"/>
  <c r="DZ66" i="27"/>
  <c r="DV66" i="27"/>
  <c r="DR66" i="27"/>
  <c r="DU66" i="27"/>
  <c r="DS66" i="27"/>
  <c r="DY66" i="27"/>
  <c r="DQ66" i="27"/>
  <c r="DW66" i="27"/>
  <c r="DO66" i="27"/>
  <c r="DY63" i="27"/>
  <c r="DU63" i="27"/>
  <c r="DQ63" i="27"/>
  <c r="DW63" i="27"/>
  <c r="DS63" i="27"/>
  <c r="DO63" i="27"/>
  <c r="DT63" i="27"/>
  <c r="DX63" i="27"/>
  <c r="DP63" i="27"/>
  <c r="DZ63" i="27"/>
  <c r="DV63" i="27"/>
  <c r="DR63" i="27"/>
  <c r="EA79" i="27"/>
  <c r="EB79" i="27" s="1"/>
  <c r="DY86" i="27"/>
  <c r="DU86" i="27"/>
  <c r="DQ86" i="27"/>
  <c r="DW86" i="27"/>
  <c r="DS86" i="27"/>
  <c r="DO86" i="27"/>
  <c r="DX86" i="27"/>
  <c r="DP86" i="27"/>
  <c r="DV86" i="27"/>
  <c r="DZ86" i="27"/>
  <c r="DR86" i="27"/>
  <c r="DT86" i="27"/>
  <c r="DY74" i="27"/>
  <c r="DU74" i="27"/>
  <c r="DQ74" i="27"/>
  <c r="DW74" i="27"/>
  <c r="DS74" i="27"/>
  <c r="DO74" i="27"/>
  <c r="DV74" i="27"/>
  <c r="DT74" i="27"/>
  <c r="DZ74" i="27"/>
  <c r="DR74" i="27"/>
  <c r="DX74" i="27"/>
  <c r="DP74" i="27"/>
  <c r="DY59" i="27"/>
  <c r="DU59" i="27"/>
  <c r="DQ59" i="27"/>
  <c r="DW59" i="27"/>
  <c r="DS59" i="27"/>
  <c r="DO59" i="27"/>
  <c r="DT59" i="27"/>
  <c r="DX59" i="27"/>
  <c r="DP59" i="27"/>
  <c r="DZ59" i="27"/>
  <c r="DV59" i="27"/>
  <c r="DR59" i="27"/>
  <c r="DZ83" i="27"/>
  <c r="DV83" i="27"/>
  <c r="DR83" i="27"/>
  <c r="DY83" i="27"/>
  <c r="DU83" i="27"/>
  <c r="DQ83" i="27"/>
  <c r="DT83" i="27"/>
  <c r="DX83" i="27"/>
  <c r="DP83" i="27"/>
  <c r="DW83" i="27"/>
  <c r="DO83" i="27"/>
  <c r="DS83" i="27"/>
  <c r="DZ75" i="27"/>
  <c r="DV75" i="27"/>
  <c r="DR75" i="27"/>
  <c r="DX75" i="27"/>
  <c r="DT75" i="27"/>
  <c r="DP75" i="27"/>
  <c r="DU75" i="27"/>
  <c r="DS75" i="27"/>
  <c r="DY75" i="27"/>
  <c r="DQ75" i="27"/>
  <c r="DW75" i="27"/>
  <c r="DO75" i="27"/>
  <c r="DZ82" i="27"/>
  <c r="DV82" i="27"/>
  <c r="DR82" i="27"/>
  <c r="DX82" i="27"/>
  <c r="DT82" i="27"/>
  <c r="DP82" i="27"/>
  <c r="DW82" i="27"/>
  <c r="DO82" i="27"/>
  <c r="DS82" i="27"/>
  <c r="DQ82" i="27"/>
  <c r="DY82" i="27"/>
  <c r="DU82" i="27"/>
  <c r="EA69" i="27"/>
  <c r="EB69" i="27" s="1"/>
  <c r="DY38" i="27"/>
  <c r="DU38" i="27"/>
  <c r="DQ38" i="27"/>
  <c r="DX38" i="27"/>
  <c r="DT38" i="27"/>
  <c r="DP38" i="27"/>
  <c r="DW38" i="27"/>
  <c r="DS38" i="27"/>
  <c r="DO38" i="27"/>
  <c r="DZ38" i="27"/>
  <c r="DV38" i="27"/>
  <c r="DR38" i="27"/>
  <c r="DY50" i="27"/>
  <c r="DU50" i="27"/>
  <c r="DQ50" i="27"/>
  <c r="DX50" i="27"/>
  <c r="DT50" i="27"/>
  <c r="DP50" i="27"/>
  <c r="DW50" i="27"/>
  <c r="DS50" i="27"/>
  <c r="DO50" i="27"/>
  <c r="DZ50" i="27"/>
  <c r="DV50" i="27"/>
  <c r="DR50" i="27"/>
  <c r="DW52" i="27"/>
  <c r="DS52" i="27"/>
  <c r="DO52" i="27"/>
  <c r="DY52" i="27"/>
  <c r="DU52" i="27"/>
  <c r="DQ52" i="27"/>
  <c r="DX52" i="27"/>
  <c r="DP52" i="27"/>
  <c r="DV52" i="27"/>
  <c r="DT52" i="27"/>
  <c r="DZ52" i="27"/>
  <c r="DR52" i="27"/>
  <c r="DZ43" i="27"/>
  <c r="DV43" i="27"/>
  <c r="DR43" i="27"/>
  <c r="DY43" i="27"/>
  <c r="DU43" i="27"/>
  <c r="DQ43" i="27"/>
  <c r="DX43" i="27"/>
  <c r="DT43" i="27"/>
  <c r="DP43" i="27"/>
  <c r="DW43" i="27"/>
  <c r="DS43" i="27"/>
  <c r="DO43" i="27"/>
  <c r="EA58" i="27"/>
  <c r="EB58" i="27" s="1"/>
  <c r="EA73" i="27"/>
  <c r="EB73" i="27" s="1"/>
  <c r="DZ64" i="27"/>
  <c r="DV64" i="27"/>
  <c r="DR64" i="27"/>
  <c r="DX64" i="27"/>
  <c r="DT64" i="27"/>
  <c r="DP64" i="27"/>
  <c r="DU64" i="27"/>
  <c r="DS64" i="27"/>
  <c r="DY64" i="27"/>
  <c r="DQ64" i="27"/>
  <c r="DW64" i="27"/>
  <c r="DO64" i="27"/>
  <c r="DY70" i="27"/>
  <c r="DU70" i="27"/>
  <c r="DQ70" i="27"/>
  <c r="DX70" i="27"/>
  <c r="DT70" i="27"/>
  <c r="DP70" i="27"/>
  <c r="DW70" i="27"/>
  <c r="DS70" i="27"/>
  <c r="DO70" i="27"/>
  <c r="DZ70" i="27"/>
  <c r="DV70" i="27"/>
  <c r="DR70" i="27"/>
  <c r="EA57" i="27"/>
  <c r="EB57" i="27" s="1"/>
  <c r="DW56" i="27"/>
  <c r="DS56" i="27"/>
  <c r="DO56" i="27"/>
  <c r="DY56" i="27"/>
  <c r="DU56" i="27"/>
  <c r="DQ56" i="27"/>
  <c r="DX56" i="27"/>
  <c r="DP56" i="27"/>
  <c r="DV56" i="27"/>
  <c r="DT56" i="27"/>
  <c r="DZ56" i="27"/>
  <c r="DR56" i="27"/>
  <c r="DZ40" i="27"/>
  <c r="DV40" i="27"/>
  <c r="DR40" i="27"/>
  <c r="DY40" i="27"/>
  <c r="DU40" i="27"/>
  <c r="DQ40" i="27"/>
  <c r="DX40" i="27"/>
  <c r="DT40" i="27"/>
  <c r="DP40" i="27"/>
  <c r="DW40" i="27"/>
  <c r="DS40" i="27"/>
  <c r="DO40" i="27"/>
  <c r="CY10" i="27"/>
  <c r="CM8" i="27"/>
  <c r="DW72" i="27"/>
  <c r="DS72" i="27"/>
  <c r="DO72" i="27"/>
  <c r="DY72" i="27"/>
  <c r="DU72" i="27"/>
  <c r="DQ72" i="27"/>
  <c r="DV72" i="27"/>
  <c r="DT72" i="27"/>
  <c r="DZ72" i="27"/>
  <c r="DR72" i="27"/>
  <c r="DX72" i="27"/>
  <c r="DP72" i="27"/>
  <c r="DW61" i="27"/>
  <c r="DS61" i="27"/>
  <c r="DO61" i="27"/>
  <c r="DY61" i="27"/>
  <c r="DU61" i="27"/>
  <c r="DQ61" i="27"/>
  <c r="DT61" i="27"/>
  <c r="DX61" i="27"/>
  <c r="DP61" i="27"/>
  <c r="DZ61" i="27"/>
  <c r="DV61" i="27"/>
  <c r="DR61" i="27"/>
  <c r="DY48" i="27"/>
  <c r="DU48" i="27"/>
  <c r="DQ48" i="27"/>
  <c r="DX48" i="27"/>
  <c r="DT48" i="27"/>
  <c r="DP48" i="27"/>
  <c r="DW48" i="27"/>
  <c r="DS48" i="27"/>
  <c r="DO48" i="27"/>
  <c r="DZ48" i="27"/>
  <c r="DV48" i="27"/>
  <c r="DR48" i="27"/>
  <c r="DZ87" i="27"/>
  <c r="DV87" i="27"/>
  <c r="DR87" i="27"/>
  <c r="DX87" i="27"/>
  <c r="DT87" i="27"/>
  <c r="DP87" i="27"/>
  <c r="DW87" i="27"/>
  <c r="DO87" i="27"/>
  <c r="DU87" i="27"/>
  <c r="DY87" i="27"/>
  <c r="DS87" i="27"/>
  <c r="DQ87" i="27"/>
  <c r="DZ67" i="27"/>
  <c r="DV67" i="27"/>
  <c r="DR67" i="27"/>
  <c r="DY67" i="27"/>
  <c r="DU67" i="27"/>
  <c r="DQ67" i="27"/>
  <c r="DX67" i="27"/>
  <c r="DT67" i="27"/>
  <c r="DP67" i="27"/>
  <c r="DW67" i="27"/>
  <c r="DS67" i="27"/>
  <c r="DO67" i="27"/>
  <c r="DW88" i="27"/>
  <c r="DS88" i="27"/>
  <c r="DO88" i="27"/>
  <c r="DY88" i="27"/>
  <c r="DU88" i="27"/>
  <c r="DQ88" i="27"/>
  <c r="DX88" i="27"/>
  <c r="DP88" i="27"/>
  <c r="DV88" i="27"/>
  <c r="DT88" i="27"/>
  <c r="DR88" i="27"/>
  <c r="DZ88" i="27"/>
  <c r="EA47" i="27"/>
  <c r="EB47" i="27" s="1"/>
  <c r="EA45" i="27"/>
  <c r="EB45" i="27" s="1"/>
  <c r="DY81" i="27"/>
  <c r="DU81" i="27"/>
  <c r="DQ81" i="27"/>
  <c r="DW81" i="27"/>
  <c r="DS81" i="27"/>
  <c r="DO81" i="27"/>
  <c r="DX81" i="27"/>
  <c r="DP81" i="27"/>
  <c r="DT81" i="27"/>
  <c r="DR81" i="27"/>
  <c r="DZ81" i="27"/>
  <c r="DV81" i="27"/>
  <c r="DX80" i="27"/>
  <c r="DT80" i="27"/>
  <c r="DP80" i="27"/>
  <c r="DZ80" i="27"/>
  <c r="DV80" i="27"/>
  <c r="DR80" i="27"/>
  <c r="DW80" i="27"/>
  <c r="DO80" i="27"/>
  <c r="DS80" i="27"/>
  <c r="DQ80" i="27"/>
  <c r="DY80" i="27"/>
  <c r="DU80" i="27"/>
  <c r="DW68" i="27"/>
  <c r="DS68" i="27"/>
  <c r="DO68" i="27"/>
  <c r="DZ68" i="27"/>
  <c r="DV68" i="27"/>
  <c r="DR68" i="27"/>
  <c r="DY68" i="27"/>
  <c r="DU68" i="27"/>
  <c r="DQ68" i="27"/>
  <c r="DX68" i="27"/>
  <c r="DT68" i="27"/>
  <c r="DP68" i="27"/>
  <c r="DZ78" i="27"/>
  <c r="DV78" i="27"/>
  <c r="DR78" i="27"/>
  <c r="DX78" i="27"/>
  <c r="DT78" i="27"/>
  <c r="DP78" i="27"/>
  <c r="DS78" i="27"/>
  <c r="DY78" i="27"/>
  <c r="DQ78" i="27"/>
  <c r="DW78" i="27"/>
  <c r="DO78" i="27"/>
  <c r="DU78" i="27"/>
  <c r="EA55" i="27" l="1"/>
  <c r="EB55" i="27" s="1"/>
  <c r="EA53" i="27"/>
  <c r="EB53" i="27" s="1"/>
  <c r="DE13" i="27"/>
  <c r="DL13" i="27"/>
  <c r="DD13" i="27"/>
  <c r="DG13" i="27"/>
  <c r="DJ13" i="27"/>
  <c r="DB13" i="27"/>
  <c r="DI13" i="27"/>
  <c r="DA13" i="27"/>
  <c r="DH13" i="27"/>
  <c r="DK13" i="27"/>
  <c r="DC13" i="27"/>
  <c r="DF13" i="27"/>
  <c r="DL26" i="27"/>
  <c r="DD26" i="27"/>
  <c r="DF26" i="27"/>
  <c r="DI26" i="27"/>
  <c r="DA26" i="27"/>
  <c r="DG26" i="27"/>
  <c r="DH26" i="27"/>
  <c r="DJ26" i="27"/>
  <c r="DB26" i="27"/>
  <c r="DE26" i="27"/>
  <c r="DK26" i="27"/>
  <c r="DC26" i="27"/>
  <c r="EA44" i="27"/>
  <c r="EB44" i="27" s="1"/>
  <c r="EA64" i="27"/>
  <c r="EB64" i="27" s="1"/>
  <c r="DH20" i="27"/>
  <c r="DK20" i="27"/>
  <c r="DC20" i="27"/>
  <c r="DF20" i="27"/>
  <c r="DI20" i="27"/>
  <c r="DA20" i="27"/>
  <c r="DL20" i="27"/>
  <c r="DD20" i="27"/>
  <c r="DG20" i="27"/>
  <c r="DJ20" i="27"/>
  <c r="DB20" i="27"/>
  <c r="DE20" i="27"/>
  <c r="DE35" i="27"/>
  <c r="DL35" i="27"/>
  <c r="DD35" i="27"/>
  <c r="DG35" i="27"/>
  <c r="DJ35" i="27"/>
  <c r="DB35" i="27"/>
  <c r="DI35" i="27"/>
  <c r="DA35" i="27"/>
  <c r="DH35" i="27"/>
  <c r="DK35" i="27"/>
  <c r="DC35" i="27"/>
  <c r="DF35" i="27"/>
  <c r="DI27" i="27"/>
  <c r="DA27" i="27"/>
  <c r="DH27" i="27"/>
  <c r="DK27" i="27"/>
  <c r="DC27" i="27"/>
  <c r="DF27" i="27"/>
  <c r="DE27" i="27"/>
  <c r="DL27" i="27"/>
  <c r="DD27" i="27"/>
  <c r="DG27" i="27"/>
  <c r="DJ27" i="27"/>
  <c r="DB27" i="27"/>
  <c r="DI31" i="27"/>
  <c r="DA31" i="27"/>
  <c r="DH31" i="27"/>
  <c r="DK31" i="27"/>
  <c r="DC31" i="27"/>
  <c r="DF31" i="27"/>
  <c r="DE31" i="27"/>
  <c r="DL31" i="27"/>
  <c r="DD31" i="27"/>
  <c r="DG31" i="27"/>
  <c r="DJ31" i="27"/>
  <c r="DB31" i="27"/>
  <c r="DJ32" i="27"/>
  <c r="DB32" i="27"/>
  <c r="DE32" i="27"/>
  <c r="DL32" i="27"/>
  <c r="DD32" i="27"/>
  <c r="DG32" i="27"/>
  <c r="DF32" i="27"/>
  <c r="DI32" i="27"/>
  <c r="DA32" i="27"/>
  <c r="DH32" i="27"/>
  <c r="DK32" i="27"/>
  <c r="DC32" i="27"/>
  <c r="DJ36" i="27"/>
  <c r="DB36" i="27"/>
  <c r="DE36" i="27"/>
  <c r="DL36" i="27"/>
  <c r="DD36" i="27"/>
  <c r="DG36" i="27"/>
  <c r="DF36" i="27"/>
  <c r="DI36" i="27"/>
  <c r="DA36" i="27"/>
  <c r="DH36" i="27"/>
  <c r="DK36" i="27"/>
  <c r="DC36" i="27"/>
  <c r="DG33" i="27"/>
  <c r="DJ33" i="27"/>
  <c r="DB33" i="27"/>
  <c r="DE33" i="27"/>
  <c r="DL33" i="27"/>
  <c r="DD33" i="27"/>
  <c r="DK33" i="27"/>
  <c r="DC33" i="27"/>
  <c r="DF33" i="27"/>
  <c r="DI33" i="27"/>
  <c r="DA33" i="27"/>
  <c r="DH33" i="27"/>
  <c r="DL34" i="27"/>
  <c r="DD34" i="27"/>
  <c r="DG34" i="27"/>
  <c r="DJ34" i="27"/>
  <c r="DB34" i="27"/>
  <c r="DE34" i="27"/>
  <c r="DH34" i="27"/>
  <c r="DK34" i="27"/>
  <c r="DC34" i="27"/>
  <c r="DF34" i="27"/>
  <c r="DI34" i="27"/>
  <c r="DA34" i="27"/>
  <c r="DI25" i="27"/>
  <c r="DA25" i="27"/>
  <c r="DH25" i="27"/>
  <c r="DK25" i="27"/>
  <c r="DC25" i="27"/>
  <c r="DF25" i="27"/>
  <c r="DE25" i="27"/>
  <c r="DL25" i="27"/>
  <c r="DD25" i="27"/>
  <c r="DG25" i="27"/>
  <c r="DJ25" i="27"/>
  <c r="DB25" i="27"/>
  <c r="DI21" i="27"/>
  <c r="DA21" i="27"/>
  <c r="DH21" i="27"/>
  <c r="DK21" i="27"/>
  <c r="DC21" i="27"/>
  <c r="DF21" i="27"/>
  <c r="DE21" i="27"/>
  <c r="DL21" i="27"/>
  <c r="DD21" i="27"/>
  <c r="DG21" i="27"/>
  <c r="DJ21" i="27"/>
  <c r="DB21" i="27"/>
  <c r="DH30" i="27"/>
  <c r="DK30" i="27"/>
  <c r="DC30" i="27"/>
  <c r="DF30" i="27"/>
  <c r="DI30" i="27"/>
  <c r="DA30" i="27"/>
  <c r="DL30" i="27"/>
  <c r="DD30" i="27"/>
  <c r="DG30" i="27"/>
  <c r="DJ30" i="27"/>
  <c r="DB30" i="27"/>
  <c r="DE30" i="27"/>
  <c r="DL24" i="27"/>
  <c r="DH24" i="27"/>
  <c r="DC24" i="27"/>
  <c r="DI24" i="27"/>
  <c r="DK24" i="27"/>
  <c r="DF24" i="27"/>
  <c r="DA24" i="27"/>
  <c r="DE24" i="27"/>
  <c r="DJ24" i="27"/>
  <c r="DD24" i="27"/>
  <c r="DB24" i="27"/>
  <c r="DG24" i="27"/>
  <c r="DF22" i="27"/>
  <c r="DI22" i="27"/>
  <c r="DA22" i="27"/>
  <c r="DH22" i="27"/>
  <c r="DK22" i="27"/>
  <c r="DC22" i="27"/>
  <c r="DJ22" i="27"/>
  <c r="DB22" i="27"/>
  <c r="DE22" i="27"/>
  <c r="DL22" i="27"/>
  <c r="DD22" i="27"/>
  <c r="DG22" i="27"/>
  <c r="DK29" i="27"/>
  <c r="DC29" i="27"/>
  <c r="DF29" i="27"/>
  <c r="DI29" i="27"/>
  <c r="DA29" i="27"/>
  <c r="DH29" i="27"/>
  <c r="DG29" i="27"/>
  <c r="DJ29" i="27"/>
  <c r="DB29" i="27"/>
  <c r="DE29" i="27"/>
  <c r="DL29" i="27"/>
  <c r="DD29" i="27"/>
  <c r="DK23" i="27"/>
  <c r="DC23" i="27"/>
  <c r="DF23" i="27"/>
  <c r="DI23" i="27"/>
  <c r="DA23" i="27"/>
  <c r="DH23" i="27"/>
  <c r="DG23" i="27"/>
  <c r="DJ23" i="27"/>
  <c r="DB23" i="27"/>
  <c r="DE23" i="27"/>
  <c r="DL23" i="27"/>
  <c r="DD23" i="27"/>
  <c r="EA40" i="27"/>
  <c r="EB40" i="27" s="1"/>
  <c r="DE17" i="27"/>
  <c r="DL17" i="27"/>
  <c r="DD17" i="27"/>
  <c r="DG17" i="27"/>
  <c r="DJ17" i="27"/>
  <c r="DB17" i="27"/>
  <c r="DI17" i="27"/>
  <c r="DA17" i="27"/>
  <c r="DH17" i="27"/>
  <c r="DK17" i="27"/>
  <c r="DC17" i="27"/>
  <c r="DF17" i="27"/>
  <c r="DJ14" i="27"/>
  <c r="DB14" i="27"/>
  <c r="DE14" i="27"/>
  <c r="DL14" i="27"/>
  <c r="DD14" i="27"/>
  <c r="DG14" i="27"/>
  <c r="DF14" i="27"/>
  <c r="DI14" i="27"/>
  <c r="DA14" i="27"/>
  <c r="DH14" i="27"/>
  <c r="DK14" i="27"/>
  <c r="DC14" i="27"/>
  <c r="DH12" i="27"/>
  <c r="DB12" i="27"/>
  <c r="DL12" i="27"/>
  <c r="DA12" i="27"/>
  <c r="DE12" i="27"/>
  <c r="DD12" i="27"/>
  <c r="DF12" i="27"/>
  <c r="DK12" i="27"/>
  <c r="DG12" i="27"/>
  <c r="DJ12" i="27"/>
  <c r="DI12" i="27"/>
  <c r="DC12" i="27"/>
  <c r="CZ3" i="27"/>
  <c r="DJ18" i="27"/>
  <c r="DB18" i="27"/>
  <c r="DE18" i="27"/>
  <c r="DL18" i="27"/>
  <c r="DD18" i="27"/>
  <c r="DG18" i="27"/>
  <c r="DF18" i="27"/>
  <c r="DI18" i="27"/>
  <c r="DA18" i="27"/>
  <c r="DH18" i="27"/>
  <c r="DK18" i="27"/>
  <c r="DC18" i="27"/>
  <c r="EA66" i="27"/>
  <c r="EB66" i="27" s="1"/>
  <c r="EA49" i="27"/>
  <c r="EB49" i="27" s="1"/>
  <c r="EA71" i="27"/>
  <c r="EB71" i="27" s="1"/>
  <c r="DG11" i="27"/>
  <c r="DJ11" i="27"/>
  <c r="DB11" i="27"/>
  <c r="DE11" i="27"/>
  <c r="DL11" i="27"/>
  <c r="DD11" i="27"/>
  <c r="DK11" i="27"/>
  <c r="DC11" i="27"/>
  <c r="DF11" i="27"/>
  <c r="DI11" i="27"/>
  <c r="DA11" i="27"/>
  <c r="DH11" i="27"/>
  <c r="DL16" i="27"/>
  <c r="DD16" i="27"/>
  <c r="DG16" i="27"/>
  <c r="DJ16" i="27"/>
  <c r="DB16" i="27"/>
  <c r="DE16" i="27"/>
  <c r="DH16" i="27"/>
  <c r="DK16" i="27"/>
  <c r="DC16" i="27"/>
  <c r="DF16" i="27"/>
  <c r="DI16" i="27"/>
  <c r="DA16" i="27"/>
  <c r="DG15" i="27"/>
  <c r="DJ15" i="27"/>
  <c r="DB15" i="27"/>
  <c r="DE15" i="27"/>
  <c r="DL15" i="27"/>
  <c r="DD15" i="27"/>
  <c r="DK15" i="27"/>
  <c r="DC15" i="27"/>
  <c r="DF15" i="27"/>
  <c r="DI15" i="27"/>
  <c r="DA15" i="27"/>
  <c r="DH15" i="27"/>
  <c r="DK19" i="27"/>
  <c r="DC19" i="27"/>
  <c r="DF19" i="27"/>
  <c r="DI19" i="27"/>
  <c r="DA19" i="27"/>
  <c r="DH19" i="27"/>
  <c r="DG19" i="27"/>
  <c r="DJ19" i="27"/>
  <c r="DB19" i="27"/>
  <c r="DE19" i="27"/>
  <c r="DL19" i="27"/>
  <c r="DD19" i="27"/>
  <c r="EB5" i="27"/>
  <c r="EA88" i="27"/>
  <c r="EB88" i="27" s="1"/>
  <c r="EA81" i="27"/>
  <c r="EB81" i="27" s="1"/>
  <c r="EA67" i="27"/>
  <c r="EB67" i="27" s="1"/>
  <c r="EA87" i="27"/>
  <c r="EB87" i="27" s="1"/>
  <c r="EA48" i="27"/>
  <c r="EB48" i="27" s="1"/>
  <c r="EA56" i="27"/>
  <c r="EB56" i="27" s="1"/>
  <c r="EA75" i="27"/>
  <c r="EB75" i="27" s="1"/>
  <c r="EA59" i="27"/>
  <c r="EB59" i="27" s="1"/>
  <c r="EA37" i="27"/>
  <c r="EB37" i="27" s="1"/>
  <c r="EA76" i="27"/>
  <c r="EB76" i="27" s="1"/>
  <c r="EA77" i="27"/>
  <c r="EB77" i="27" s="1"/>
  <c r="EA50" i="27"/>
  <c r="EB50" i="27" s="1"/>
  <c r="EA74" i="27"/>
  <c r="EB74" i="27" s="1"/>
  <c r="EA86" i="27"/>
  <c r="EB86" i="27" s="1"/>
  <c r="EA84" i="27"/>
  <c r="EB84" i="27" s="1"/>
  <c r="EA42" i="27"/>
  <c r="EB42" i="27" s="1"/>
  <c r="EA78" i="27"/>
  <c r="EB78" i="27" s="1"/>
  <c r="EA80" i="27"/>
  <c r="EB80" i="27" s="1"/>
  <c r="EA61" i="27"/>
  <c r="EB61" i="27" s="1"/>
  <c r="EA72" i="27"/>
  <c r="EB72" i="27" s="1"/>
  <c r="CY8" i="27"/>
  <c r="CZ10" i="27"/>
  <c r="EA70" i="27"/>
  <c r="EB70" i="27" s="1"/>
  <c r="EA43" i="27"/>
  <c r="EB43" i="27" s="1"/>
  <c r="EA38" i="27"/>
  <c r="EB38" i="27" s="1"/>
  <c r="EA54" i="27"/>
  <c r="EB54" i="27" s="1"/>
  <c r="EA68" i="27"/>
  <c r="EB68" i="27" s="1"/>
  <c r="EA52" i="27"/>
  <c r="EB52" i="27" s="1"/>
  <c r="EA82" i="27"/>
  <c r="EB82" i="27" s="1"/>
  <c r="EA83" i="27"/>
  <c r="EB83" i="27" s="1"/>
  <c r="EA63" i="27"/>
  <c r="EB63" i="27" s="1"/>
  <c r="EA65" i="27"/>
  <c r="EB65" i="27" s="1"/>
  <c r="EA46" i="27"/>
  <c r="EB46" i="27" s="1"/>
  <c r="DM13" i="27" l="1"/>
  <c r="DN13" i="27" s="1"/>
  <c r="DM26" i="27"/>
  <c r="DN26" i="27" s="1"/>
  <c r="EB4" i="27"/>
  <c r="DM33" i="27"/>
  <c r="DN33" i="27" s="1"/>
  <c r="DS33" i="27" s="1"/>
  <c r="DM15" i="27"/>
  <c r="DN15" i="27" s="1"/>
  <c r="DO15" i="27" s="1"/>
  <c r="DM11" i="27"/>
  <c r="DN11" i="27" s="1"/>
  <c r="DZ11" i="27" s="1"/>
  <c r="DM30" i="27"/>
  <c r="DN30" i="27" s="1"/>
  <c r="DM21" i="27"/>
  <c r="DN21" i="27" s="1"/>
  <c r="DM25" i="27"/>
  <c r="DN25" i="27" s="1"/>
  <c r="DM34" i="27"/>
  <c r="DN34" i="27" s="1"/>
  <c r="DM31" i="27"/>
  <c r="DN31" i="27" s="1"/>
  <c r="DM27" i="27"/>
  <c r="DN27" i="27" s="1"/>
  <c r="DM35" i="27"/>
  <c r="DN35" i="27" s="1"/>
  <c r="DM20" i="27"/>
  <c r="DN20" i="27" s="1"/>
  <c r="DM23" i="27"/>
  <c r="DN23" i="27" s="1"/>
  <c r="DM29" i="27"/>
  <c r="DN29" i="27" s="1"/>
  <c r="DM22" i="27"/>
  <c r="DN22" i="27" s="1"/>
  <c r="DM24" i="27"/>
  <c r="DN24" i="27" s="1"/>
  <c r="DU33" i="27"/>
  <c r="DO33" i="27"/>
  <c r="DT33" i="27"/>
  <c r="DM36" i="27"/>
  <c r="DN36" i="27" s="1"/>
  <c r="DM32" i="27"/>
  <c r="DN32" i="27" s="1"/>
  <c r="DM19" i="27"/>
  <c r="DN19" i="27" s="1"/>
  <c r="DM16" i="27"/>
  <c r="DN16" i="27" s="1"/>
  <c r="DM18" i="27"/>
  <c r="DN18" i="27" s="1"/>
  <c r="DM12" i="27"/>
  <c r="DN12" i="27" s="1"/>
  <c r="DM17" i="27"/>
  <c r="DN17" i="27" s="1"/>
  <c r="DW15" i="27"/>
  <c r="DS11" i="27"/>
  <c r="DR11" i="27"/>
  <c r="DX11" i="27"/>
  <c r="DW11" i="27"/>
  <c r="DV11" i="27"/>
  <c r="DQ11" i="27"/>
  <c r="DM14" i="27"/>
  <c r="DN14" i="27" s="1"/>
  <c r="DI10" i="27"/>
  <c r="DI8" i="27" s="1"/>
  <c r="DE10" i="27"/>
  <c r="DE8" i="27" s="1"/>
  <c r="DA10" i="27"/>
  <c r="CZ1" i="27"/>
  <c r="DL10" i="27"/>
  <c r="DL8" i="27" s="1"/>
  <c r="DH10" i="27"/>
  <c r="DH8" i="27" s="1"/>
  <c r="DD10" i="27"/>
  <c r="DD8" i="27" s="1"/>
  <c r="DK10" i="27"/>
  <c r="DK8" i="27" s="1"/>
  <c r="DG10" i="27"/>
  <c r="DG8" i="27" s="1"/>
  <c r="DC10" i="27"/>
  <c r="DC8" i="27" s="1"/>
  <c r="CZ8" i="27"/>
  <c r="DJ10" i="27"/>
  <c r="DJ8" i="27" s="1"/>
  <c r="DF10" i="27"/>
  <c r="DF8" i="27" s="1"/>
  <c r="DB10" i="27"/>
  <c r="DB8" i="27" s="1"/>
  <c r="DR15" i="27" l="1"/>
  <c r="DQ15" i="27"/>
  <c r="DX15" i="27"/>
  <c r="DS15" i="27"/>
  <c r="DV15" i="27"/>
  <c r="DP15" i="27"/>
  <c r="DU15" i="27"/>
  <c r="DZ15" i="27"/>
  <c r="DT15" i="27"/>
  <c r="DY15" i="27"/>
  <c r="DX26" i="27"/>
  <c r="DW26" i="27"/>
  <c r="DY26" i="27"/>
  <c r="DO26" i="27"/>
  <c r="DT26" i="27"/>
  <c r="DV26" i="27"/>
  <c r="DQ26" i="27"/>
  <c r="DU26" i="27"/>
  <c r="DZ26" i="27"/>
  <c r="DS26" i="27"/>
  <c r="DR26" i="27"/>
  <c r="DP26" i="27"/>
  <c r="DY13" i="27"/>
  <c r="DQ13" i="27"/>
  <c r="DT13" i="27"/>
  <c r="DW13" i="27"/>
  <c r="DO13" i="27"/>
  <c r="DV13" i="27"/>
  <c r="DU13" i="27"/>
  <c r="DX13" i="27"/>
  <c r="DP13" i="27"/>
  <c r="DS13" i="27"/>
  <c r="DZ13" i="27"/>
  <c r="DR13" i="27"/>
  <c r="DY33" i="27"/>
  <c r="DP33" i="27"/>
  <c r="DZ33" i="27"/>
  <c r="DT11" i="27"/>
  <c r="DY11" i="27"/>
  <c r="DO11" i="27"/>
  <c r="DP11" i="27"/>
  <c r="DU11" i="27"/>
  <c r="DQ33" i="27"/>
  <c r="DV33" i="27"/>
  <c r="DW33" i="27"/>
  <c r="DX33" i="27"/>
  <c r="DR33" i="27"/>
  <c r="DV32" i="27"/>
  <c r="DY32" i="27"/>
  <c r="DQ32" i="27"/>
  <c r="DT32" i="27"/>
  <c r="DW32" i="27"/>
  <c r="DO32" i="27"/>
  <c r="DZ32" i="27"/>
  <c r="DR32" i="27"/>
  <c r="DU32" i="27"/>
  <c r="DX32" i="27"/>
  <c r="DP32" i="27"/>
  <c r="DS32" i="27"/>
  <c r="DP24" i="27"/>
  <c r="DZ24" i="27"/>
  <c r="DU24" i="27"/>
  <c r="DW24" i="27"/>
  <c r="DV24" i="27"/>
  <c r="DQ24" i="27"/>
  <c r="DX24" i="27"/>
  <c r="DS24" i="27"/>
  <c r="DR24" i="27"/>
  <c r="DT24" i="27"/>
  <c r="DO24" i="27"/>
  <c r="DY24" i="27"/>
  <c r="DS29" i="27"/>
  <c r="DZ29" i="27"/>
  <c r="DR29" i="27"/>
  <c r="DU29" i="27"/>
  <c r="DX29" i="27"/>
  <c r="DP29" i="27"/>
  <c r="DW29" i="27"/>
  <c r="DO29" i="27"/>
  <c r="DV29" i="27"/>
  <c r="DY29" i="27"/>
  <c r="DQ29" i="27"/>
  <c r="DT29" i="27"/>
  <c r="DX20" i="27"/>
  <c r="DP20" i="27"/>
  <c r="DS20" i="27"/>
  <c r="DZ20" i="27"/>
  <c r="DR20" i="27"/>
  <c r="DU20" i="27"/>
  <c r="DT20" i="27"/>
  <c r="DW20" i="27"/>
  <c r="DO20" i="27"/>
  <c r="DV20" i="27"/>
  <c r="DY20" i="27"/>
  <c r="DQ20" i="27"/>
  <c r="DY27" i="27"/>
  <c r="DQ27" i="27"/>
  <c r="DT27" i="27"/>
  <c r="DW27" i="27"/>
  <c r="DO27" i="27"/>
  <c r="DV27" i="27"/>
  <c r="DU27" i="27"/>
  <c r="DX27" i="27"/>
  <c r="DP27" i="27"/>
  <c r="DS27" i="27"/>
  <c r="DZ27" i="27"/>
  <c r="DR27" i="27"/>
  <c r="DX34" i="27"/>
  <c r="DT34" i="27"/>
  <c r="DO34" i="27"/>
  <c r="DY34" i="27"/>
  <c r="DW34" i="27"/>
  <c r="DV34" i="27"/>
  <c r="DQ34" i="27"/>
  <c r="DR34" i="27"/>
  <c r="DS34" i="27"/>
  <c r="DU34" i="27"/>
  <c r="DZ34" i="27"/>
  <c r="DP34" i="27"/>
  <c r="DU21" i="27"/>
  <c r="DX21" i="27"/>
  <c r="DP21" i="27"/>
  <c r="DS21" i="27"/>
  <c r="DZ21" i="27"/>
  <c r="DR21" i="27"/>
  <c r="DY21" i="27"/>
  <c r="DQ21" i="27"/>
  <c r="DT21" i="27"/>
  <c r="DW21" i="27"/>
  <c r="DO21" i="27"/>
  <c r="DV21" i="27"/>
  <c r="DZ36" i="27"/>
  <c r="DR36" i="27"/>
  <c r="DU36" i="27"/>
  <c r="DX36" i="27"/>
  <c r="DP36" i="27"/>
  <c r="DS36" i="27"/>
  <c r="DV36" i="27"/>
  <c r="DY36" i="27"/>
  <c r="DQ36" i="27"/>
  <c r="DT36" i="27"/>
  <c r="DW36" i="27"/>
  <c r="DO36" i="27"/>
  <c r="DV22" i="27"/>
  <c r="DY22" i="27"/>
  <c r="DQ22" i="27"/>
  <c r="DT22" i="27"/>
  <c r="DW22" i="27"/>
  <c r="DO22" i="27"/>
  <c r="DZ22" i="27"/>
  <c r="DR22" i="27"/>
  <c r="DU22" i="27"/>
  <c r="DX22" i="27"/>
  <c r="DP22" i="27"/>
  <c r="DS22" i="27"/>
  <c r="DS23" i="27"/>
  <c r="DZ23" i="27"/>
  <c r="DR23" i="27"/>
  <c r="DU23" i="27"/>
  <c r="DX23" i="27"/>
  <c r="DP23" i="27"/>
  <c r="DW23" i="27"/>
  <c r="DO23" i="27"/>
  <c r="DV23" i="27"/>
  <c r="DY23" i="27"/>
  <c r="DQ23" i="27"/>
  <c r="DT23" i="27"/>
  <c r="DY35" i="27"/>
  <c r="DQ35" i="27"/>
  <c r="DT35" i="27"/>
  <c r="DW35" i="27"/>
  <c r="DO35" i="27"/>
  <c r="DV35" i="27"/>
  <c r="DU35" i="27"/>
  <c r="DX35" i="27"/>
  <c r="DP35" i="27"/>
  <c r="DS35" i="27"/>
  <c r="DZ35" i="27"/>
  <c r="DR35" i="27"/>
  <c r="DU31" i="27"/>
  <c r="DX31" i="27"/>
  <c r="DP31" i="27"/>
  <c r="DS31" i="27"/>
  <c r="DZ31" i="27"/>
  <c r="DR31" i="27"/>
  <c r="DY31" i="27"/>
  <c r="DQ31" i="27"/>
  <c r="DT31" i="27"/>
  <c r="DW31" i="27"/>
  <c r="DO31" i="27"/>
  <c r="DV31" i="27"/>
  <c r="DU25" i="27"/>
  <c r="DX25" i="27"/>
  <c r="DP25" i="27"/>
  <c r="DS25" i="27"/>
  <c r="DZ25" i="27"/>
  <c r="DR25" i="27"/>
  <c r="DY25" i="27"/>
  <c r="DQ25" i="27"/>
  <c r="DT25" i="27"/>
  <c r="DW25" i="27"/>
  <c r="DO25" i="27"/>
  <c r="DV25" i="27"/>
  <c r="DX30" i="27"/>
  <c r="DP30" i="27"/>
  <c r="DS30" i="27"/>
  <c r="DZ30" i="27"/>
  <c r="DR30" i="27"/>
  <c r="DU30" i="27"/>
  <c r="DT30" i="27"/>
  <c r="DW30" i="27"/>
  <c r="DO30" i="27"/>
  <c r="DV30" i="27"/>
  <c r="DY30" i="27"/>
  <c r="DQ30" i="27"/>
  <c r="DN5" i="27"/>
  <c r="DV14" i="27"/>
  <c r="DY14" i="27"/>
  <c r="DQ14" i="27"/>
  <c r="DT14" i="27"/>
  <c r="DW14" i="27"/>
  <c r="DO14" i="27"/>
  <c r="DZ14" i="27"/>
  <c r="DR14" i="27"/>
  <c r="DU14" i="27"/>
  <c r="DX14" i="27"/>
  <c r="DP14" i="27"/>
  <c r="DS14" i="27"/>
  <c r="DT12" i="27"/>
  <c r="DV12" i="27"/>
  <c r="DU12" i="27"/>
  <c r="DP12" i="27"/>
  <c r="DZ12" i="27"/>
  <c r="DW12" i="27"/>
  <c r="DS12" i="27"/>
  <c r="DY12" i="27"/>
  <c r="DQ12" i="27"/>
  <c r="DR12" i="27"/>
  <c r="DX12" i="27"/>
  <c r="DO12" i="27"/>
  <c r="DT16" i="27"/>
  <c r="DW16" i="27"/>
  <c r="DY16" i="27"/>
  <c r="DX16" i="27"/>
  <c r="DP16" i="27"/>
  <c r="DS16" i="27"/>
  <c r="DZ16" i="27"/>
  <c r="DR16" i="27"/>
  <c r="DU16" i="27"/>
  <c r="DO16" i="27"/>
  <c r="DV16" i="27"/>
  <c r="DQ16" i="27"/>
  <c r="EA11" i="27"/>
  <c r="EB11" i="27" s="1"/>
  <c r="EA15" i="27"/>
  <c r="EB15" i="27" s="1"/>
  <c r="DU17" i="27"/>
  <c r="DX17" i="27"/>
  <c r="DP17" i="27"/>
  <c r="DZ17" i="27"/>
  <c r="DY17" i="27"/>
  <c r="DQ17" i="27"/>
  <c r="DT17" i="27"/>
  <c r="DW17" i="27"/>
  <c r="DO17" i="27"/>
  <c r="DV17" i="27"/>
  <c r="DS17" i="27"/>
  <c r="DR17" i="27"/>
  <c r="DN3" i="27"/>
  <c r="DV18" i="27"/>
  <c r="DY18" i="27"/>
  <c r="DQ18" i="27"/>
  <c r="DT18" i="27"/>
  <c r="DW18" i="27"/>
  <c r="DO18" i="27"/>
  <c r="DZ18" i="27"/>
  <c r="DR18" i="27"/>
  <c r="DU18" i="27"/>
  <c r="DX18" i="27"/>
  <c r="DP18" i="27"/>
  <c r="DS18" i="27"/>
  <c r="DS19" i="27"/>
  <c r="DZ19" i="27"/>
  <c r="DR19" i="27"/>
  <c r="DU19" i="27"/>
  <c r="DX19" i="27"/>
  <c r="DP19" i="27"/>
  <c r="DW19" i="27"/>
  <c r="DO19" i="27"/>
  <c r="DV19" i="27"/>
  <c r="DY19" i="27"/>
  <c r="DQ19" i="27"/>
  <c r="DT19" i="27"/>
  <c r="DM10" i="27"/>
  <c r="DA8" i="27"/>
  <c r="EA12" i="27" l="1"/>
  <c r="EB12" i="27" s="1"/>
  <c r="EA13" i="27"/>
  <c r="EB13" i="27" s="1"/>
  <c r="EA26" i="27"/>
  <c r="EB26" i="27" s="1"/>
  <c r="EA33" i="27"/>
  <c r="EB33" i="27" s="1"/>
  <c r="EA36" i="27"/>
  <c r="EB36" i="27" s="1"/>
  <c r="EA30" i="27"/>
  <c r="EB30" i="27" s="1"/>
  <c r="EA25" i="27"/>
  <c r="EB25" i="27" s="1"/>
  <c r="EA31" i="27"/>
  <c r="EB31" i="27" s="1"/>
  <c r="EA35" i="27"/>
  <c r="EB35" i="27" s="1"/>
  <c r="EA21" i="27"/>
  <c r="EB21" i="27" s="1"/>
  <c r="EA34" i="27"/>
  <c r="EB34" i="27" s="1"/>
  <c r="EA27" i="27"/>
  <c r="EB27" i="27" s="1"/>
  <c r="EA20" i="27"/>
  <c r="EB20" i="27" s="1"/>
  <c r="EA24" i="27"/>
  <c r="EB24" i="27" s="1"/>
  <c r="EA32" i="27"/>
  <c r="EB32" i="27" s="1"/>
  <c r="EA23" i="27"/>
  <c r="EB23" i="27" s="1"/>
  <c r="EA22" i="27"/>
  <c r="EB22" i="27" s="1"/>
  <c r="EA29" i="27"/>
  <c r="EB29" i="27" s="1"/>
  <c r="EA19" i="27"/>
  <c r="EB19" i="27" s="1"/>
  <c r="EA18" i="27"/>
  <c r="EB18" i="27" s="1"/>
  <c r="EA17" i="27"/>
  <c r="EB17" i="27" s="1"/>
  <c r="EA16" i="27"/>
  <c r="EB16" i="27" s="1"/>
  <c r="EA14" i="27"/>
  <c r="EB14" i="27" s="1"/>
  <c r="DM8" i="27"/>
  <c r="DN10" i="27"/>
  <c r="EB3" i="27" l="1"/>
  <c r="DY10" i="27"/>
  <c r="DY8" i="27" s="1"/>
  <c r="DU10" i="27"/>
  <c r="DU8" i="27" s="1"/>
  <c r="DQ10" i="27"/>
  <c r="DQ8" i="27" s="1"/>
  <c r="DN8" i="27"/>
  <c r="DX10" i="27"/>
  <c r="DX8" i="27" s="1"/>
  <c r="DT10" i="27"/>
  <c r="DT8" i="27" s="1"/>
  <c r="DP10" i="27"/>
  <c r="DP8" i="27" s="1"/>
  <c r="DW10" i="27"/>
  <c r="DW8" i="27" s="1"/>
  <c r="DS10" i="27"/>
  <c r="DS8" i="27" s="1"/>
  <c r="DO10" i="27"/>
  <c r="DZ10" i="27"/>
  <c r="DZ8" i="27" s="1"/>
  <c r="DV10" i="27"/>
  <c r="DV8" i="27" s="1"/>
  <c r="DR10" i="27"/>
  <c r="DR8" i="27" s="1"/>
  <c r="DN1" i="27"/>
  <c r="EA10" i="27" l="1"/>
  <c r="DO8" i="27"/>
  <c r="EA8" i="27" l="1"/>
  <c r="EB10" i="27"/>
  <c r="EB8" i="27" l="1"/>
  <c r="EB1" i="27"/>
</calcChain>
</file>

<file path=xl/comments1.xml><?xml version="1.0" encoding="utf-8"?>
<comments xmlns="http://schemas.openxmlformats.org/spreadsheetml/2006/main">
  <authors>
    <author>Auteur</author>
  </authors>
  <commentList>
    <comment ref="D8" authorId="0">
      <text>
        <r>
          <rPr>
            <b/>
            <sz val="9"/>
            <color indexed="81"/>
            <rFont val="Tahoma"/>
            <family val="2"/>
          </rPr>
          <t>Valorisé au prix du marché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BECOS</author>
  </authors>
  <commentList>
    <comment ref="C6" author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creance inventaire 2022-2023
6179240.63</t>
        </r>
      </text>
    </comment>
    <comment ref="C7" authorId="1">
      <text>
        <r>
          <rPr>
            <b/>
            <sz val="9"/>
            <color indexed="81"/>
            <rFont val="Tahoma"/>
            <family val="2"/>
          </rPr>
          <t>Avance retraits + avance vente</t>
        </r>
      </text>
    </comment>
    <comment ref="F7" authorId="1">
      <text>
        <r>
          <rPr>
            <b/>
            <sz val="9"/>
            <color indexed="81"/>
            <rFont val="Tahoma"/>
            <family val="2"/>
          </rPr>
          <t>Avance retraits + avance vente</t>
        </r>
      </text>
    </comment>
    <comment ref="C8" authorId="1">
      <text>
        <r>
          <rPr>
            <b/>
            <sz val="9"/>
            <color indexed="81"/>
            <rFont val="Tahoma"/>
            <family val="2"/>
          </rPr>
          <t>Avance retraits + avance vente</t>
        </r>
      </text>
    </comment>
    <comment ref="F8" authorId="1">
      <text>
        <r>
          <rPr>
            <b/>
            <sz val="9"/>
            <color indexed="81"/>
            <rFont val="Tahoma"/>
            <family val="2"/>
          </rPr>
          <t>Avance retraits + avance vente</t>
        </r>
      </text>
    </comment>
  </commentList>
</comments>
</file>

<file path=xl/sharedStrings.xml><?xml version="1.0" encoding="utf-8"?>
<sst xmlns="http://schemas.openxmlformats.org/spreadsheetml/2006/main" count="722" uniqueCount="389">
  <si>
    <t xml:space="preserve">Code </t>
  </si>
  <si>
    <t>Compta</t>
  </si>
  <si>
    <t xml:space="preserve">Dettes Fournisseurs </t>
  </si>
  <si>
    <t xml:space="preserve">Créances Clients </t>
  </si>
  <si>
    <t xml:space="preserve">Total Actif </t>
  </si>
  <si>
    <t xml:space="preserve">Total Passif </t>
  </si>
  <si>
    <t xml:space="preserve">Matériel Roulant  </t>
  </si>
  <si>
    <t>Avances associers</t>
  </si>
  <si>
    <t>هذا بيان حساب السيد:</t>
  </si>
  <si>
    <t>BENEFICE DU CAPITAL :</t>
  </si>
  <si>
    <t>أرباح مقابل المال :</t>
  </si>
  <si>
    <t>BENEFICE DE L'EFFORT:</t>
  </si>
  <si>
    <t>أرباح مقابل الجهد :</t>
  </si>
  <si>
    <t>TOTAL:</t>
  </si>
  <si>
    <t>المجموع :</t>
  </si>
  <si>
    <t>N°</t>
  </si>
  <si>
    <t>Avances associés:</t>
  </si>
  <si>
    <t>مقدم الأرباح:</t>
  </si>
  <si>
    <t>Rentabilité du projet</t>
  </si>
  <si>
    <t>معدات النقل</t>
  </si>
  <si>
    <t>الخزينة</t>
  </si>
  <si>
    <t>ديون الموردين</t>
  </si>
  <si>
    <t>الشركاء</t>
  </si>
  <si>
    <t>الأرباح مقابل المال</t>
  </si>
  <si>
    <t>نسب تقسيم أرباح الجهد</t>
  </si>
  <si>
    <t>الأرباح مقابل الجهد</t>
  </si>
  <si>
    <t>المجموع</t>
  </si>
  <si>
    <t>رأس مال الشركة</t>
  </si>
  <si>
    <t>النتيجة الدورة الصافية</t>
  </si>
  <si>
    <t xml:space="preserve">نصيب الشركاء بالجهد </t>
  </si>
  <si>
    <t xml:space="preserve">نصيب الشركاء بالمال </t>
  </si>
  <si>
    <t>مستحقات لدى الزبائن</t>
  </si>
  <si>
    <t>مخزون السلع</t>
  </si>
  <si>
    <t>Montant</t>
  </si>
  <si>
    <t>مردودية المشروع</t>
  </si>
  <si>
    <t>رقم</t>
  </si>
  <si>
    <t>نسب رؤوس الأموال</t>
  </si>
  <si>
    <t>مقدم أرباح الشركاء</t>
  </si>
  <si>
    <t>نسب تقسيم
 رؤوس الأموال</t>
  </si>
  <si>
    <t>زكاة السنة التجارية:</t>
  </si>
  <si>
    <t>ZAKAT:</t>
  </si>
  <si>
    <r>
      <t xml:space="preserve">Actif / </t>
    </r>
    <r>
      <rPr>
        <b/>
        <sz val="24"/>
        <rFont val="Traditional Arabic"/>
        <family val="1"/>
      </rPr>
      <t>الأصول</t>
    </r>
  </si>
  <si>
    <r>
      <t xml:space="preserve">Fonds Propres / </t>
    </r>
    <r>
      <rPr>
        <b/>
        <sz val="18"/>
        <rFont val="Traditional Arabic"/>
        <family val="1"/>
      </rPr>
      <t>رؤوس الأموال</t>
    </r>
  </si>
  <si>
    <r>
      <t>Passif /</t>
    </r>
    <r>
      <rPr>
        <b/>
        <sz val="24"/>
        <rFont val="Traditional Arabic"/>
        <family val="1"/>
      </rPr>
      <t xml:space="preserve"> الخصوم</t>
    </r>
  </si>
  <si>
    <r>
      <t xml:space="preserve">Investissement / </t>
    </r>
    <r>
      <rPr>
        <b/>
        <sz val="18"/>
        <rFont val="Traditional Arabic"/>
        <family val="1"/>
      </rPr>
      <t>الاستثمارات</t>
    </r>
  </si>
  <si>
    <r>
      <t xml:space="preserve">Stocks / </t>
    </r>
    <r>
      <rPr>
        <b/>
        <sz val="18"/>
        <rFont val="Traditional Arabic"/>
        <family val="1"/>
      </rPr>
      <t>المخزونات</t>
    </r>
  </si>
  <si>
    <r>
      <t xml:space="preserve">Dettes / </t>
    </r>
    <r>
      <rPr>
        <b/>
        <sz val="18"/>
        <rFont val="Traditional Arabic"/>
        <family val="1"/>
      </rPr>
      <t>الديون</t>
    </r>
  </si>
  <si>
    <r>
      <t xml:space="preserve">Créances / </t>
    </r>
    <r>
      <rPr>
        <b/>
        <sz val="18"/>
        <rFont val="Traditional Arabic"/>
        <family val="1"/>
      </rPr>
      <t>الحقوق</t>
    </r>
  </si>
  <si>
    <r>
      <t xml:space="preserve">Disponibilités / </t>
    </r>
    <r>
      <rPr>
        <b/>
        <sz val="18"/>
        <rFont val="Traditional Arabic"/>
        <family val="1"/>
      </rPr>
      <t>السيولة</t>
    </r>
  </si>
  <si>
    <r>
      <t xml:space="preserve">Résultat net de l'exercice / </t>
    </r>
    <r>
      <rPr>
        <b/>
        <sz val="18"/>
        <rFont val="Traditional Arabic"/>
        <family val="1"/>
      </rPr>
      <t>النتيجة الصافية للدورة</t>
    </r>
  </si>
  <si>
    <t xml:space="preserve">  </t>
  </si>
  <si>
    <t>زكاة السنة التجارية
 2,58%</t>
  </si>
  <si>
    <t>التاريخ</t>
  </si>
  <si>
    <t>الرقم</t>
  </si>
  <si>
    <t>عدد أيام العمل</t>
  </si>
  <si>
    <t>Capital investi:</t>
  </si>
  <si>
    <t>Capital parapport nbr jours ouvrés</t>
  </si>
  <si>
    <t>Rentabilité des capiteaux:</t>
  </si>
  <si>
    <t>مردودية رأس المال:</t>
  </si>
  <si>
    <t>رأس المال العامل بالنسبة لعدد الأيام:</t>
  </si>
  <si>
    <t xml:space="preserve">المكلف بالتصفية: </t>
  </si>
  <si>
    <t>المستلم منه المعلومات:</t>
  </si>
  <si>
    <t>يوم تسليم الميزانية:</t>
  </si>
  <si>
    <t xml:space="preserve">Libéllé de l'Opération </t>
  </si>
  <si>
    <t>التجهيزات</t>
  </si>
  <si>
    <t>تسبيقات للموردين</t>
  </si>
  <si>
    <t>تسبيقات للشركاء</t>
  </si>
  <si>
    <t>Prêt salariés</t>
  </si>
  <si>
    <t>سلف للعمال</t>
  </si>
  <si>
    <t xml:space="preserve">Résultat avant déduction des primes </t>
  </si>
  <si>
    <t>Prime des salaries</t>
  </si>
  <si>
    <t>منح الموظفين</t>
  </si>
  <si>
    <t>ELMACHRI3 ELKHIRIA</t>
  </si>
  <si>
    <t>المشاريع الخيرية</t>
  </si>
  <si>
    <t>رأس المال الافتتاحي</t>
  </si>
  <si>
    <t>رأس المال الجديد</t>
  </si>
  <si>
    <t xml:space="preserve">السنة التجارية </t>
  </si>
  <si>
    <t>تاريخ بداية السنة التجارية</t>
  </si>
  <si>
    <t>تاريخ نهاية السنة التجارية</t>
  </si>
  <si>
    <t>عدد أيام السنة التجارية</t>
  </si>
  <si>
    <t>نسبة الزكاة</t>
  </si>
  <si>
    <t>رأس المال النسبي</t>
  </si>
  <si>
    <t>الشركة</t>
  </si>
  <si>
    <t>Capiteaux des associés</t>
  </si>
  <si>
    <t>رؤوس أموال الشركاء</t>
  </si>
  <si>
    <t>الحساب الجاري البنكي</t>
  </si>
  <si>
    <t>Trésorie</t>
  </si>
  <si>
    <t>Aménagement</t>
  </si>
  <si>
    <t>Equipements</t>
  </si>
  <si>
    <t>Première année amortissement</t>
  </si>
  <si>
    <t>Matériels</t>
  </si>
  <si>
    <t>Mobilier</t>
  </si>
  <si>
    <t>Résidence</t>
  </si>
  <si>
    <t>Matériel Roulant</t>
  </si>
  <si>
    <t>Date d'achat</t>
  </si>
  <si>
    <t>Classement</t>
  </si>
  <si>
    <t>Désignation</t>
  </si>
  <si>
    <t>Durée</t>
  </si>
  <si>
    <t>Amortissement</t>
  </si>
  <si>
    <t>Vitrine interieur magasin</t>
  </si>
  <si>
    <t>Materiels &amp; équipements</t>
  </si>
  <si>
    <t>articles</t>
  </si>
  <si>
    <t>Quant</t>
  </si>
  <si>
    <t>prix casse</t>
  </si>
  <si>
    <t>prix façon</t>
  </si>
  <si>
    <t>prix U</t>
  </si>
  <si>
    <t>somme</t>
  </si>
  <si>
    <t>client</t>
  </si>
  <si>
    <t>téléphone</t>
  </si>
  <si>
    <t>adresse</t>
  </si>
  <si>
    <t>Creance casse21</t>
  </si>
  <si>
    <t>Creance casse18</t>
  </si>
  <si>
    <t>dette casse18</t>
  </si>
  <si>
    <t>dette casse21</t>
  </si>
  <si>
    <t xml:space="preserve">Creance </t>
  </si>
  <si>
    <t>dette</t>
  </si>
  <si>
    <t>Bon</t>
  </si>
  <si>
    <t>date</t>
  </si>
  <si>
    <t>Non et prenom</t>
  </si>
  <si>
    <t>Réf</t>
  </si>
  <si>
    <t>désignation</t>
  </si>
  <si>
    <t xml:space="preserve">creance </t>
  </si>
  <si>
    <t>Entrée</t>
  </si>
  <si>
    <t>sortie</t>
  </si>
  <si>
    <t>fourniseure</t>
  </si>
  <si>
    <t>Avances fournisseurs</t>
  </si>
  <si>
    <t>Dettes Fournisseurs Casse</t>
  </si>
  <si>
    <t>Compte courant Banque BDL</t>
  </si>
  <si>
    <t>Créances Clients Casse</t>
  </si>
  <si>
    <t>Avances clients Casse</t>
  </si>
  <si>
    <t>Avances clients (versements)</t>
  </si>
  <si>
    <t>تسبيقات الزبائن</t>
  </si>
  <si>
    <t>Prix casse 18</t>
  </si>
  <si>
    <t>Prix casse 21</t>
  </si>
  <si>
    <t>الواهج عمر بن يحي</t>
  </si>
  <si>
    <t>بن عزوز مبخوتة</t>
  </si>
  <si>
    <t>كروشي الحاج بابهون</t>
  </si>
  <si>
    <t>صياغة الفتح</t>
  </si>
  <si>
    <t>الورشة B2</t>
  </si>
  <si>
    <t>مداخيل رأس المال</t>
  </si>
  <si>
    <t>مخارج رأس المال</t>
  </si>
  <si>
    <t>B2</t>
  </si>
  <si>
    <t>Avance associé Omar Louhedj 2016</t>
  </si>
  <si>
    <t>رأس المال المستثمر:</t>
  </si>
  <si>
    <t>NOUVEAU CAPITAL :</t>
  </si>
  <si>
    <t>رأس المال الجديد  :</t>
  </si>
  <si>
    <t>رأس المال 2016-2017</t>
  </si>
  <si>
    <t>Ref</t>
  </si>
  <si>
    <t>etagéres de burau</t>
  </si>
  <si>
    <t>boutaille a gaz</t>
  </si>
  <si>
    <t>poite finition</t>
  </si>
  <si>
    <t>pière a mriser</t>
  </si>
  <si>
    <t xml:space="preserve">pinces </t>
  </si>
  <si>
    <t>pinces coupente</t>
  </si>
  <si>
    <t>couboire boucle bébé</t>
  </si>
  <si>
    <t>table de réparation</t>
  </si>
  <si>
    <t>marteau maié</t>
  </si>
  <si>
    <t>motoure prossage</t>
  </si>
  <si>
    <t>tat pompé</t>
  </si>
  <si>
    <t>display</t>
  </si>
  <si>
    <t>purseuse</t>
  </si>
  <si>
    <t>amiante</t>
  </si>
  <si>
    <t>port purseuse</t>
  </si>
  <si>
    <t>pence coupente</t>
  </si>
  <si>
    <t>sésaille</t>
  </si>
  <si>
    <t>sésaille vert</t>
  </si>
  <si>
    <t>serie craveure</t>
  </si>
  <si>
    <t>chaises</t>
  </si>
  <si>
    <t>table polissage</t>
  </si>
  <si>
    <t>table rep GM</t>
  </si>
  <si>
    <t>poid(g)or</t>
  </si>
  <si>
    <t>الواهج عمر</t>
  </si>
  <si>
    <t>بعوشي رسثم</t>
  </si>
  <si>
    <t>بوسريح نعيمة</t>
  </si>
  <si>
    <t>cisaille</t>
  </si>
  <si>
    <t>liteau</t>
  </si>
  <si>
    <t>kazane argenture</t>
  </si>
  <si>
    <t>tablou metre</t>
  </si>
  <si>
    <t>sofage bindouille</t>
  </si>
  <si>
    <t>palancier</t>
  </si>
  <si>
    <t>kazane dorur</t>
  </si>
  <si>
    <t>pince</t>
  </si>
  <si>
    <t>tréboulé métréque</t>
  </si>
  <si>
    <t>bracelet métréque</t>
  </si>
  <si>
    <t>les aneau métréque</t>
  </si>
  <si>
    <t>marbre de table</t>
  </si>
  <si>
    <t>B1</t>
  </si>
  <si>
    <t>مقدم أرباح الشركاء لسنة 2020</t>
  </si>
  <si>
    <t>casse18</t>
  </si>
  <si>
    <t>casse21</t>
  </si>
  <si>
    <t>الورشة B1</t>
  </si>
  <si>
    <t>or fin</t>
  </si>
  <si>
    <t>or 750</t>
  </si>
  <si>
    <t>charjoure</t>
  </si>
  <si>
    <t>aparaille téléphone</t>
  </si>
  <si>
    <t>aminoire mauelle et table</t>
  </si>
  <si>
    <t>micro ordinateure</t>
  </si>
  <si>
    <t>béreau</t>
  </si>
  <si>
    <t>tables de personnel</t>
  </si>
  <si>
    <t>cofre for</t>
  </si>
  <si>
    <t>chalimou</t>
  </si>
  <si>
    <t>tables chaise</t>
  </si>
  <si>
    <t>porte chalimou</t>
  </si>
  <si>
    <t>boutailles a gaz</t>
  </si>
  <si>
    <t>climtiseure</t>
  </si>
  <si>
    <t>cumuliste</t>
  </si>
  <si>
    <t>outilliage</t>
  </si>
  <si>
    <t>pier purseuse</t>
  </si>
  <si>
    <t>abaraille des aneau</t>
  </si>
  <si>
    <t>balances 500g</t>
  </si>
  <si>
    <t>motoure</t>
  </si>
  <si>
    <t>motoure 2 vétèces</t>
  </si>
  <si>
    <t>ultraçon 5litres</t>
  </si>
  <si>
    <t>foure électrique</t>
  </si>
  <si>
    <t>platoure</t>
  </si>
  <si>
    <t>crondéseure</t>
  </si>
  <si>
    <t>tat a pier</t>
  </si>
  <si>
    <t>table liteau</t>
  </si>
  <si>
    <t>l'infilieres nend</t>
  </si>
  <si>
    <t>l'infilieres 1/2 nend</t>
  </si>
  <si>
    <t>abaraille zigzague</t>
  </si>
  <si>
    <t>dianbouté g m</t>
  </si>
  <si>
    <t>les tapé</t>
  </si>
  <si>
    <t>éstompe boucle bébé</t>
  </si>
  <si>
    <t>éstompe bague</t>
  </si>
  <si>
    <t>coupoire les boules</t>
  </si>
  <si>
    <t>éstompe medaille g m</t>
  </si>
  <si>
    <t>éstompe sersou loui</t>
  </si>
  <si>
    <t>éstompe khoumsa bébé</t>
  </si>
  <si>
    <t>balancier estompe</t>
  </si>
  <si>
    <t>tabona</t>
  </si>
  <si>
    <t>couboire gourmette bébé</t>
  </si>
  <si>
    <t>porte purseuse</t>
  </si>
  <si>
    <t>cable purseuse</t>
  </si>
  <si>
    <t>table téroire</t>
  </si>
  <si>
    <t>diamon</t>
  </si>
  <si>
    <t>Matériel  At b3</t>
  </si>
  <si>
    <t>tapés</t>
  </si>
  <si>
    <t>frigidaire</t>
  </si>
  <si>
    <t>Dettes Inpot Tripinal Berriane</t>
  </si>
  <si>
    <t>Dettes Personnel</t>
  </si>
  <si>
    <t>les goujon de moule taglette de tidjoulele</t>
  </si>
  <si>
    <t>chargeure</t>
  </si>
  <si>
    <t>kazan dorure</t>
  </si>
  <si>
    <t>بكاير رابح بن محمد</t>
  </si>
  <si>
    <t>بكاير حرمية بنت محمد</t>
  </si>
  <si>
    <t>لعساكر عبد الحميد</t>
  </si>
  <si>
    <t>الواهج احمد</t>
  </si>
  <si>
    <t>مبروك مبروك طولقة</t>
  </si>
  <si>
    <t>vendu</t>
  </si>
  <si>
    <t>poid</t>
  </si>
  <si>
    <t>الواهج اسية</t>
  </si>
  <si>
    <t>bireau</t>
  </si>
  <si>
    <t>chaise</t>
  </si>
  <si>
    <t>cofre fort-chubb-</t>
  </si>
  <si>
    <t>micro ordinatoure</t>
  </si>
  <si>
    <t>furnitures de bireau</t>
  </si>
  <si>
    <t>balancier 1,500kg-metller</t>
  </si>
  <si>
    <t>Moule</t>
  </si>
  <si>
    <t>moules bracelet zigzage</t>
  </si>
  <si>
    <t xml:space="preserve">aménoire 140 </t>
  </si>
  <si>
    <t>balancier 1000g</t>
  </si>
  <si>
    <t>balancier 150g</t>
  </si>
  <si>
    <t>parmer</t>
  </si>
  <si>
    <t>pinces coulise</t>
  </si>
  <si>
    <t>balancer 40</t>
  </si>
  <si>
    <t>table balancer 40</t>
  </si>
  <si>
    <t>culibrage</t>
  </si>
  <si>
    <t>tables sésaille</t>
  </si>
  <si>
    <t>aminoire sablée</t>
  </si>
  <si>
    <t>table aminoire sablée</t>
  </si>
  <si>
    <t>roulete</t>
  </si>
  <si>
    <t>rouletette bracelet et allience demi rend</t>
  </si>
  <si>
    <t>baneau aliminioum</t>
  </si>
  <si>
    <t>sofage</t>
  </si>
  <si>
    <t>climatizoure</t>
  </si>
  <si>
    <t>diartée</t>
  </si>
  <si>
    <t>machine diamontatrise</t>
  </si>
  <si>
    <t>table et cache machine</t>
  </si>
  <si>
    <t>mondra</t>
  </si>
  <si>
    <t>tapée</t>
  </si>
  <si>
    <t>table deus personne</t>
  </si>
  <si>
    <t>outillages</t>
  </si>
  <si>
    <t>tables fondage</t>
  </si>
  <si>
    <t>foure fondage a gaz 1kg</t>
  </si>
  <si>
    <t>réspiratoure</t>
  </si>
  <si>
    <t>table poulissage et finision</t>
  </si>
  <si>
    <t xml:space="preserve">purseuse </t>
  </si>
  <si>
    <t>fournou</t>
  </si>
  <si>
    <t>materielles de cuizine</t>
  </si>
  <si>
    <t>ultraçon</t>
  </si>
  <si>
    <t>frijidaire</t>
  </si>
  <si>
    <t>compriseure</t>
  </si>
  <si>
    <t>cuministe</t>
  </si>
  <si>
    <t>tappés atelier</t>
  </si>
  <si>
    <t xml:space="preserve"> chaise tabouri</t>
  </si>
  <si>
    <t>foure a gaz 6kg</t>
  </si>
  <si>
    <t>jaoux mendra allience</t>
  </si>
  <si>
    <t>respérateure</t>
  </si>
  <si>
    <t>TABLE</t>
  </si>
  <si>
    <t>tenteuse</t>
  </si>
  <si>
    <t>machine graveuse</t>
  </si>
  <si>
    <t>table cofre fore</t>
  </si>
  <si>
    <t>tableau regle</t>
  </si>
  <si>
    <t>balieure et recube MAG</t>
  </si>
  <si>
    <t>بن يامي فؤاد بن علي</t>
  </si>
  <si>
    <t>بوسربة ياسمينة</t>
  </si>
  <si>
    <t>صالح والحاج خوخة</t>
  </si>
  <si>
    <t>صالح والحاج فاطمة</t>
  </si>
  <si>
    <t>موسى المال سليمان</t>
  </si>
  <si>
    <t>باسليمان محمد بن صالح</t>
  </si>
  <si>
    <t>Parure</t>
  </si>
  <si>
    <t>or articles</t>
  </si>
  <si>
    <t>argent mar.925</t>
  </si>
  <si>
    <t>mesaise</t>
  </si>
  <si>
    <t>SP</t>
  </si>
  <si>
    <t>PL</t>
  </si>
  <si>
    <t>itali</t>
  </si>
  <si>
    <t>local PS</t>
  </si>
  <si>
    <t>local SPS</t>
  </si>
  <si>
    <t>louice</t>
  </si>
  <si>
    <t>argent mar.500</t>
  </si>
  <si>
    <t>argent casse.500</t>
  </si>
  <si>
    <t>At b1 yahia</t>
  </si>
  <si>
    <t>At b2</t>
  </si>
  <si>
    <t>At b2 Or</t>
  </si>
  <si>
    <t>Ben abdellah bakir</t>
  </si>
  <si>
    <t>Ben yami omar</t>
  </si>
  <si>
    <t>Rachid batna</t>
  </si>
  <si>
    <t>Azghar moussa</t>
  </si>
  <si>
    <t>Hamza 750</t>
  </si>
  <si>
    <t>Ghecham malik</t>
  </si>
  <si>
    <t>Hakim drisi</t>
  </si>
  <si>
    <t>Khettara med</t>
  </si>
  <si>
    <t>Moussalmal slimen</t>
  </si>
  <si>
    <t>Moussalmal yemma</t>
  </si>
  <si>
    <t>Louahedj ahmed</t>
  </si>
  <si>
    <t>Khaled ben azouz</t>
  </si>
  <si>
    <t>Avances fournisseurs Casse 18</t>
  </si>
  <si>
    <t>Avances fournisseurs Casse 21</t>
  </si>
  <si>
    <t>Stocks Marchandises AGR</t>
  </si>
  <si>
    <t>Stocks Marchandises OR</t>
  </si>
  <si>
    <t>Stocks Marchandises P/O</t>
  </si>
  <si>
    <t>or articles.21</t>
  </si>
  <si>
    <t>perles</t>
  </si>
  <si>
    <t>djouher</t>
  </si>
  <si>
    <t>zazaghe</t>
  </si>
  <si>
    <t>colier harme</t>
  </si>
  <si>
    <t>coraille</t>
  </si>
  <si>
    <t>embalage</t>
  </si>
  <si>
    <t>lux</t>
  </si>
  <si>
    <t>Plaqué or</t>
  </si>
  <si>
    <t>Divers</t>
  </si>
  <si>
    <t>argent casse.250</t>
  </si>
  <si>
    <t>2023-2024</t>
  </si>
  <si>
    <t>الواهج مامة</t>
  </si>
  <si>
    <t>بن يامي اسلام بن حمزة</t>
  </si>
  <si>
    <t>بن يامي محمد بن حمزة</t>
  </si>
  <si>
    <t>خن لقمان</t>
  </si>
  <si>
    <t>مدرسة فسايل الامل</t>
  </si>
  <si>
    <t>الواهج فاطمة الزهراء</t>
  </si>
  <si>
    <t>الواهج لالة</t>
  </si>
  <si>
    <t>صالح والحاج ادريس بن سليمان</t>
  </si>
  <si>
    <t>صالح والحاج  سليمان بن عمر</t>
  </si>
  <si>
    <t>صالح والحاج سليمان ين عمر</t>
  </si>
  <si>
    <t>طالب باحمد نانة</t>
  </si>
  <si>
    <t>babker abdelaziz/M2</t>
  </si>
  <si>
    <t>magasin elfeth ghardaia</t>
  </si>
  <si>
    <t>salah arg</t>
  </si>
  <si>
    <t>client divers</t>
  </si>
  <si>
    <t>plaquar de bireau</t>
  </si>
  <si>
    <t>AVP</t>
  </si>
  <si>
    <t>Devise-euro</t>
  </si>
  <si>
    <t>argent casse.999</t>
  </si>
  <si>
    <t>mesaise local PS</t>
  </si>
  <si>
    <t>bague solitaire</t>
  </si>
  <si>
    <t>client divers reparation</t>
  </si>
  <si>
    <t>client divers dorure</t>
  </si>
  <si>
    <t>رؤوس الأموال نهاية  2024-2023</t>
  </si>
  <si>
    <t>babker abdelaziz</t>
  </si>
  <si>
    <t>at b1</t>
  </si>
  <si>
    <t>at b2</t>
  </si>
  <si>
    <t>الفائدة</t>
  </si>
  <si>
    <t>امانة من سنة 2022 ليست في ذمتي 1547888.92</t>
  </si>
  <si>
    <t>med djelfa</t>
  </si>
  <si>
    <t>النادي الرياضي فسائل الامل</t>
  </si>
  <si>
    <t>الواهج عمر بن يحي بن حمو</t>
  </si>
  <si>
    <t>debouz hadj kacem</t>
  </si>
  <si>
    <t xml:space="preserve">في محل صياغة الفتح  الى تاريخ 13 ربيع الثاني 1446 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</si>
</sst>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5" formatCode="#,##0\ &quot;€&quot;;\-#,##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_-* #,##0.00\ _F_-;\-* #,##0.00\ _F_-;_-* &quot;-&quot;??\ _F_-;_-@_-"/>
    <numFmt numFmtId="166" formatCode="_-* #,##0.00_-;_-* #,##0.00\-;_-* &quot;-&quot;??_-;_-@_-"/>
    <numFmt numFmtId="167" formatCode="_-* #,##0.00\ [$€]_-;\-* #,##0.00\ [$€]_-;_-* &quot;-&quot;??\ [$€]_-;_-@_-"/>
    <numFmt numFmtId="168" formatCode="#,##0\ _€"/>
    <numFmt numFmtId="169" formatCode="0.0000"/>
    <numFmt numFmtId="170" formatCode="0.000000"/>
    <numFmt numFmtId="171" formatCode="_-* #,##0.00\ _D_A_-;\-* #,##0.00\ _D_A_-;_-* &quot;-&quot;??\ _D_A_-;_-@_-"/>
    <numFmt numFmtId="172" formatCode="_-* #,##0.000000_-;_-* #,##0.000000\-;_-* &quot;-&quot;??_-;_-@_-"/>
    <numFmt numFmtId="173" formatCode="yyyy"/>
    <numFmt numFmtId="174" formatCode="mmmm"/>
    <numFmt numFmtId="175" formatCode="#,##0.00\ _€"/>
    <numFmt numFmtId="176" formatCode="#,##0.00_ ;\-#,##0.00\ "/>
    <numFmt numFmtId="177" formatCode="_-* #,##0\ _€_-;\-* #,##0\ _€_-;_-* &quot;-&quot;??\ _€_-;_-@_-"/>
  </numFmts>
  <fonts count="84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6"/>
      <name val="Traditional Arabic"/>
      <family val="1"/>
    </font>
    <font>
      <sz val="10"/>
      <name val="Traditional Arabic"/>
      <family val="1"/>
    </font>
    <font>
      <sz val="12"/>
      <name val="Tahoma"/>
      <family val="2"/>
    </font>
    <font>
      <sz val="14"/>
      <name val="Traditional Arabic"/>
      <family val="1"/>
    </font>
    <font>
      <sz val="10"/>
      <name val="Arial"/>
      <family val="2"/>
    </font>
    <font>
      <b/>
      <sz val="14"/>
      <name val="Traditional Arabic"/>
      <family val="1"/>
    </font>
    <font>
      <b/>
      <sz val="16"/>
      <name val="Traditional Arabic"/>
      <family val="1"/>
    </font>
    <font>
      <sz val="11"/>
      <color indexed="8"/>
      <name val="Calibri"/>
      <family val="2"/>
      <charset val="178"/>
    </font>
    <font>
      <b/>
      <sz val="18"/>
      <name val="Traditional Arabic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color rgb="FF000000"/>
      <name val="Arabic Typesetting"/>
      <family val="4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000000"/>
      <name val="Arabic Typesetting"/>
      <family val="4"/>
    </font>
    <font>
      <sz val="16"/>
      <color theme="1"/>
      <name val="Traditional Arabic"/>
      <family val="1"/>
    </font>
    <font>
      <sz val="16"/>
      <color theme="1"/>
      <name val="Calibri"/>
      <family val="2"/>
      <scheme val="minor"/>
    </font>
    <font>
      <b/>
      <sz val="16"/>
      <color theme="1"/>
      <name val="Traditional Arabic"/>
      <family val="1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name val="Traditional Arabic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name val="Traditional Arabic"/>
      <family val="1"/>
    </font>
    <font>
      <b/>
      <sz val="14"/>
      <color theme="1"/>
      <name val="Calibri"/>
      <family val="2"/>
      <scheme val="minor"/>
    </font>
    <font>
      <sz val="14"/>
      <color theme="1"/>
      <name val="Traditional Arabic"/>
      <family val="1"/>
    </font>
    <font>
      <b/>
      <sz val="14"/>
      <color theme="1"/>
      <name val="Traditional Arabic"/>
      <family val="1"/>
    </font>
    <font>
      <b/>
      <sz val="22"/>
      <color theme="1"/>
      <name val="Traditional Arabic"/>
      <family val="1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indexed="52"/>
      <name val="Calibri"/>
      <family val="2"/>
    </font>
    <font>
      <b/>
      <sz val="36"/>
      <name val="Traditional Arabic"/>
      <family val="1"/>
    </font>
    <font>
      <b/>
      <sz val="14"/>
      <color rgb="FFFF0000"/>
      <name val="Traditional Arabic"/>
      <family val="1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Book Antiqua"/>
      <family val="1"/>
    </font>
    <font>
      <b/>
      <i/>
      <sz val="18"/>
      <color theme="1"/>
      <name val="Book Antiqua"/>
      <family val="1"/>
    </font>
    <font>
      <i/>
      <sz val="11"/>
      <color theme="1"/>
      <name val="Cambria"/>
      <family val="1"/>
      <scheme val="major"/>
    </font>
    <font>
      <sz val="11"/>
      <color theme="1"/>
      <name val="Book Antiqua"/>
      <family val="1"/>
    </font>
    <font>
      <b/>
      <i/>
      <sz val="11"/>
      <color theme="1"/>
      <name val="Book Antiqua"/>
      <family val="1"/>
    </font>
    <font>
      <b/>
      <sz val="11"/>
      <color theme="1"/>
      <name val="Book Antiqua"/>
      <family val="1"/>
    </font>
    <font>
      <i/>
      <sz val="11"/>
      <color theme="1"/>
      <name val="Book Antiqua"/>
      <family val="1"/>
    </font>
    <font>
      <b/>
      <sz val="12"/>
      <name val="Calibri"/>
      <family val="2"/>
    </font>
    <font>
      <i/>
      <sz val="12"/>
      <color theme="1"/>
      <name val="Cambria"/>
      <family val="1"/>
      <scheme val="major"/>
    </font>
    <font>
      <b/>
      <sz val="12"/>
      <color theme="1"/>
      <name val="Book Antiqua"/>
      <family val="1"/>
    </font>
    <font>
      <b/>
      <i/>
      <sz val="12"/>
      <color theme="1"/>
      <name val="Book Antiqua"/>
      <family val="1"/>
    </font>
    <font>
      <sz val="12"/>
      <color theme="1"/>
      <name val="Book Antiqua"/>
      <family val="1"/>
    </font>
    <font>
      <i/>
      <sz val="12"/>
      <color theme="1"/>
      <name val="Book Antiqua"/>
      <family val="1"/>
    </font>
    <font>
      <b/>
      <sz val="14"/>
      <name val="Arial"/>
      <family val="2"/>
    </font>
    <font>
      <b/>
      <sz val="18"/>
      <name val="Calibri"/>
      <family val="2"/>
      <scheme val="minor"/>
    </font>
    <font>
      <sz val="18"/>
      <name val="Arial"/>
      <family val="2"/>
    </font>
    <font>
      <sz val="18"/>
      <name val="Calibri"/>
      <family val="2"/>
      <scheme val="minor"/>
    </font>
    <font>
      <b/>
      <i/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12"/>
      <name val="Traditional Arabic"/>
      <family val="1"/>
    </font>
    <font>
      <sz val="11"/>
      <color theme="1"/>
      <name val="Arial"/>
      <family val="2"/>
    </font>
    <font>
      <b/>
      <i/>
      <sz val="16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mbria"/>
      <family val="1"/>
      <scheme val="major"/>
    </font>
    <font>
      <sz val="9"/>
      <color indexed="81"/>
      <name val="Tahoma"/>
    </font>
    <font>
      <b/>
      <sz val="9"/>
      <color indexed="81"/>
      <name val="Tahoma"/>
    </font>
  </fonts>
  <fills count="2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81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3">
    <xf numFmtId="0" fontId="0" fillId="0" borderId="0"/>
    <xf numFmtId="165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5" fontId="12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10" fillId="0" borderId="0"/>
    <xf numFmtId="0" fontId="23" fillId="0" borderId="0"/>
    <xf numFmtId="0" fontId="13" fillId="0" borderId="0"/>
    <xf numFmtId="0" fontId="9" fillId="0" borderId="0"/>
    <xf numFmtId="0" fontId="9" fillId="0" borderId="0"/>
    <xf numFmtId="0" fontId="18" fillId="0" borderId="0"/>
    <xf numFmtId="0" fontId="23" fillId="0" borderId="0"/>
    <xf numFmtId="9" fontId="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71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5" fillId="0" borderId="23" applyNumberFormat="0" applyFill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" fillId="0" borderId="0"/>
    <xf numFmtId="0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91">
    <xf numFmtId="0" fontId="0" fillId="0" borderId="0" xfId="0"/>
    <xf numFmtId="0" fontId="15" fillId="0" borderId="0" xfId="33" applyFont="1"/>
    <xf numFmtId="0" fontId="25" fillId="0" borderId="0" xfId="33" applyFont="1" applyAlignment="1">
      <alignment horizontal="center" readingOrder="2"/>
    </xf>
    <xf numFmtId="0" fontId="14" fillId="0" borderId="0" xfId="33" applyFont="1" applyAlignment="1">
      <alignment vertical="center"/>
    </xf>
    <xf numFmtId="0" fontId="16" fillId="0" borderId="1" xfId="33" applyFont="1" applyFill="1" applyBorder="1" applyAlignment="1">
      <alignment vertical="center"/>
    </xf>
    <xf numFmtId="43" fontId="14" fillId="0" borderId="1" xfId="33" applyNumberFormat="1" applyFont="1" applyFill="1" applyBorder="1" applyAlignment="1">
      <alignment vertical="center"/>
    </xf>
    <xf numFmtId="0" fontId="14" fillId="0" borderId="1" xfId="33" applyFont="1" applyFill="1" applyBorder="1" applyAlignment="1">
      <alignment vertical="center"/>
    </xf>
    <xf numFmtId="43" fontId="14" fillId="0" borderId="1" xfId="14" applyFont="1" applyFill="1" applyBorder="1" applyAlignment="1">
      <alignment vertical="center"/>
    </xf>
    <xf numFmtId="43" fontId="14" fillId="0" borderId="0" xfId="33" applyNumberFormat="1" applyFont="1" applyAlignment="1">
      <alignment vertical="center"/>
    </xf>
    <xf numFmtId="0" fontId="15" fillId="0" borderId="0" xfId="33" applyFont="1" applyFill="1" applyBorder="1"/>
    <xf numFmtId="0" fontId="26" fillId="0" borderId="0" xfId="33" applyFont="1" applyAlignment="1">
      <alignment vertical="center"/>
    </xf>
    <xf numFmtId="0" fontId="26" fillId="0" borderId="0" xfId="33" applyFont="1" applyFill="1" applyAlignment="1">
      <alignment vertical="center"/>
    </xf>
    <xf numFmtId="0" fontId="26" fillId="0" borderId="0" xfId="33" applyFont="1" applyBorder="1" applyAlignment="1">
      <alignment vertical="center"/>
    </xf>
    <xf numFmtId="0" fontId="27" fillId="0" borderId="0" xfId="33" applyFont="1" applyBorder="1" applyAlignment="1">
      <alignment vertical="center"/>
    </xf>
    <xf numFmtId="0" fontId="26" fillId="0" borderId="0" xfId="33" applyFont="1" applyFill="1" applyBorder="1" applyAlignment="1">
      <alignment vertical="center"/>
    </xf>
    <xf numFmtId="0" fontId="26" fillId="0" borderId="3" xfId="33" applyFont="1" applyBorder="1" applyAlignment="1">
      <alignment vertical="center"/>
    </xf>
    <xf numFmtId="164" fontId="27" fillId="3" borderId="4" xfId="38" applyNumberFormat="1" applyFont="1" applyFill="1" applyBorder="1" applyAlignment="1">
      <alignment horizontal="center" vertical="center"/>
    </xf>
    <xf numFmtId="0" fontId="26" fillId="0" borderId="7" xfId="33" applyFont="1" applyBorder="1" applyAlignment="1">
      <alignment vertical="center"/>
    </xf>
    <xf numFmtId="0" fontId="27" fillId="0" borderId="0" xfId="33" applyFont="1" applyAlignment="1">
      <alignment vertical="center"/>
    </xf>
    <xf numFmtId="0" fontId="17" fillId="0" borderId="6" xfId="33" applyFont="1" applyBorder="1" applyAlignment="1">
      <alignment horizontal="center" vertical="center"/>
    </xf>
    <xf numFmtId="0" fontId="28" fillId="0" borderId="0" xfId="33" applyFont="1" applyAlignment="1">
      <alignment horizontal="right" vertical="center" readingOrder="2"/>
    </xf>
    <xf numFmtId="9" fontId="26" fillId="0" borderId="0" xfId="38" applyFont="1" applyAlignment="1">
      <alignment vertical="center"/>
    </xf>
    <xf numFmtId="9" fontId="26" fillId="0" borderId="0" xfId="38" applyFont="1" applyBorder="1" applyAlignment="1">
      <alignment vertical="center"/>
    </xf>
    <xf numFmtId="166" fontId="27" fillId="0" borderId="0" xfId="8" applyFont="1" applyAlignment="1">
      <alignment horizontal="center" vertical="center"/>
    </xf>
    <xf numFmtId="0" fontId="27" fillId="0" borderId="0" xfId="33" applyFont="1" applyBorder="1" applyAlignment="1">
      <alignment horizontal="center" vertical="center"/>
    </xf>
    <xf numFmtId="0" fontId="29" fillId="0" borderId="0" xfId="36" applyFont="1" applyAlignment="1">
      <alignment horizontal="center"/>
    </xf>
    <xf numFmtId="43" fontId="30" fillId="0" borderId="1" xfId="26" applyFont="1" applyBorder="1"/>
    <xf numFmtId="0" fontId="29" fillId="0" borderId="0" xfId="36" applyFont="1"/>
    <xf numFmtId="43" fontId="30" fillId="0" borderId="0" xfId="26" applyFont="1" applyBorder="1"/>
    <xf numFmtId="0" fontId="19" fillId="4" borderId="1" xfId="33" applyFont="1" applyFill="1" applyBorder="1" applyAlignment="1">
      <alignment horizontal="center" vertical="center" wrapText="1"/>
    </xf>
    <xf numFmtId="0" fontId="29" fillId="0" borderId="1" xfId="36" applyFont="1" applyBorder="1" applyAlignment="1">
      <alignment horizontal="center"/>
    </xf>
    <xf numFmtId="43" fontId="30" fillId="0" borderId="1" xfId="36" applyNumberFormat="1" applyFont="1" applyBorder="1"/>
    <xf numFmtId="9" fontId="30" fillId="0" borderId="1" xfId="41" applyFont="1" applyBorder="1" applyAlignment="1">
      <alignment horizontal="center" vertical="center"/>
    </xf>
    <xf numFmtId="9" fontId="26" fillId="0" borderId="1" xfId="41" applyFont="1" applyBorder="1" applyAlignment="1">
      <alignment horizontal="center" vertical="center"/>
    </xf>
    <xf numFmtId="0" fontId="26" fillId="0" borderId="0" xfId="33" applyFont="1" applyAlignment="1">
      <alignment horizontal="center" vertical="center"/>
    </xf>
    <xf numFmtId="165" fontId="27" fillId="3" borderId="4" xfId="3" applyNumberFormat="1" applyFont="1" applyFill="1" applyBorder="1" applyAlignment="1">
      <alignment vertical="center"/>
    </xf>
    <xf numFmtId="165" fontId="27" fillId="3" borderId="4" xfId="3" applyNumberFormat="1" applyFont="1" applyFill="1" applyBorder="1" applyAlignment="1">
      <alignment horizontal="center" vertical="center"/>
    </xf>
    <xf numFmtId="165" fontId="26" fillId="0" borderId="12" xfId="3" applyNumberFormat="1" applyFont="1" applyBorder="1" applyAlignment="1">
      <alignment vertical="center"/>
    </xf>
    <xf numFmtId="165" fontId="26" fillId="0" borderId="12" xfId="3" applyNumberFormat="1" applyFont="1" applyBorder="1" applyAlignment="1">
      <alignment horizontal="center" vertical="center"/>
    </xf>
    <xf numFmtId="165" fontId="27" fillId="5" borderId="13" xfId="3" applyNumberFormat="1" applyFont="1" applyFill="1" applyBorder="1" applyAlignment="1">
      <alignment vertical="center"/>
    </xf>
    <xf numFmtId="165" fontId="27" fillId="0" borderId="0" xfId="3" applyNumberFormat="1" applyFont="1" applyBorder="1" applyAlignment="1">
      <alignment vertical="center"/>
    </xf>
    <xf numFmtId="165" fontId="27" fillId="0" borderId="0" xfId="3" applyNumberFormat="1" applyFont="1" applyBorder="1" applyAlignment="1">
      <alignment horizontal="center" vertical="center"/>
    </xf>
    <xf numFmtId="164" fontId="26" fillId="0" borderId="0" xfId="38" applyNumberFormat="1" applyFont="1" applyAlignment="1">
      <alignment vertical="center"/>
    </xf>
    <xf numFmtId="0" fontId="26" fillId="0" borderId="0" xfId="33" applyFont="1" applyFill="1" applyAlignment="1">
      <alignment horizontal="center" vertical="center"/>
    </xf>
    <xf numFmtId="43" fontId="26" fillId="0" borderId="12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6" fontId="26" fillId="0" borderId="6" xfId="8" applyFont="1" applyBorder="1" applyAlignment="1">
      <alignment vertical="center"/>
    </xf>
    <xf numFmtId="0" fontId="26" fillId="0" borderId="9" xfId="33" applyFont="1" applyBorder="1" applyAlignment="1">
      <alignment vertical="center"/>
    </xf>
    <xf numFmtId="165" fontId="27" fillId="3" borderId="11" xfId="3" applyNumberFormat="1" applyFont="1" applyFill="1" applyBorder="1" applyAlignment="1">
      <alignment vertical="center"/>
    </xf>
    <xf numFmtId="43" fontId="26" fillId="0" borderId="0" xfId="33" applyNumberFormat="1" applyFont="1" applyAlignment="1">
      <alignment vertical="center"/>
    </xf>
    <xf numFmtId="0" fontId="27" fillId="0" borderId="8" xfId="33" applyFont="1" applyBorder="1" applyAlignment="1">
      <alignment horizontal="center" vertical="center"/>
    </xf>
    <xf numFmtId="0" fontId="29" fillId="0" borderId="0" xfId="36" applyFont="1" applyAlignment="1">
      <alignment wrapText="1"/>
    </xf>
    <xf numFmtId="0" fontId="17" fillId="6" borderId="11" xfId="33" applyFont="1" applyFill="1" applyBorder="1" applyAlignment="1">
      <alignment horizontal="center" vertical="center"/>
    </xf>
    <xf numFmtId="0" fontId="14" fillId="0" borderId="0" xfId="33" applyFont="1" applyBorder="1" applyAlignment="1">
      <alignment vertical="center"/>
    </xf>
    <xf numFmtId="0" fontId="14" fillId="0" borderId="17" xfId="33" applyFont="1" applyBorder="1" applyAlignment="1">
      <alignment vertical="center"/>
    </xf>
    <xf numFmtId="0" fontId="14" fillId="0" borderId="5" xfId="33" applyFont="1" applyBorder="1" applyAlignment="1">
      <alignment vertical="center"/>
    </xf>
    <xf numFmtId="0" fontId="14" fillId="0" borderId="2" xfId="33" applyFont="1" applyBorder="1" applyAlignment="1">
      <alignment vertical="center"/>
    </xf>
    <xf numFmtId="9" fontId="31" fillId="7" borderId="1" xfId="38" applyFont="1" applyFill="1" applyBorder="1" applyAlignment="1">
      <alignment horizontal="center" vertical="center"/>
    </xf>
    <xf numFmtId="0" fontId="36" fillId="0" borderId="1" xfId="36" applyFont="1" applyBorder="1" applyAlignment="1">
      <alignment horizontal="center" vertical="center"/>
    </xf>
    <xf numFmtId="166" fontId="36" fillId="0" borderId="1" xfId="8" applyFont="1" applyFill="1" applyBorder="1" applyAlignment="1">
      <alignment horizontal="center" vertical="center"/>
    </xf>
    <xf numFmtId="43" fontId="26" fillId="0" borderId="1" xfId="36" applyNumberFormat="1" applyFont="1" applyBorder="1"/>
    <xf numFmtId="10" fontId="30" fillId="0" borderId="1" xfId="41" applyNumberFormat="1" applyFont="1" applyBorder="1" applyAlignment="1">
      <alignment horizontal="center" vertical="center"/>
    </xf>
    <xf numFmtId="14" fontId="29" fillId="0" borderId="0" xfId="36" applyNumberFormat="1" applyFont="1"/>
    <xf numFmtId="10" fontId="29" fillId="0" borderId="0" xfId="38" applyNumberFormat="1" applyFont="1"/>
    <xf numFmtId="43" fontId="30" fillId="0" borderId="1" xfId="8" applyNumberFormat="1" applyFont="1" applyBorder="1"/>
    <xf numFmtId="43" fontId="32" fillId="8" borderId="19" xfId="36" applyNumberFormat="1" applyFont="1" applyFill="1" applyBorder="1" applyAlignment="1">
      <alignment vertical="center"/>
    </xf>
    <xf numFmtId="9" fontId="32" fillId="8" borderId="19" xfId="38" applyFont="1" applyFill="1" applyBorder="1" applyAlignment="1">
      <alignment horizontal="center" vertical="center"/>
    </xf>
    <xf numFmtId="0" fontId="29" fillId="0" borderId="0" xfId="36" applyFont="1" applyAlignment="1">
      <alignment vertical="center"/>
    </xf>
    <xf numFmtId="0" fontId="35" fillId="0" borderId="0" xfId="48" applyFont="1" applyAlignment="1">
      <alignment horizontal="center" vertical="center"/>
    </xf>
    <xf numFmtId="14" fontId="35" fillId="0" borderId="0" xfId="48" applyNumberFormat="1" applyFont="1" applyAlignment="1">
      <alignment horizontal="center" vertical="center"/>
    </xf>
    <xf numFmtId="43" fontId="35" fillId="0" borderId="1" xfId="49" applyFont="1" applyBorder="1" applyAlignment="1">
      <alignment horizontal="center" vertical="center"/>
    </xf>
    <xf numFmtId="43" fontId="35" fillId="0" borderId="0" xfId="49" applyFont="1" applyAlignment="1">
      <alignment horizontal="center" vertical="center"/>
    </xf>
    <xf numFmtId="14" fontId="43" fillId="0" borderId="0" xfId="8" applyNumberFormat="1" applyFont="1" applyAlignment="1">
      <alignment horizontal="center" vertical="center"/>
    </xf>
    <xf numFmtId="172" fontId="43" fillId="0" borderId="0" xfId="8" applyNumberFormat="1" applyFont="1" applyAlignment="1">
      <alignment horizontal="center" vertical="center"/>
    </xf>
    <xf numFmtId="43" fontId="39" fillId="0" borderId="1" xfId="49" applyFont="1" applyFill="1" applyBorder="1" applyAlignment="1">
      <alignment horizontal="center" vertical="center"/>
    </xf>
    <xf numFmtId="166" fontId="39" fillId="0" borderId="1" xfId="8" applyFont="1" applyFill="1" applyBorder="1" applyAlignment="1">
      <alignment horizontal="center" vertical="center"/>
    </xf>
    <xf numFmtId="0" fontId="35" fillId="0" borderId="1" xfId="48" applyFont="1" applyFill="1" applyBorder="1" applyAlignment="1">
      <alignment horizontal="center" vertical="center"/>
    </xf>
    <xf numFmtId="43" fontId="35" fillId="0" borderId="1" xfId="49" applyFont="1" applyFill="1" applyBorder="1" applyAlignment="1">
      <alignment horizontal="center" vertical="center"/>
    </xf>
    <xf numFmtId="43" fontId="35" fillId="0" borderId="1" xfId="48" applyNumberFormat="1" applyFont="1" applyBorder="1" applyAlignment="1">
      <alignment horizontal="center" vertical="center"/>
    </xf>
    <xf numFmtId="0" fontId="35" fillId="0" borderId="1" xfId="8" applyNumberFormat="1" applyFont="1" applyBorder="1" applyAlignment="1">
      <alignment horizontal="center" vertical="center"/>
    </xf>
    <xf numFmtId="14" fontId="35" fillId="0" borderId="1" xfId="45" applyNumberFormat="1" applyFont="1" applyFill="1" applyBorder="1" applyAlignment="1">
      <alignment horizontal="center" vertical="center"/>
    </xf>
    <xf numFmtId="43" fontId="44" fillId="0" borderId="1" xfId="36" applyNumberFormat="1" applyFont="1" applyFill="1" applyBorder="1" applyAlignment="1">
      <alignment horizontal="center" vertical="center"/>
    </xf>
    <xf numFmtId="10" fontId="14" fillId="0" borderId="1" xfId="38" applyNumberFormat="1" applyFont="1" applyFill="1" applyBorder="1" applyAlignment="1">
      <alignment horizontal="center" vertical="center"/>
    </xf>
    <xf numFmtId="0" fontId="16" fillId="9" borderId="1" xfId="33" applyFont="1" applyFill="1" applyBorder="1" applyAlignment="1">
      <alignment vertical="center"/>
    </xf>
    <xf numFmtId="165" fontId="14" fillId="9" borderId="1" xfId="23" applyNumberFormat="1" applyFont="1" applyFill="1" applyBorder="1" applyAlignment="1">
      <alignment horizontal="center" vertical="center"/>
    </xf>
    <xf numFmtId="0" fontId="14" fillId="9" borderId="1" xfId="33" applyFont="1" applyFill="1" applyBorder="1" applyAlignment="1">
      <alignment vertical="center"/>
    </xf>
    <xf numFmtId="43" fontId="14" fillId="9" borderId="1" xfId="33" applyNumberFormat="1" applyFont="1" applyFill="1" applyBorder="1" applyAlignment="1">
      <alignment vertical="center"/>
    </xf>
    <xf numFmtId="10" fontId="30" fillId="0" borderId="1" xfId="38" applyNumberFormat="1" applyFont="1" applyBorder="1" applyAlignment="1">
      <alignment horizontal="center"/>
    </xf>
    <xf numFmtId="0" fontId="28" fillId="0" borderId="0" xfId="33" applyFont="1" applyAlignment="1">
      <alignment horizontal="center" readingOrder="2"/>
    </xf>
    <xf numFmtId="0" fontId="31" fillId="7" borderId="1" xfId="36" applyFont="1" applyFill="1" applyBorder="1" applyAlignment="1">
      <alignment horizontal="center" vertical="center"/>
    </xf>
    <xf numFmtId="0" fontId="29" fillId="0" borderId="0" xfId="36" applyFont="1" applyFill="1" applyBorder="1" applyAlignment="1">
      <alignment horizontal="center" vertical="center"/>
    </xf>
    <xf numFmtId="0" fontId="29" fillId="0" borderId="0" xfId="36" applyFont="1" applyAlignment="1">
      <alignment horizontal="center" vertical="center"/>
    </xf>
    <xf numFmtId="0" fontId="9" fillId="0" borderId="0" xfId="33"/>
    <xf numFmtId="165" fontId="26" fillId="0" borderId="0" xfId="33" applyNumberFormat="1" applyFont="1" applyAlignment="1">
      <alignment vertical="center"/>
    </xf>
    <xf numFmtId="165" fontId="26" fillId="0" borderId="11" xfId="3" applyNumberFormat="1" applyFont="1" applyBorder="1" applyAlignment="1">
      <alignment vertical="center"/>
    </xf>
    <xf numFmtId="0" fontId="26" fillId="0" borderId="3" xfId="33" applyFont="1" applyFill="1" applyBorder="1" applyAlignment="1">
      <alignment vertical="center"/>
    </xf>
    <xf numFmtId="0" fontId="26" fillId="0" borderId="7" xfId="33" applyFont="1" applyFill="1" applyBorder="1" applyAlignment="1">
      <alignment vertical="center"/>
    </xf>
    <xf numFmtId="165" fontId="26" fillId="0" borderId="11" xfId="3" applyNumberFormat="1" applyFont="1" applyBorder="1" applyAlignment="1">
      <alignment horizontal="center" vertical="center"/>
    </xf>
    <xf numFmtId="0" fontId="14" fillId="0" borderId="8" xfId="33" applyFont="1" applyBorder="1" applyAlignment="1">
      <alignment vertical="center"/>
    </xf>
    <xf numFmtId="0" fontId="20" fillId="7" borderId="22" xfId="33" applyFont="1" applyFill="1" applyBorder="1" applyAlignment="1">
      <alignment horizontal="center" vertical="center" wrapText="1"/>
    </xf>
    <xf numFmtId="0" fontId="27" fillId="5" borderId="15" xfId="33" applyFont="1" applyFill="1" applyBorder="1" applyAlignment="1">
      <alignment horizontal="center" vertical="center"/>
    </xf>
    <xf numFmtId="0" fontId="27" fillId="5" borderId="16" xfId="33" applyFont="1" applyFill="1" applyBorder="1" applyAlignment="1">
      <alignment horizontal="center" vertical="center"/>
    </xf>
    <xf numFmtId="0" fontId="27" fillId="5" borderId="13" xfId="33" applyFont="1" applyFill="1" applyBorder="1" applyAlignment="1">
      <alignment horizontal="center" vertical="center"/>
    </xf>
    <xf numFmtId="0" fontId="27" fillId="0" borderId="11" xfId="33" applyFont="1" applyBorder="1" applyAlignment="1">
      <alignment horizontal="center" vertical="center"/>
    </xf>
    <xf numFmtId="0" fontId="27" fillId="0" borderId="9" xfId="33" applyFont="1" applyBorder="1" applyAlignment="1">
      <alignment horizontal="center" vertical="center"/>
    </xf>
    <xf numFmtId="0" fontId="27" fillId="0" borderId="6" xfId="33" applyFont="1" applyBorder="1" applyAlignment="1">
      <alignment horizontal="center" vertical="center"/>
    </xf>
    <xf numFmtId="43" fontId="42" fillId="0" borderId="0" xfId="49" applyFont="1" applyFill="1" applyBorder="1" applyAlignment="1">
      <alignment vertical="center"/>
    </xf>
    <xf numFmtId="0" fontId="41" fillId="10" borderId="1" xfId="48" applyFont="1" applyFill="1" applyBorder="1" applyAlignment="1">
      <alignment horizontal="center" vertical="center"/>
    </xf>
    <xf numFmtId="43" fontId="41" fillId="10" borderId="1" xfId="49" applyFont="1" applyFill="1" applyBorder="1" applyAlignment="1">
      <alignment horizontal="center" vertical="center" wrapText="1"/>
    </xf>
    <xf numFmtId="0" fontId="19" fillId="0" borderId="0" xfId="33" applyFont="1" applyAlignment="1">
      <alignment vertical="center"/>
    </xf>
    <xf numFmtId="14" fontId="19" fillId="0" borderId="0" xfId="33" applyNumberFormat="1" applyFont="1" applyAlignment="1">
      <alignment vertical="center"/>
    </xf>
    <xf numFmtId="10" fontId="19" fillId="0" borderId="0" xfId="38" applyNumberFormat="1" applyFont="1" applyAlignment="1">
      <alignment vertical="center"/>
    </xf>
    <xf numFmtId="10" fontId="19" fillId="0" borderId="0" xfId="33" applyNumberFormat="1" applyFont="1" applyAlignment="1">
      <alignment vertical="center"/>
    </xf>
    <xf numFmtId="0" fontId="19" fillId="0" borderId="0" xfId="33" applyFont="1" applyAlignment="1">
      <alignment horizontal="center" vertical="center"/>
    </xf>
    <xf numFmtId="165" fontId="27" fillId="3" borderId="11" xfId="3" applyNumberFormat="1" applyFont="1" applyFill="1" applyBorder="1" applyAlignment="1">
      <alignment horizontal="center" vertical="center"/>
    </xf>
    <xf numFmtId="165" fontId="27" fillId="5" borderId="6" xfId="3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12" xfId="0" applyBorder="1"/>
    <xf numFmtId="0" fontId="26" fillId="0" borderId="10" xfId="33" applyFont="1" applyBorder="1" applyAlignment="1">
      <alignment vertical="center"/>
    </xf>
    <xf numFmtId="0" fontId="47" fillId="0" borderId="0" xfId="33" applyFont="1" applyAlignment="1">
      <alignment vertical="center"/>
    </xf>
    <xf numFmtId="14" fontId="49" fillId="0" borderId="23" xfId="55" applyNumberFormat="1" applyFont="1" applyAlignment="1">
      <alignment horizontal="center" vertical="center"/>
    </xf>
    <xf numFmtId="0" fontId="50" fillId="0" borderId="0" xfId="65" applyFont="1"/>
    <xf numFmtId="0" fontId="50" fillId="0" borderId="0" xfId="66" applyFont="1" applyAlignment="1">
      <alignment horizontal="left" vertical="center"/>
    </xf>
    <xf numFmtId="43" fontId="50" fillId="0" borderId="0" xfId="67" applyFont="1" applyAlignment="1">
      <alignment horizontal="center" vertical="center"/>
    </xf>
    <xf numFmtId="0" fontId="50" fillId="0" borderId="0" xfId="66" applyFont="1" applyAlignment="1">
      <alignment horizontal="center" vertical="center"/>
    </xf>
    <xf numFmtId="0" fontId="50" fillId="0" borderId="0" xfId="66" applyFont="1" applyAlignment="1">
      <alignment vertical="center"/>
    </xf>
    <xf numFmtId="165" fontId="49" fillId="0" borderId="23" xfId="68" applyFont="1" applyBorder="1" applyAlignment="1">
      <alignment horizontal="center" vertical="center"/>
    </xf>
    <xf numFmtId="0" fontId="51" fillId="0" borderId="0" xfId="66" applyFont="1" applyAlignment="1">
      <alignment horizontal="left" vertical="center"/>
    </xf>
    <xf numFmtId="173" fontId="50" fillId="0" borderId="0" xfId="66" applyNumberFormat="1" applyFont="1" applyAlignment="1">
      <alignment horizontal="center" vertical="center"/>
    </xf>
    <xf numFmtId="14" fontId="50" fillId="0" borderId="0" xfId="66" applyNumberFormat="1" applyFont="1" applyAlignment="1">
      <alignment vertical="center"/>
    </xf>
    <xf numFmtId="14" fontId="52" fillId="0" borderId="0" xfId="66" applyNumberFormat="1" applyFont="1" applyAlignment="1">
      <alignment horizontal="center" vertical="center"/>
    </xf>
    <xf numFmtId="14" fontId="50" fillId="0" borderId="0" xfId="66" applyNumberFormat="1" applyFont="1" applyAlignment="1">
      <alignment horizontal="center" vertical="center"/>
    </xf>
    <xf numFmtId="43" fontId="53" fillId="11" borderId="0" xfId="67" applyFont="1" applyFill="1" applyAlignment="1">
      <alignment horizontal="center" vertical="center"/>
    </xf>
    <xf numFmtId="43" fontId="50" fillId="0" borderId="24" xfId="67" applyFont="1" applyBorder="1" applyAlignment="1">
      <alignment vertical="center"/>
    </xf>
    <xf numFmtId="43" fontId="50" fillId="0" borderId="25" xfId="67" applyFont="1" applyBorder="1" applyAlignment="1">
      <alignment vertical="center"/>
    </xf>
    <xf numFmtId="43" fontId="50" fillId="0" borderId="26" xfId="67" applyFont="1" applyBorder="1" applyAlignment="1">
      <alignment vertical="center"/>
    </xf>
    <xf numFmtId="43" fontId="54" fillId="0" borderId="24" xfId="67" applyFont="1" applyBorder="1" applyAlignment="1">
      <alignment vertical="center"/>
    </xf>
    <xf numFmtId="43" fontId="54" fillId="0" borderId="26" xfId="67" applyFont="1" applyBorder="1" applyAlignment="1">
      <alignment vertical="center"/>
    </xf>
    <xf numFmtId="43" fontId="9" fillId="0" borderId="27" xfId="67" applyFont="1" applyBorder="1" applyAlignment="1">
      <alignment vertical="center"/>
    </xf>
    <xf numFmtId="43" fontId="9" fillId="0" borderId="25" xfId="67" applyFont="1" applyBorder="1" applyAlignment="1">
      <alignment vertical="center"/>
    </xf>
    <xf numFmtId="43" fontId="9" fillId="0" borderId="28" xfId="67" applyFont="1" applyBorder="1" applyAlignment="1">
      <alignment vertical="center"/>
    </xf>
    <xf numFmtId="43" fontId="50" fillId="0" borderId="27" xfId="67" applyFont="1" applyBorder="1" applyAlignment="1">
      <alignment vertical="center"/>
    </xf>
    <xf numFmtId="43" fontId="50" fillId="0" borderId="28" xfId="67" applyFont="1" applyBorder="1" applyAlignment="1">
      <alignment vertical="center"/>
    </xf>
    <xf numFmtId="14" fontId="55" fillId="5" borderId="1" xfId="66" applyNumberFormat="1" applyFont="1" applyFill="1" applyBorder="1" applyAlignment="1">
      <alignment horizontal="center" vertical="center"/>
    </xf>
    <xf numFmtId="14" fontId="56" fillId="5" borderId="1" xfId="66" applyNumberFormat="1" applyFont="1" applyFill="1" applyBorder="1" applyAlignment="1">
      <alignment horizontal="center" vertical="center"/>
    </xf>
    <xf numFmtId="0" fontId="56" fillId="5" borderId="1" xfId="66" applyFont="1" applyFill="1" applyBorder="1" applyAlignment="1">
      <alignment horizontal="center" vertical="center"/>
    </xf>
    <xf numFmtId="43" fontId="56" fillId="5" borderId="1" xfId="67" applyFont="1" applyFill="1" applyBorder="1" applyAlignment="1">
      <alignment horizontal="center" vertical="center"/>
    </xf>
    <xf numFmtId="0" fontId="56" fillId="5" borderId="14" xfId="66" applyFont="1" applyFill="1" applyBorder="1" applyAlignment="1">
      <alignment horizontal="center" vertical="center"/>
    </xf>
    <xf numFmtId="174" fontId="56" fillId="5" borderId="29" xfId="66" applyNumberFormat="1" applyFont="1" applyFill="1" applyBorder="1" applyAlignment="1">
      <alignment horizontal="center" vertical="center"/>
    </xf>
    <xf numFmtId="174" fontId="56" fillId="5" borderId="24" xfId="66" applyNumberFormat="1" applyFont="1" applyFill="1" applyBorder="1" applyAlignment="1">
      <alignment horizontal="center" vertical="center"/>
    </xf>
    <xf numFmtId="174" fontId="56" fillId="5" borderId="25" xfId="66" applyNumberFormat="1" applyFont="1" applyFill="1" applyBorder="1" applyAlignment="1">
      <alignment horizontal="center" vertical="center"/>
    </xf>
    <xf numFmtId="174" fontId="56" fillId="5" borderId="26" xfId="66" applyNumberFormat="1" applyFont="1" applyFill="1" applyBorder="1" applyAlignment="1">
      <alignment horizontal="center" vertical="center"/>
    </xf>
    <xf numFmtId="0" fontId="56" fillId="5" borderId="24" xfId="66" applyFont="1" applyFill="1" applyBorder="1" applyAlignment="1">
      <alignment horizontal="center" vertical="center" wrapText="1"/>
    </xf>
    <xf numFmtId="0" fontId="56" fillId="5" borderId="26" xfId="66" applyFont="1" applyFill="1" applyBorder="1" applyAlignment="1">
      <alignment horizontal="center" vertical="center" wrapText="1"/>
    </xf>
    <xf numFmtId="174" fontId="56" fillId="11" borderId="27" xfId="66" applyNumberFormat="1" applyFont="1" applyFill="1" applyBorder="1" applyAlignment="1">
      <alignment horizontal="center" vertical="center"/>
    </xf>
    <xf numFmtId="174" fontId="56" fillId="11" borderId="25" xfId="66" applyNumberFormat="1" applyFont="1" applyFill="1" applyBorder="1" applyAlignment="1">
      <alignment horizontal="center" vertical="center"/>
    </xf>
    <xf numFmtId="174" fontId="56" fillId="11" borderId="28" xfId="66" applyNumberFormat="1" applyFont="1" applyFill="1" applyBorder="1" applyAlignment="1">
      <alignment horizontal="center" vertical="center"/>
    </xf>
    <xf numFmtId="0" fontId="56" fillId="11" borderId="24" xfId="66" applyFont="1" applyFill="1" applyBorder="1" applyAlignment="1">
      <alignment horizontal="center" vertical="center" wrapText="1"/>
    </xf>
    <xf numFmtId="0" fontId="56" fillId="11" borderId="26" xfId="66" applyFont="1" applyFill="1" applyBorder="1" applyAlignment="1">
      <alignment horizontal="center" vertical="center" wrapText="1"/>
    </xf>
    <xf numFmtId="174" fontId="56" fillId="5" borderId="27" xfId="66" applyNumberFormat="1" applyFont="1" applyFill="1" applyBorder="1" applyAlignment="1">
      <alignment horizontal="center" vertical="center"/>
    </xf>
    <xf numFmtId="174" fontId="56" fillId="5" borderId="28" xfId="66" applyNumberFormat="1" applyFont="1" applyFill="1" applyBorder="1" applyAlignment="1">
      <alignment horizontal="center" vertical="center"/>
    </xf>
    <xf numFmtId="0" fontId="56" fillId="0" borderId="0" xfId="66" applyFont="1" applyAlignment="1">
      <alignment horizontal="center" vertical="center"/>
    </xf>
    <xf numFmtId="14" fontId="52" fillId="0" borderId="1" xfId="69" applyNumberFormat="1" applyFont="1" applyFill="1" applyBorder="1" applyAlignment="1">
      <alignment horizontal="center"/>
    </xf>
    <xf numFmtId="14" fontId="50" fillId="0" borderId="1" xfId="66" applyNumberFormat="1" applyFont="1" applyFill="1" applyBorder="1" applyAlignment="1">
      <alignment horizontal="center" vertical="center"/>
    </xf>
    <xf numFmtId="0" fontId="37" fillId="0" borderId="1" xfId="69" applyFont="1" applyFill="1" applyBorder="1"/>
    <xf numFmtId="43" fontId="37" fillId="0" borderId="1" xfId="69" applyNumberFormat="1" applyFont="1" applyFill="1" applyBorder="1"/>
    <xf numFmtId="0" fontId="37" fillId="0" borderId="1" xfId="69" applyFont="1" applyFill="1" applyBorder="1" applyAlignment="1">
      <alignment horizontal="center"/>
    </xf>
    <xf numFmtId="43" fontId="50" fillId="0" borderId="14" xfId="66" applyNumberFormat="1" applyFont="1" applyFill="1" applyBorder="1" applyAlignment="1">
      <alignment vertical="center"/>
    </xf>
    <xf numFmtId="43" fontId="50" fillId="0" borderId="30" xfId="66" applyNumberFormat="1" applyFont="1" applyFill="1" applyBorder="1" applyAlignment="1">
      <alignment vertical="center"/>
    </xf>
    <xf numFmtId="43" fontId="50" fillId="0" borderId="31" xfId="66" applyNumberFormat="1" applyFont="1" applyFill="1" applyBorder="1" applyAlignment="1">
      <alignment vertical="center"/>
    </xf>
    <xf numFmtId="43" fontId="50" fillId="0" borderId="32" xfId="66" applyNumberFormat="1" applyFont="1" applyFill="1" applyBorder="1" applyAlignment="1">
      <alignment vertical="center"/>
    </xf>
    <xf numFmtId="43" fontId="50" fillId="0" borderId="33" xfId="66" applyNumberFormat="1" applyFont="1" applyFill="1" applyBorder="1" applyAlignment="1">
      <alignment vertical="center"/>
    </xf>
    <xf numFmtId="43" fontId="50" fillId="0" borderId="34" xfId="66" applyNumberFormat="1" applyFont="1" applyFill="1" applyBorder="1" applyAlignment="1">
      <alignment vertical="center"/>
    </xf>
    <xf numFmtId="43" fontId="50" fillId="0" borderId="35" xfId="66" applyNumberFormat="1" applyFont="1" applyFill="1" applyBorder="1" applyAlignment="1">
      <alignment vertical="center"/>
    </xf>
    <xf numFmtId="43" fontId="50" fillId="0" borderId="36" xfId="66" applyNumberFormat="1" applyFont="1" applyFill="1" applyBorder="1" applyAlignment="1">
      <alignment vertical="center"/>
    </xf>
    <xf numFmtId="43" fontId="50" fillId="0" borderId="37" xfId="66" applyNumberFormat="1" applyFont="1" applyFill="1" applyBorder="1" applyAlignment="1">
      <alignment vertical="center"/>
    </xf>
    <xf numFmtId="0" fontId="50" fillId="0" borderId="0" xfId="66" applyFont="1" applyFill="1" applyAlignment="1">
      <alignment vertical="center"/>
    </xf>
    <xf numFmtId="43" fontId="50" fillId="0" borderId="1" xfId="66" applyNumberFormat="1" applyFont="1" applyFill="1" applyBorder="1" applyAlignment="1">
      <alignment vertical="center"/>
    </xf>
    <xf numFmtId="43" fontId="50" fillId="0" borderId="38" xfId="66" applyNumberFormat="1" applyFont="1" applyFill="1" applyBorder="1" applyAlignment="1">
      <alignment vertical="center"/>
    </xf>
    <xf numFmtId="43" fontId="50" fillId="0" borderId="18" xfId="66" applyNumberFormat="1" applyFont="1" applyFill="1" applyBorder="1" applyAlignment="1">
      <alignment vertical="center"/>
    </xf>
    <xf numFmtId="0" fontId="50" fillId="0" borderId="1" xfId="66" applyFont="1" applyFill="1" applyBorder="1" applyAlignment="1">
      <alignment horizontal="center" vertical="center"/>
    </xf>
    <xf numFmtId="175" fontId="37" fillId="0" borderId="1" xfId="69" applyNumberFormat="1" applyFont="1" applyFill="1" applyBorder="1"/>
    <xf numFmtId="14" fontId="52" fillId="0" borderId="1" xfId="66" applyNumberFormat="1" applyFont="1" applyFill="1" applyBorder="1" applyAlignment="1">
      <alignment horizontal="center" vertical="center"/>
    </xf>
    <xf numFmtId="14" fontId="50" fillId="0" borderId="1" xfId="66" applyNumberFormat="1" applyFont="1" applyFill="1" applyBorder="1" applyAlignment="1">
      <alignment horizontal="left" vertical="center"/>
    </xf>
    <xf numFmtId="43" fontId="50" fillId="0" borderId="1" xfId="67" applyFont="1" applyFill="1" applyBorder="1" applyAlignment="1">
      <alignment vertical="center"/>
    </xf>
    <xf numFmtId="43" fontId="9" fillId="0" borderId="1" xfId="67" applyFont="1" applyFill="1" applyBorder="1" applyAlignment="1">
      <alignment vertical="center"/>
    </xf>
    <xf numFmtId="0" fontId="50" fillId="0" borderId="1" xfId="66" applyFont="1" applyFill="1" applyBorder="1" applyAlignment="1">
      <alignment horizontal="left" vertical="center"/>
    </xf>
    <xf numFmtId="43" fontId="50" fillId="0" borderId="1" xfId="67" applyFont="1" applyFill="1" applyBorder="1" applyAlignment="1">
      <alignment horizontal="center" vertical="center"/>
    </xf>
    <xf numFmtId="43" fontId="50" fillId="0" borderId="39" xfId="66" applyNumberFormat="1" applyFont="1" applyFill="1" applyBorder="1" applyAlignment="1">
      <alignment vertical="center"/>
    </xf>
    <xf numFmtId="43" fontId="50" fillId="0" borderId="40" xfId="66" applyNumberFormat="1" applyFont="1" applyFill="1" applyBorder="1" applyAlignment="1">
      <alignment vertical="center"/>
    </xf>
    <xf numFmtId="43" fontId="50" fillId="0" borderId="41" xfId="66" applyNumberFormat="1" applyFont="1" applyFill="1" applyBorder="1" applyAlignment="1">
      <alignment vertical="center"/>
    </xf>
    <xf numFmtId="43" fontId="50" fillId="0" borderId="42" xfId="66" applyNumberFormat="1" applyFont="1" applyFill="1" applyBorder="1" applyAlignment="1">
      <alignment vertical="center"/>
    </xf>
    <xf numFmtId="43" fontId="50" fillId="0" borderId="43" xfId="66" applyNumberFormat="1" applyFont="1" applyFill="1" applyBorder="1" applyAlignment="1">
      <alignment vertical="center"/>
    </xf>
    <xf numFmtId="43" fontId="50" fillId="0" borderId="44" xfId="66" applyNumberFormat="1" applyFont="1" applyFill="1" applyBorder="1" applyAlignment="1">
      <alignment vertical="center"/>
    </xf>
    <xf numFmtId="43" fontId="50" fillId="0" borderId="0" xfId="66" applyNumberFormat="1" applyFont="1" applyAlignment="1">
      <alignment vertical="center"/>
    </xf>
    <xf numFmtId="0" fontId="3" fillId="0" borderId="45" xfId="66" applyBorder="1" applyAlignment="1"/>
    <xf numFmtId="43" fontId="57" fillId="5" borderId="1" xfId="67" applyFont="1" applyFill="1" applyBorder="1"/>
    <xf numFmtId="43" fontId="57" fillId="5" borderId="45" xfId="67" applyFont="1" applyFill="1" applyBorder="1"/>
    <xf numFmtId="43" fontId="0" fillId="0" borderId="45" xfId="67" applyFont="1" applyBorder="1" applyAlignment="1"/>
    <xf numFmtId="43" fontId="58" fillId="5" borderId="1" xfId="67" applyFont="1" applyFill="1" applyBorder="1"/>
    <xf numFmtId="0" fontId="3" fillId="0" borderId="0" xfId="66"/>
    <xf numFmtId="43" fontId="3" fillId="0" borderId="0" xfId="66" applyNumberFormat="1"/>
    <xf numFmtId="43" fontId="59" fillId="0" borderId="1" xfId="67" applyFont="1" applyBorder="1" applyAlignment="1">
      <alignment horizontal="center" vertical="center"/>
    </xf>
    <xf numFmtId="43" fontId="0" fillId="0" borderId="1" xfId="67" applyFont="1" applyBorder="1"/>
    <xf numFmtId="43" fontId="0" fillId="0" borderId="0" xfId="67" applyFont="1"/>
    <xf numFmtId="0" fontId="60" fillId="0" borderId="0" xfId="66" applyFont="1"/>
    <xf numFmtId="0" fontId="60" fillId="13" borderId="0" xfId="66" applyFont="1" applyFill="1"/>
    <xf numFmtId="43" fontId="61" fillId="14" borderId="1" xfId="67" applyFont="1" applyFill="1" applyBorder="1"/>
    <xf numFmtId="43" fontId="61" fillId="15" borderId="1" xfId="67" applyFont="1" applyFill="1" applyBorder="1"/>
    <xf numFmtId="0" fontId="60" fillId="13" borderId="0" xfId="66" applyFont="1" applyFill="1" applyAlignment="1">
      <alignment horizontal="center" vertical="center"/>
    </xf>
    <xf numFmtId="43" fontId="61" fillId="5" borderId="1" xfId="67" applyFont="1" applyFill="1" applyBorder="1"/>
    <xf numFmtId="43" fontId="61" fillId="16" borderId="1" xfId="67" applyFont="1" applyFill="1" applyBorder="1"/>
    <xf numFmtId="43" fontId="61" fillId="16" borderId="14" xfId="67" applyFont="1" applyFill="1" applyBorder="1"/>
    <xf numFmtId="0" fontId="62" fillId="12" borderId="1" xfId="66" applyFont="1" applyFill="1" applyBorder="1" applyAlignment="1">
      <alignment horizontal="center" vertical="center"/>
    </xf>
    <xf numFmtId="0" fontId="61" fillId="12" borderId="1" xfId="66" applyFont="1" applyFill="1" applyBorder="1" applyAlignment="1">
      <alignment horizontal="center" vertical="center"/>
    </xf>
    <xf numFmtId="43" fontId="62" fillId="12" borderId="1" xfId="67" applyFont="1" applyFill="1" applyBorder="1" applyAlignment="1">
      <alignment horizontal="center" vertical="center"/>
    </xf>
    <xf numFmtId="43" fontId="61" fillId="12" borderId="1" xfId="67" applyFont="1" applyFill="1" applyBorder="1" applyAlignment="1">
      <alignment horizontal="center" vertical="center"/>
    </xf>
    <xf numFmtId="43" fontId="61" fillId="12" borderId="14" xfId="67" applyFont="1" applyFill="1" applyBorder="1" applyAlignment="1">
      <alignment horizontal="center" vertical="center"/>
    </xf>
    <xf numFmtId="0" fontId="63" fillId="0" borderId="1" xfId="66" applyFont="1" applyBorder="1" applyAlignment="1" applyProtection="1">
      <alignment horizontal="center" vertical="center"/>
      <protection locked="0"/>
    </xf>
    <xf numFmtId="0" fontId="60" fillId="13" borderId="1" xfId="66" applyFont="1" applyFill="1" applyBorder="1"/>
    <xf numFmtId="0" fontId="60" fillId="13" borderId="1" xfId="66" applyFont="1" applyFill="1" applyBorder="1" applyAlignment="1">
      <alignment horizontal="center" vertical="center"/>
    </xf>
    <xf numFmtId="0" fontId="60" fillId="14" borderId="1" xfId="66" applyFont="1" applyFill="1" applyBorder="1" applyAlignment="1">
      <alignment horizontal="center" vertical="center"/>
    </xf>
    <xf numFmtId="43" fontId="60" fillId="14" borderId="1" xfId="67" applyFont="1" applyFill="1" applyBorder="1" applyAlignment="1">
      <alignment horizontal="center" vertical="center"/>
    </xf>
    <xf numFmtId="43" fontId="61" fillId="15" borderId="1" xfId="67" applyFont="1" applyFill="1" applyBorder="1" applyAlignment="1">
      <alignment horizontal="center" vertical="center"/>
    </xf>
    <xf numFmtId="49" fontId="63" fillId="13" borderId="1" xfId="66" applyNumberFormat="1" applyFont="1" applyFill="1" applyBorder="1" applyAlignment="1" applyProtection="1">
      <alignment horizontal="center" vertical="center"/>
      <protection locked="0"/>
    </xf>
    <xf numFmtId="0" fontId="63" fillId="13" borderId="1" xfId="66" applyFont="1" applyFill="1" applyBorder="1" applyAlignment="1" applyProtection="1">
      <alignment horizontal="center" vertical="center"/>
      <protection locked="0"/>
    </xf>
    <xf numFmtId="0" fontId="63" fillId="14" borderId="1" xfId="66" applyFont="1" applyFill="1" applyBorder="1" applyAlignment="1" applyProtection="1">
      <alignment horizontal="center" vertical="center"/>
      <protection locked="0"/>
    </xf>
    <xf numFmtId="43" fontId="63" fillId="14" borderId="1" xfId="67" applyFont="1" applyFill="1" applyBorder="1" applyAlignment="1" applyProtection="1">
      <alignment horizontal="center" vertical="center"/>
      <protection locked="0"/>
    </xf>
    <xf numFmtId="43" fontId="61" fillId="15" borderId="1" xfId="67" applyFont="1" applyFill="1" applyBorder="1" applyAlignment="1" applyProtection="1">
      <alignment horizontal="center" vertical="center"/>
      <protection locked="0"/>
    </xf>
    <xf numFmtId="43" fontId="61" fillId="14" borderId="1" xfId="67" applyFont="1" applyFill="1" applyBorder="1" applyAlignment="1" applyProtection="1">
      <alignment horizontal="center" vertical="center"/>
      <protection locked="0"/>
    </xf>
    <xf numFmtId="0" fontId="63" fillId="14" borderId="31" xfId="66" applyFont="1" applyFill="1" applyBorder="1" applyAlignment="1" applyProtection="1">
      <alignment horizontal="center" vertical="center"/>
      <protection locked="0"/>
    </xf>
    <xf numFmtId="0" fontId="63" fillId="13" borderId="31" xfId="66" applyFont="1" applyFill="1" applyBorder="1" applyAlignment="1" applyProtection="1">
      <alignment horizontal="center" vertical="center"/>
      <protection locked="0"/>
    </xf>
    <xf numFmtId="0" fontId="60" fillId="0" borderId="1" xfId="66" applyFont="1" applyBorder="1"/>
    <xf numFmtId="0" fontId="60" fillId="0" borderId="18" xfId="66" applyFont="1" applyBorder="1"/>
    <xf numFmtId="0" fontId="61" fillId="13" borderId="1" xfId="66" applyFont="1" applyFill="1" applyBorder="1" applyAlignment="1">
      <alignment horizontal="center" vertical="center"/>
    </xf>
    <xf numFmtId="0" fontId="61" fillId="13" borderId="0" xfId="66" applyFont="1" applyFill="1" applyAlignment="1">
      <alignment horizontal="center" vertical="center"/>
    </xf>
    <xf numFmtId="0" fontId="60" fillId="14" borderId="0" xfId="66" applyFont="1" applyFill="1" applyAlignment="1">
      <alignment horizontal="center" vertical="center"/>
    </xf>
    <xf numFmtId="43" fontId="60" fillId="14" borderId="0" xfId="67" applyFont="1" applyFill="1" applyAlignment="1">
      <alignment horizontal="center" vertical="center"/>
    </xf>
    <xf numFmtId="43" fontId="61" fillId="15" borderId="0" xfId="67" applyFont="1" applyFill="1" applyAlignment="1">
      <alignment horizontal="center" vertical="center"/>
    </xf>
    <xf numFmtId="43" fontId="61" fillId="14" borderId="0" xfId="67" applyFont="1" applyFill="1"/>
    <xf numFmtId="43" fontId="61" fillId="15" borderId="0" xfId="67" applyFont="1" applyFill="1"/>
    <xf numFmtId="0" fontId="3" fillId="0" borderId="1" xfId="66" applyBorder="1"/>
    <xf numFmtId="0" fontId="3" fillId="0" borderId="1" xfId="66" applyBorder="1" applyAlignment="1">
      <alignment horizontal="center" vertical="center"/>
    </xf>
    <xf numFmtId="0" fontId="3" fillId="0" borderId="14" xfId="66" applyBorder="1"/>
    <xf numFmtId="43" fontId="64" fillId="17" borderId="1" xfId="67" applyFont="1" applyFill="1" applyBorder="1" applyAlignment="1">
      <alignment horizontal="center" vertical="center"/>
    </xf>
    <xf numFmtId="0" fontId="3" fillId="18" borderId="1" xfId="66" applyFill="1" applyBorder="1" applyAlignment="1">
      <alignment horizontal="center" vertical="center"/>
    </xf>
    <xf numFmtId="0" fontId="3" fillId="18" borderId="14" xfId="66" applyFill="1" applyBorder="1" applyAlignment="1">
      <alignment horizontal="center" vertical="center"/>
    </xf>
    <xf numFmtId="0" fontId="65" fillId="0" borderId="1" xfId="66" applyFont="1" applyBorder="1" applyAlignment="1" applyProtection="1">
      <alignment horizontal="center" vertical="center"/>
      <protection locked="0"/>
    </xf>
    <xf numFmtId="43" fontId="66" fillId="0" borderId="1" xfId="67" applyFont="1" applyBorder="1" applyAlignment="1">
      <alignment horizontal="center" vertical="center"/>
    </xf>
    <xf numFmtId="14" fontId="67" fillId="0" borderId="1" xfId="66" applyNumberFormat="1" applyFont="1" applyBorder="1" applyAlignment="1">
      <alignment horizontal="center" vertical="center"/>
    </xf>
    <xf numFmtId="0" fontId="67" fillId="0" borderId="1" xfId="66" applyFont="1" applyBorder="1" applyAlignment="1">
      <alignment horizontal="center" vertical="center"/>
    </xf>
    <xf numFmtId="49" fontId="65" fillId="0" borderId="1" xfId="66" applyNumberFormat="1" applyFont="1" applyBorder="1" applyAlignment="1" applyProtection="1">
      <alignment horizontal="center" vertical="center"/>
      <protection locked="0"/>
    </xf>
    <xf numFmtId="43" fontId="67" fillId="0" borderId="1" xfId="67" applyFont="1" applyBorder="1" applyAlignment="1">
      <alignment horizontal="center" vertical="center"/>
    </xf>
    <xf numFmtId="1" fontId="65" fillId="0" borderId="1" xfId="66" applyNumberFormat="1" applyFont="1" applyBorder="1" applyAlignment="1" applyProtection="1">
      <alignment horizontal="center" vertical="center"/>
      <protection locked="0"/>
    </xf>
    <xf numFmtId="4" fontId="65" fillId="0" borderId="1" xfId="66" applyNumberFormat="1" applyFont="1" applyBorder="1" applyAlignment="1" applyProtection="1">
      <alignment horizontal="center" vertical="center"/>
      <protection locked="0"/>
    </xf>
    <xf numFmtId="0" fontId="67" fillId="0" borderId="1" xfId="66" applyFont="1" applyFill="1" applyBorder="1" applyAlignment="1">
      <alignment horizontal="center" vertical="center"/>
    </xf>
    <xf numFmtId="0" fontId="67" fillId="0" borderId="1" xfId="66" applyFont="1" applyFill="1" applyBorder="1" applyAlignment="1" applyProtection="1">
      <alignment horizontal="center" vertical="center"/>
      <protection locked="0"/>
    </xf>
    <xf numFmtId="0" fontId="3" fillId="0" borderId="0" xfId="66" applyBorder="1"/>
    <xf numFmtId="0" fontId="3" fillId="0" borderId="0" xfId="66" applyBorder="1" applyAlignment="1">
      <alignment horizontal="center" vertical="center"/>
    </xf>
    <xf numFmtId="0" fontId="68" fillId="0" borderId="0" xfId="66" applyFont="1"/>
    <xf numFmtId="0" fontId="67" fillId="13" borderId="0" xfId="66" applyFont="1" applyFill="1" applyAlignment="1">
      <alignment horizontal="center" vertical="center"/>
    </xf>
    <xf numFmtId="0" fontId="68" fillId="13" borderId="0" xfId="66" applyFont="1" applyFill="1"/>
    <xf numFmtId="0" fontId="68" fillId="13" borderId="0" xfId="66" applyFont="1" applyFill="1" applyAlignment="1">
      <alignment horizontal="center" vertical="center"/>
    </xf>
    <xf numFmtId="43" fontId="67" fillId="14" borderId="1" xfId="67" applyFont="1" applyFill="1" applyBorder="1"/>
    <xf numFmtId="43" fontId="67" fillId="15" borderId="1" xfId="67" applyFont="1" applyFill="1" applyBorder="1"/>
    <xf numFmtId="0" fontId="67" fillId="0" borderId="0" xfId="66" applyFont="1" applyAlignment="1">
      <alignment horizontal="center" vertical="center"/>
    </xf>
    <xf numFmtId="0" fontId="66" fillId="19" borderId="1" xfId="66" applyFont="1" applyFill="1" applyBorder="1" applyAlignment="1">
      <alignment horizontal="center" vertical="center"/>
    </xf>
    <xf numFmtId="0" fontId="67" fillId="13" borderId="1" xfId="66" applyFont="1" applyFill="1" applyBorder="1" applyAlignment="1">
      <alignment horizontal="center" vertical="center"/>
    </xf>
    <xf numFmtId="0" fontId="66" fillId="13" borderId="1" xfId="66" applyFont="1" applyFill="1" applyBorder="1" applyAlignment="1">
      <alignment horizontal="center" vertical="center"/>
    </xf>
    <xf numFmtId="43" fontId="66" fillId="14" borderId="31" xfId="67" applyFont="1" applyFill="1" applyBorder="1" applyAlignment="1">
      <alignment horizontal="center" vertical="center"/>
    </xf>
    <xf numFmtId="43" fontId="67" fillId="15" borderId="31" xfId="67" applyFont="1" applyFill="1" applyBorder="1" applyAlignment="1">
      <alignment horizontal="center" vertical="center"/>
    </xf>
    <xf numFmtId="43" fontId="67" fillId="14" borderId="31" xfId="67" applyFont="1" applyFill="1" applyBorder="1" applyAlignment="1">
      <alignment horizontal="center" vertical="center"/>
    </xf>
    <xf numFmtId="0" fontId="67" fillId="19" borderId="1" xfId="66" applyFont="1" applyFill="1" applyBorder="1" applyAlignment="1">
      <alignment horizontal="center" vertical="center"/>
    </xf>
    <xf numFmtId="0" fontId="69" fillId="0" borderId="1" xfId="66" applyFont="1" applyBorder="1" applyAlignment="1" applyProtection="1">
      <alignment horizontal="center" vertical="center"/>
      <protection locked="0"/>
    </xf>
    <xf numFmtId="43" fontId="69" fillId="14" borderId="1" xfId="67" applyFont="1" applyFill="1" applyBorder="1" applyAlignment="1" applyProtection="1">
      <alignment horizontal="center" vertical="center"/>
      <protection locked="0"/>
    </xf>
    <xf numFmtId="43" fontId="67" fillId="15" borderId="1" xfId="67" applyFont="1" applyFill="1" applyBorder="1" applyAlignment="1" applyProtection="1">
      <alignment horizontal="center" vertical="center"/>
      <protection locked="0"/>
    </xf>
    <xf numFmtId="43" fontId="67" fillId="14" borderId="1" xfId="67" applyFont="1" applyFill="1" applyBorder="1" applyAlignment="1" applyProtection="1">
      <alignment horizontal="center" vertical="center"/>
      <protection locked="0"/>
    </xf>
    <xf numFmtId="1" fontId="67" fillId="0" borderId="1" xfId="66" applyNumberFormat="1" applyFont="1" applyBorder="1" applyAlignment="1" applyProtection="1">
      <alignment horizontal="center" vertical="center"/>
      <protection locked="0"/>
    </xf>
    <xf numFmtId="4" fontId="67" fillId="0" borderId="1" xfId="66" applyNumberFormat="1" applyFont="1" applyBorder="1" applyAlignment="1" applyProtection="1">
      <alignment horizontal="center" vertical="center"/>
      <protection locked="0"/>
    </xf>
    <xf numFmtId="4" fontId="67" fillId="0" borderId="31" xfId="66" applyNumberFormat="1" applyFont="1" applyBorder="1" applyAlignment="1" applyProtection="1">
      <alignment horizontal="center" vertical="center"/>
      <protection locked="0"/>
    </xf>
    <xf numFmtId="43" fontId="68" fillId="14" borderId="1" xfId="67" applyFont="1" applyFill="1" applyBorder="1" applyAlignment="1">
      <alignment horizontal="center" vertical="center"/>
    </xf>
    <xf numFmtId="43" fontId="67" fillId="15" borderId="1" xfId="67" applyFont="1" applyFill="1" applyBorder="1" applyAlignment="1">
      <alignment horizontal="center" vertical="center"/>
    </xf>
    <xf numFmtId="0" fontId="68" fillId="0" borderId="0" xfId="66" applyFont="1" applyFill="1"/>
    <xf numFmtId="0" fontId="67" fillId="0" borderId="0" xfId="66" applyFont="1" applyFill="1" applyAlignment="1">
      <alignment horizontal="center" vertical="center"/>
    </xf>
    <xf numFmtId="0" fontId="68" fillId="0" borderId="0" xfId="66" applyFont="1" applyFill="1" applyAlignment="1">
      <alignment horizontal="center" vertical="center"/>
    </xf>
    <xf numFmtId="43" fontId="68" fillId="0" borderId="0" xfId="67" applyFont="1" applyFill="1" applyAlignment="1">
      <alignment horizontal="center" vertical="center"/>
    </xf>
    <xf numFmtId="43" fontId="67" fillId="0" borderId="0" xfId="67" applyFont="1" applyFill="1" applyAlignment="1">
      <alignment horizontal="center" vertical="center"/>
    </xf>
    <xf numFmtId="43" fontId="67" fillId="0" borderId="0" xfId="67" applyFont="1" applyFill="1"/>
    <xf numFmtId="0" fontId="68" fillId="14" borderId="0" xfId="66" applyFont="1" applyFill="1" applyAlignment="1">
      <alignment horizontal="center" vertical="center"/>
    </xf>
    <xf numFmtId="43" fontId="68" fillId="14" borderId="0" xfId="67" applyFont="1" applyFill="1" applyAlignment="1">
      <alignment horizontal="center" vertical="center"/>
    </xf>
    <xf numFmtId="43" fontId="67" fillId="15" borderId="0" xfId="67" applyFont="1" applyFill="1" applyAlignment="1">
      <alignment horizontal="center" vertical="center"/>
    </xf>
    <xf numFmtId="43" fontId="67" fillId="14" borderId="0" xfId="67" applyFont="1" applyFill="1"/>
    <xf numFmtId="43" fontId="67" fillId="15" borderId="0" xfId="67" applyFont="1" applyFill="1"/>
    <xf numFmtId="166" fontId="70" fillId="0" borderId="0" xfId="8" applyFont="1"/>
    <xf numFmtId="166" fontId="70" fillId="0" borderId="0" xfId="8" applyFont="1" applyFill="1"/>
    <xf numFmtId="0" fontId="41" fillId="10" borderId="1" xfId="48" applyFont="1" applyFill="1" applyBorder="1" applyAlignment="1">
      <alignment horizontal="center" vertical="center" wrapText="1"/>
    </xf>
    <xf numFmtId="14" fontId="41" fillId="10" borderId="1" xfId="49" applyNumberFormat="1" applyFont="1" applyFill="1" applyBorder="1" applyAlignment="1">
      <alignment horizontal="center" vertical="center" wrapText="1"/>
    </xf>
    <xf numFmtId="0" fontId="41" fillId="0" borderId="0" xfId="48" applyFont="1" applyAlignment="1">
      <alignment horizontal="center" vertical="center" wrapText="1"/>
    </xf>
    <xf numFmtId="43" fontId="51" fillId="0" borderId="1" xfId="36" applyNumberFormat="1" applyFont="1" applyFill="1" applyBorder="1" applyAlignment="1">
      <alignment horizontal="center" vertical="center"/>
    </xf>
    <xf numFmtId="43" fontId="26" fillId="0" borderId="0" xfId="33" applyNumberFormat="1" applyFont="1" applyBorder="1" applyAlignment="1">
      <alignment vertical="center"/>
    </xf>
    <xf numFmtId="0" fontId="71" fillId="0" borderId="11" xfId="33" applyFont="1" applyBorder="1" applyAlignment="1">
      <alignment horizontal="center" vertical="center"/>
    </xf>
    <xf numFmtId="0" fontId="72" fillId="0" borderId="0" xfId="33" applyFont="1"/>
    <xf numFmtId="0" fontId="71" fillId="0" borderId="6" xfId="33" applyFont="1" applyBorder="1" applyAlignment="1">
      <alignment horizontal="center" vertical="center"/>
    </xf>
    <xf numFmtId="0" fontId="71" fillId="0" borderId="9" xfId="33" applyFont="1" applyBorder="1" applyAlignment="1">
      <alignment horizontal="center" vertical="center"/>
    </xf>
    <xf numFmtId="0" fontId="71" fillId="0" borderId="8" xfId="33" applyFont="1" applyBorder="1" applyAlignment="1">
      <alignment horizontal="center" vertical="center"/>
    </xf>
    <xf numFmtId="164" fontId="71" fillId="3" borderId="4" xfId="38" applyNumberFormat="1" applyFont="1" applyFill="1" applyBorder="1" applyAlignment="1">
      <alignment horizontal="center" vertical="center"/>
    </xf>
    <xf numFmtId="165" fontId="71" fillId="3" borderId="4" xfId="3" applyNumberFormat="1" applyFont="1" applyFill="1" applyBorder="1" applyAlignment="1">
      <alignment vertical="center"/>
    </xf>
    <xf numFmtId="165" fontId="71" fillId="3" borderId="4" xfId="3" applyNumberFormat="1" applyFont="1" applyFill="1" applyBorder="1" applyAlignment="1">
      <alignment horizontal="center" vertical="center"/>
    </xf>
    <xf numFmtId="0" fontId="73" fillId="0" borderId="0" xfId="33" applyFont="1" applyFill="1" applyBorder="1" applyAlignment="1">
      <alignment vertical="center"/>
    </xf>
    <xf numFmtId="0" fontId="38" fillId="0" borderId="0" xfId="33" applyFont="1" applyBorder="1" applyAlignment="1">
      <alignment vertical="center"/>
    </xf>
    <xf numFmtId="0" fontId="73" fillId="0" borderId="7" xfId="33" applyFont="1" applyBorder="1" applyAlignment="1">
      <alignment vertical="center"/>
    </xf>
    <xf numFmtId="0" fontId="38" fillId="0" borderId="5" xfId="33" applyFont="1" applyBorder="1" applyAlignment="1">
      <alignment vertical="center"/>
    </xf>
    <xf numFmtId="43" fontId="73" fillId="0" borderId="12" xfId="3" applyNumberFormat="1" applyFont="1" applyBorder="1" applyAlignment="1">
      <alignment horizontal="center" vertical="center"/>
    </xf>
    <xf numFmtId="165" fontId="73" fillId="0" borderId="12" xfId="3" applyNumberFormat="1" applyFont="1" applyBorder="1" applyAlignment="1">
      <alignment vertical="center"/>
    </xf>
    <xf numFmtId="0" fontId="73" fillId="0" borderId="3" xfId="33" applyFont="1" applyFill="1" applyBorder="1" applyAlignment="1">
      <alignment vertical="center"/>
    </xf>
    <xf numFmtId="0" fontId="38" fillId="0" borderId="2" xfId="33" applyFont="1" applyBorder="1" applyAlignment="1">
      <alignment vertical="center"/>
    </xf>
    <xf numFmtId="165" fontId="73" fillId="0" borderId="12" xfId="3" applyNumberFormat="1" applyFont="1" applyBorder="1" applyAlignment="1">
      <alignment horizontal="center" vertical="center"/>
    </xf>
    <xf numFmtId="0" fontId="73" fillId="0" borderId="3" xfId="33" applyFont="1" applyBorder="1" applyAlignment="1">
      <alignment vertical="center"/>
    </xf>
    <xf numFmtId="165" fontId="73" fillId="0" borderId="2" xfId="3" applyNumberFormat="1" applyFont="1" applyBorder="1" applyAlignment="1">
      <alignment horizontal="center" vertical="center"/>
    </xf>
    <xf numFmtId="0" fontId="73" fillId="0" borderId="0" xfId="33" applyFont="1" applyBorder="1" applyAlignment="1">
      <alignment vertical="center"/>
    </xf>
    <xf numFmtId="165" fontId="71" fillId="3" borderId="11" xfId="3" applyNumberFormat="1" applyFont="1" applyFill="1" applyBorder="1" applyAlignment="1">
      <alignment vertical="center"/>
    </xf>
    <xf numFmtId="0" fontId="73" fillId="0" borderId="7" xfId="33" applyFont="1" applyFill="1" applyBorder="1" applyAlignment="1">
      <alignment vertical="center"/>
    </xf>
    <xf numFmtId="0" fontId="38" fillId="0" borderId="17" xfId="33" applyFont="1" applyBorder="1" applyAlignment="1">
      <alignment vertical="center"/>
    </xf>
    <xf numFmtId="0" fontId="73" fillId="0" borderId="9" xfId="33" applyFont="1" applyFill="1" applyBorder="1" applyAlignment="1">
      <alignment vertical="center"/>
    </xf>
    <xf numFmtId="0" fontId="38" fillId="0" borderId="10" xfId="33" applyFont="1" applyBorder="1" applyAlignment="1">
      <alignment vertical="center"/>
    </xf>
    <xf numFmtId="0" fontId="73" fillId="0" borderId="0" xfId="33" applyFont="1" applyAlignment="1">
      <alignment vertical="center"/>
    </xf>
    <xf numFmtId="0" fontId="38" fillId="0" borderId="0" xfId="33" applyFont="1" applyAlignment="1">
      <alignment vertical="center"/>
    </xf>
    <xf numFmtId="165" fontId="73" fillId="0" borderId="11" xfId="3" applyNumberFormat="1" applyFont="1" applyBorder="1" applyAlignment="1">
      <alignment horizontal="center" vertical="center"/>
    </xf>
    <xf numFmtId="165" fontId="73" fillId="0" borderId="6" xfId="3" applyNumberFormat="1" applyFont="1" applyBorder="1" applyAlignment="1">
      <alignment horizontal="center" vertical="center"/>
    </xf>
    <xf numFmtId="165" fontId="71" fillId="5" borderId="4" xfId="3" applyNumberFormat="1" applyFont="1" applyFill="1" applyBorder="1" applyAlignment="1">
      <alignment horizontal="center" vertical="center"/>
    </xf>
    <xf numFmtId="0" fontId="71" fillId="0" borderId="0" xfId="33" applyFont="1" applyBorder="1" applyAlignment="1">
      <alignment vertical="center"/>
    </xf>
    <xf numFmtId="10" fontId="71" fillId="0" borderId="11" xfId="38" applyNumberFormat="1" applyFont="1" applyBorder="1" applyAlignment="1">
      <alignment horizontal="center" vertical="center"/>
    </xf>
    <xf numFmtId="0" fontId="71" fillId="0" borderId="0" xfId="33" applyFont="1" applyAlignment="1">
      <alignment vertical="center"/>
    </xf>
    <xf numFmtId="165" fontId="71" fillId="0" borderId="12" xfId="3" applyNumberFormat="1" applyFont="1" applyBorder="1" applyAlignment="1">
      <alignment horizontal="center" vertical="center"/>
    </xf>
    <xf numFmtId="166" fontId="73" fillId="0" borderId="6" xfId="8" applyFont="1" applyBorder="1" applyAlignment="1">
      <alignment vertical="center"/>
    </xf>
    <xf numFmtId="0" fontId="71" fillId="5" borderId="15" xfId="33" applyFont="1" applyFill="1" applyBorder="1" applyAlignment="1">
      <alignment horizontal="center" vertical="center"/>
    </xf>
    <xf numFmtId="0" fontId="71" fillId="5" borderId="16" xfId="33" applyFont="1" applyFill="1" applyBorder="1" applyAlignment="1">
      <alignment horizontal="center" vertical="center"/>
    </xf>
    <xf numFmtId="0" fontId="71" fillId="5" borderId="13" xfId="33" applyFont="1" applyFill="1" applyBorder="1" applyAlignment="1">
      <alignment horizontal="center" vertical="center"/>
    </xf>
    <xf numFmtId="165" fontId="71" fillId="5" borderId="13" xfId="3" applyNumberFormat="1" applyFont="1" applyFill="1" applyBorder="1" applyAlignment="1">
      <alignment vertical="center"/>
    </xf>
    <xf numFmtId="43" fontId="26" fillId="0" borderId="1" xfId="26" applyFont="1" applyBorder="1"/>
    <xf numFmtId="43" fontId="29" fillId="0" borderId="0" xfId="36" applyNumberFormat="1" applyFont="1"/>
    <xf numFmtId="0" fontId="60" fillId="13" borderId="1" xfId="0" applyFont="1" applyFill="1" applyBorder="1"/>
    <xf numFmtId="0" fontId="60" fillId="13" borderId="1" xfId="0" applyFont="1" applyFill="1" applyBorder="1" applyAlignment="1">
      <alignment horizontal="center" vertical="center"/>
    </xf>
    <xf numFmtId="0" fontId="60" fillId="14" borderId="1" xfId="0" applyFont="1" applyFill="1" applyBorder="1" applyAlignment="1">
      <alignment horizontal="center" vertical="center"/>
    </xf>
    <xf numFmtId="166" fontId="60" fillId="14" borderId="1" xfId="8" applyFont="1" applyFill="1" applyBorder="1" applyAlignment="1">
      <alignment horizontal="center" vertical="center"/>
    </xf>
    <xf numFmtId="166" fontId="61" fillId="15" borderId="1" xfId="8" applyFont="1" applyFill="1" applyBorder="1" applyAlignment="1">
      <alignment horizontal="center" vertical="center"/>
    </xf>
    <xf numFmtId="43" fontId="0" fillId="0" borderId="0" xfId="0" applyNumberFormat="1"/>
    <xf numFmtId="0" fontId="60" fillId="13" borderId="31" xfId="66" applyFont="1" applyFill="1" applyBorder="1"/>
    <xf numFmtId="0" fontId="60" fillId="14" borderId="31" xfId="66" applyFont="1" applyFill="1" applyBorder="1" applyAlignment="1">
      <alignment horizontal="center" vertical="center"/>
    </xf>
    <xf numFmtId="166" fontId="74" fillId="0" borderId="1" xfId="8" applyFont="1" applyBorder="1" applyAlignment="1">
      <alignment horizontal="center" vertical="center"/>
    </xf>
    <xf numFmtId="0" fontId="76" fillId="12" borderId="1" xfId="66" applyFont="1" applyFill="1" applyBorder="1" applyAlignment="1">
      <alignment horizontal="center" vertical="center"/>
    </xf>
    <xf numFmtId="43" fontId="76" fillId="12" borderId="31" xfId="67" applyFont="1" applyFill="1" applyBorder="1" applyAlignment="1">
      <alignment horizontal="center" vertical="center"/>
    </xf>
    <xf numFmtId="43" fontId="76" fillId="12" borderId="1" xfId="67" applyFont="1" applyFill="1" applyBorder="1" applyAlignment="1">
      <alignment horizontal="center" vertical="center"/>
    </xf>
    <xf numFmtId="0" fontId="75" fillId="0" borderId="0" xfId="66" applyFont="1"/>
    <xf numFmtId="0" fontId="75" fillId="0" borderId="45" xfId="66" applyFont="1" applyBorder="1" applyAlignment="1"/>
    <xf numFmtId="0" fontId="60" fillId="13" borderId="31" xfId="66" applyFont="1" applyFill="1" applyBorder="1" applyAlignment="1">
      <alignment horizontal="center" vertical="center"/>
    </xf>
    <xf numFmtId="164" fontId="29" fillId="0" borderId="0" xfId="38" applyNumberFormat="1" applyFont="1"/>
    <xf numFmtId="0" fontId="15" fillId="0" borderId="0" xfId="33" applyFont="1" applyFill="1"/>
    <xf numFmtId="0" fontId="28" fillId="0" borderId="0" xfId="33" applyFont="1" applyFill="1" applyAlignment="1">
      <alignment horizontal="right" vertical="center" readingOrder="2"/>
    </xf>
    <xf numFmtId="0" fontId="25" fillId="0" borderId="0" xfId="33" applyFont="1" applyFill="1" applyAlignment="1">
      <alignment horizontal="center" readingOrder="2"/>
    </xf>
    <xf numFmtId="0" fontId="77" fillId="0" borderId="0" xfId="33" applyFont="1" applyFill="1"/>
    <xf numFmtId="0" fontId="20" fillId="0" borderId="0" xfId="33" applyFont="1" applyFill="1" applyAlignment="1">
      <alignment horizontal="center" vertical="center"/>
    </xf>
    <xf numFmtId="0" fontId="28" fillId="0" borderId="0" xfId="33" applyFont="1" applyFill="1" applyBorder="1" applyAlignment="1">
      <alignment horizontal="center" readingOrder="2"/>
    </xf>
    <xf numFmtId="0" fontId="25" fillId="0" borderId="0" xfId="33" applyFont="1" applyFill="1" applyBorder="1" applyAlignment="1">
      <alignment horizontal="center" readingOrder="2"/>
    </xf>
    <xf numFmtId="0" fontId="16" fillId="0" borderId="0" xfId="33" applyFont="1" applyFill="1" applyBorder="1" applyAlignment="1">
      <alignment vertical="center"/>
    </xf>
    <xf numFmtId="43" fontId="14" fillId="0" borderId="0" xfId="33" applyNumberFormat="1" applyFont="1" applyFill="1" applyBorder="1" applyAlignment="1">
      <alignment vertical="center"/>
    </xf>
    <xf numFmtId="0" fontId="14" fillId="0" borderId="0" xfId="33" applyFont="1" applyFill="1" applyBorder="1" applyAlignment="1">
      <alignment vertical="center"/>
    </xf>
    <xf numFmtId="10" fontId="14" fillId="0" borderId="0" xfId="38" applyNumberFormat="1" applyFont="1" applyFill="1" applyBorder="1" applyAlignment="1">
      <alignment horizontal="center" vertical="center"/>
    </xf>
    <xf numFmtId="0" fontId="15" fillId="0" borderId="0" xfId="33" applyFont="1" applyBorder="1"/>
    <xf numFmtId="0" fontId="75" fillId="0" borderId="1" xfId="66" applyFont="1" applyBorder="1"/>
    <xf numFmtId="0" fontId="59" fillId="0" borderId="1" xfId="67" applyNumberFormat="1" applyFont="1" applyBorder="1" applyAlignment="1">
      <alignment horizontal="center" vertical="center"/>
    </xf>
    <xf numFmtId="165" fontId="73" fillId="0" borderId="12" xfId="3" applyNumberFormat="1" applyFont="1" applyFill="1" applyBorder="1" applyAlignment="1">
      <alignment vertical="center"/>
    </xf>
    <xf numFmtId="165" fontId="73" fillId="0" borderId="2" xfId="3" applyNumberFormat="1" applyFont="1" applyFill="1" applyBorder="1" applyAlignment="1">
      <alignment horizontal="center" vertical="center"/>
    </xf>
    <xf numFmtId="0" fontId="38" fillId="20" borderId="1" xfId="33" applyFont="1" applyFill="1" applyBorder="1" applyAlignment="1">
      <alignment horizontal="center" vertical="center"/>
    </xf>
    <xf numFmtId="166" fontId="36" fillId="0" borderId="1" xfId="8" applyFont="1" applyBorder="1" applyAlignment="1">
      <alignment horizontal="center" vertical="center"/>
    </xf>
    <xf numFmtId="176" fontId="36" fillId="0" borderId="1" xfId="8" applyNumberFormat="1" applyFont="1" applyFill="1" applyBorder="1" applyAlignment="1">
      <alignment horizontal="center" vertical="center"/>
    </xf>
    <xf numFmtId="43" fontId="0" fillId="0" borderId="0" xfId="67" applyFont="1" applyAlignment="1">
      <alignment horizontal="center" vertical="center"/>
    </xf>
    <xf numFmtId="43" fontId="57" fillId="5" borderId="45" xfId="67" applyFont="1" applyFill="1" applyBorder="1" applyAlignment="1">
      <alignment horizontal="center" vertical="center"/>
    </xf>
    <xf numFmtId="43" fontId="0" fillId="0" borderId="1" xfId="67" applyFont="1" applyBorder="1" applyAlignment="1">
      <alignment horizontal="center" vertical="center"/>
    </xf>
    <xf numFmtId="0" fontId="2" fillId="21" borderId="1" xfId="71" applyFill="1" applyBorder="1" applyAlignment="1">
      <alignment horizontal="center" vertical="center"/>
    </xf>
    <xf numFmtId="0" fontId="2" fillId="21" borderId="1" xfId="71" applyFont="1" applyFill="1" applyBorder="1" applyAlignment="1">
      <alignment horizontal="center" vertical="center"/>
    </xf>
    <xf numFmtId="14" fontId="78" fillId="21" borderId="1" xfId="0" applyNumberFormat="1" applyFont="1" applyFill="1" applyBorder="1"/>
    <xf numFmtId="43" fontId="0" fillId="21" borderId="1" xfId="72" applyFont="1" applyFill="1" applyBorder="1" applyAlignment="1">
      <alignment horizontal="center" vertical="center"/>
    </xf>
    <xf numFmtId="0" fontId="2" fillId="0" borderId="0" xfId="71"/>
    <xf numFmtId="0" fontId="2" fillId="0" borderId="1" xfId="71" applyBorder="1"/>
    <xf numFmtId="0" fontId="2" fillId="0" borderId="1" xfId="71" applyBorder="1" applyAlignment="1">
      <alignment horizontal="center" vertical="center"/>
    </xf>
    <xf numFmtId="43" fontId="0" fillId="0" borderId="1" xfId="72" applyFont="1" applyBorder="1" applyAlignment="1">
      <alignment horizontal="center" vertical="center"/>
    </xf>
    <xf numFmtId="43" fontId="0" fillId="21" borderId="1" xfId="72" applyFont="1" applyFill="1" applyBorder="1"/>
    <xf numFmtId="14" fontId="2" fillId="21" borderId="1" xfId="71" applyNumberFormat="1" applyFill="1" applyBorder="1"/>
    <xf numFmtId="177" fontId="0" fillId="21" borderId="1" xfId="72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39" fillId="8" borderId="1" xfId="8" applyFont="1" applyFill="1" applyBorder="1" applyAlignment="1">
      <alignment vertical="center"/>
    </xf>
    <xf numFmtId="0" fontId="19" fillId="4" borderId="1" xfId="33" applyFont="1" applyFill="1" applyBorder="1" applyAlignment="1">
      <alignment vertical="center" wrapText="1"/>
    </xf>
    <xf numFmtId="166" fontId="37" fillId="0" borderId="1" xfId="8" applyFont="1" applyFill="1" applyBorder="1" applyAlignment="1">
      <alignment vertical="center"/>
    </xf>
    <xf numFmtId="0" fontId="35" fillId="0" borderId="1" xfId="48" applyFont="1" applyBorder="1" applyAlignment="1">
      <alignment horizontal="center" vertical="center"/>
    </xf>
    <xf numFmtId="14" fontId="35" fillId="0" borderId="1" xfId="48" applyNumberFormat="1" applyFont="1" applyBorder="1" applyAlignment="1">
      <alignment horizontal="center" vertical="center"/>
    </xf>
    <xf numFmtId="0" fontId="3" fillId="0" borderId="0" xfId="66" applyAlignment="1">
      <alignment horizontal="center" vertical="center"/>
    </xf>
    <xf numFmtId="0" fontId="3" fillId="0" borderId="45" xfId="66" applyBorder="1" applyAlignment="1">
      <alignment horizontal="center" vertical="center"/>
    </xf>
    <xf numFmtId="43" fontId="76" fillId="12" borderId="35" xfId="67" applyFont="1" applyFill="1" applyBorder="1" applyAlignment="1">
      <alignment horizontal="center" vertical="center"/>
    </xf>
    <xf numFmtId="43" fontId="76" fillId="12" borderId="34" xfId="67" applyFont="1" applyFill="1" applyBorder="1" applyAlignment="1">
      <alignment horizontal="center" vertical="center"/>
    </xf>
    <xf numFmtId="0" fontId="50" fillId="0" borderId="0" xfId="66" applyFont="1" applyAlignment="1">
      <alignment horizontal="left" vertical="center"/>
    </xf>
    <xf numFmtId="0" fontId="50" fillId="0" borderId="0" xfId="66" applyFont="1" applyAlignment="1">
      <alignment horizontal="center" vertical="center"/>
    </xf>
    <xf numFmtId="14" fontId="37" fillId="23" borderId="1" xfId="66" applyNumberFormat="1" applyFont="1" applyFill="1" applyBorder="1" applyAlignment="1">
      <alignment horizontal="center" vertical="center"/>
    </xf>
    <xf numFmtId="0" fontId="80" fillId="23" borderId="14" xfId="0" applyFont="1" applyFill="1" applyBorder="1" applyAlignment="1">
      <alignment horizontal="center" vertical="center"/>
    </xf>
    <xf numFmtId="166" fontId="80" fillId="23" borderId="1" xfId="8" applyFont="1" applyFill="1" applyBorder="1" applyAlignment="1">
      <alignment vertical="center"/>
    </xf>
    <xf numFmtId="0" fontId="80" fillId="23" borderId="1" xfId="0" applyFont="1" applyFill="1" applyBorder="1" applyAlignment="1">
      <alignment horizontal="center" vertical="center"/>
    </xf>
    <xf numFmtId="0" fontId="37" fillId="23" borderId="1" xfId="66" applyFont="1" applyFill="1" applyBorder="1" applyAlignment="1">
      <alignment horizontal="center" vertical="center"/>
    </xf>
    <xf numFmtId="14" fontId="80" fillId="23" borderId="1" xfId="0" applyNumberFormat="1" applyFont="1" applyFill="1" applyBorder="1" applyAlignment="1">
      <alignment horizontal="center" vertical="center"/>
    </xf>
    <xf numFmtId="0" fontId="81" fillId="23" borderId="1" xfId="0" applyFont="1" applyFill="1" applyBorder="1" applyAlignment="1">
      <alignment horizontal="center" vertical="center"/>
    </xf>
    <xf numFmtId="43" fontId="37" fillId="23" borderId="1" xfId="69" applyNumberFormat="1" applyFont="1" applyFill="1" applyBorder="1" applyAlignment="1">
      <alignment vertical="center"/>
    </xf>
    <xf numFmtId="165" fontId="73" fillId="0" borderId="11" xfId="3" applyNumberFormat="1" applyFont="1" applyFill="1" applyBorder="1" applyAlignment="1">
      <alignment vertical="center"/>
    </xf>
    <xf numFmtId="43" fontId="35" fillId="0" borderId="0" xfId="48" applyNumberFormat="1" applyFont="1" applyAlignment="1">
      <alignment horizontal="center" vertical="center"/>
    </xf>
    <xf numFmtId="166" fontId="35" fillId="0" borderId="1" xfId="8" applyFont="1" applyBorder="1" applyAlignment="1">
      <alignment horizontal="center" vertical="center"/>
    </xf>
    <xf numFmtId="0" fontId="71" fillId="0" borderId="3" xfId="33" applyFont="1" applyBorder="1" applyAlignment="1">
      <alignment horizontal="center" vertical="center"/>
    </xf>
    <xf numFmtId="0" fontId="59" fillId="0" borderId="1" xfId="67" applyNumberFormat="1" applyFont="1" applyFill="1" applyBorder="1" applyAlignment="1">
      <alignment horizontal="center" vertical="center"/>
    </xf>
    <xf numFmtId="0" fontId="67" fillId="0" borderId="46" xfId="66" applyFont="1" applyBorder="1" applyAlignment="1">
      <alignment horizontal="center" vertical="center"/>
    </xf>
    <xf numFmtId="0" fontId="68" fillId="0" borderId="1" xfId="66" applyFont="1" applyFill="1" applyBorder="1"/>
    <xf numFmtId="0" fontId="68" fillId="0" borderId="1" xfId="66" applyFont="1" applyFill="1" applyBorder="1" applyAlignment="1">
      <alignment horizontal="center" vertical="center"/>
    </xf>
    <xf numFmtId="43" fontId="68" fillId="0" borderId="1" xfId="67" applyFont="1" applyFill="1" applyBorder="1" applyAlignment="1">
      <alignment horizontal="center" vertical="center"/>
    </xf>
    <xf numFmtId="43" fontId="67" fillId="0" borderId="1" xfId="67" applyFont="1" applyFill="1" applyBorder="1" applyAlignment="1">
      <alignment horizontal="center" vertical="center"/>
    </xf>
    <xf numFmtId="43" fontId="67" fillId="0" borderId="1" xfId="67" applyFont="1" applyFill="1" applyBorder="1"/>
    <xf numFmtId="0" fontId="1" fillId="0" borderId="0" xfId="66" applyFont="1"/>
    <xf numFmtId="0" fontId="0" fillId="0" borderId="0" xfId="0" applyBorder="1" applyAlignment="1">
      <alignment vertical="center"/>
    </xf>
    <xf numFmtId="166" fontId="36" fillId="0" borderId="0" xfId="8" applyFont="1" applyFill="1" applyBorder="1" applyAlignment="1">
      <alignment horizontal="center" vertical="center"/>
    </xf>
    <xf numFmtId="166" fontId="36" fillId="0" borderId="0" xfId="8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66" fontId="37" fillId="0" borderId="0" xfId="8" applyFont="1" applyFill="1" applyBorder="1" applyAlignment="1">
      <alignment vertical="center"/>
    </xf>
    <xf numFmtId="0" fontId="40" fillId="0" borderId="0" xfId="48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29" fillId="0" borderId="0" xfId="36" applyFont="1" applyBorder="1" applyAlignment="1">
      <alignment horizontal="center"/>
    </xf>
    <xf numFmtId="0" fontId="29" fillId="0" borderId="14" xfId="36" applyFont="1" applyBorder="1" applyAlignment="1">
      <alignment horizontal="center"/>
    </xf>
    <xf numFmtId="166" fontId="0" fillId="0" borderId="0" xfId="0" applyNumberFormat="1" applyBorder="1" applyAlignment="1">
      <alignment vertical="center"/>
    </xf>
    <xf numFmtId="43" fontId="73" fillId="0" borderId="12" xfId="3" applyNumberFormat="1" applyFont="1" applyFill="1" applyBorder="1" applyAlignment="1">
      <alignment horizontal="center" vertical="center"/>
    </xf>
    <xf numFmtId="0" fontId="40" fillId="22" borderId="1" xfId="48" applyFont="1" applyFill="1" applyBorder="1" applyAlignment="1">
      <alignment horizontal="center" vertical="center"/>
    </xf>
    <xf numFmtId="166" fontId="70" fillId="0" borderId="0" xfId="8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33" applyFont="1" applyBorder="1" applyAlignment="1">
      <alignment horizontal="center" vertical="center"/>
    </xf>
    <xf numFmtId="0" fontId="35" fillId="0" borderId="0" xfId="48" applyFont="1" applyAlignment="1">
      <alignment horizontal="center" vertical="center"/>
    </xf>
    <xf numFmtId="166" fontId="0" fillId="0" borderId="0" xfId="8" applyFont="1"/>
    <xf numFmtId="43" fontId="42" fillId="10" borderId="0" xfId="49" applyFont="1" applyFill="1" applyBorder="1" applyAlignment="1">
      <alignment horizontal="center" vertical="center"/>
    </xf>
    <xf numFmtId="0" fontId="35" fillId="0" borderId="47" xfId="48" applyFont="1" applyBorder="1" applyAlignment="1">
      <alignment horizontal="center" vertical="center"/>
    </xf>
    <xf numFmtId="0" fontId="35" fillId="0" borderId="0" xfId="48" applyFont="1" applyAlignment="1">
      <alignment horizontal="center" vertical="center"/>
    </xf>
    <xf numFmtId="0" fontId="71" fillId="5" borderId="15" xfId="33" applyFont="1" applyFill="1" applyBorder="1" applyAlignment="1">
      <alignment horizontal="center" vertical="center"/>
    </xf>
    <xf numFmtId="0" fontId="71" fillId="5" borderId="16" xfId="33" applyFont="1" applyFill="1" applyBorder="1" applyAlignment="1">
      <alignment horizontal="center" vertical="center"/>
    </xf>
    <xf numFmtId="0" fontId="71" fillId="5" borderId="13" xfId="33" applyFont="1" applyFill="1" applyBorder="1" applyAlignment="1">
      <alignment horizontal="center" vertical="center"/>
    </xf>
    <xf numFmtId="0" fontId="71" fillId="0" borderId="11" xfId="33" applyFont="1" applyBorder="1" applyAlignment="1">
      <alignment horizontal="center" vertical="center"/>
    </xf>
    <xf numFmtId="0" fontId="71" fillId="0" borderId="12" xfId="33" applyFont="1" applyBorder="1" applyAlignment="1">
      <alignment horizontal="center" vertical="center"/>
    </xf>
    <xf numFmtId="0" fontId="71" fillId="0" borderId="7" xfId="33" applyFont="1" applyBorder="1" applyAlignment="1">
      <alignment horizontal="center" vertical="center"/>
    </xf>
    <xf numFmtId="0" fontId="71" fillId="0" borderId="3" xfId="33" applyFont="1" applyBorder="1" applyAlignment="1">
      <alignment horizontal="center" vertical="center"/>
    </xf>
    <xf numFmtId="0" fontId="71" fillId="0" borderId="9" xfId="33" applyFont="1" applyBorder="1" applyAlignment="1">
      <alignment horizontal="center" vertical="center"/>
    </xf>
    <xf numFmtId="0" fontId="71" fillId="3" borderId="7" xfId="33" applyFont="1" applyFill="1" applyBorder="1" applyAlignment="1">
      <alignment horizontal="center" vertical="center"/>
    </xf>
    <xf numFmtId="0" fontId="71" fillId="3" borderId="5" xfId="33" applyFont="1" applyFill="1" applyBorder="1" applyAlignment="1">
      <alignment horizontal="center" vertical="center"/>
    </xf>
    <xf numFmtId="0" fontId="71" fillId="0" borderId="6" xfId="33" applyFont="1" applyBorder="1" applyAlignment="1">
      <alignment horizontal="center" vertical="center"/>
    </xf>
    <xf numFmtId="0" fontId="71" fillId="3" borderId="9" xfId="33" applyFont="1" applyFill="1" applyBorder="1" applyAlignment="1">
      <alignment horizontal="center" vertical="center"/>
    </xf>
    <xf numFmtId="0" fontId="71" fillId="3" borderId="10" xfId="33" applyFont="1" applyFill="1" applyBorder="1" applyAlignment="1">
      <alignment horizontal="center" vertical="center"/>
    </xf>
    <xf numFmtId="0" fontId="71" fillId="3" borderId="15" xfId="33" applyFont="1" applyFill="1" applyBorder="1" applyAlignment="1">
      <alignment horizontal="center" vertical="center"/>
    </xf>
    <xf numFmtId="0" fontId="71" fillId="3" borderId="13" xfId="33" applyFont="1" applyFill="1" applyBorder="1" applyAlignment="1">
      <alignment horizontal="center" vertical="center"/>
    </xf>
    <xf numFmtId="0" fontId="33" fillId="2" borderId="15" xfId="33" applyFont="1" applyFill="1" applyBorder="1" applyAlignment="1">
      <alignment horizontal="center" vertical="center"/>
    </xf>
    <xf numFmtId="0" fontId="33" fillId="2" borderId="16" xfId="33" applyFont="1" applyFill="1" applyBorder="1" applyAlignment="1">
      <alignment horizontal="center" vertical="center"/>
    </xf>
    <xf numFmtId="0" fontId="33" fillId="2" borderId="13" xfId="33" applyFont="1" applyFill="1" applyBorder="1" applyAlignment="1">
      <alignment horizontal="center" vertical="center"/>
    </xf>
    <xf numFmtId="0" fontId="71" fillId="0" borderId="17" xfId="33" applyFont="1" applyBorder="1" applyAlignment="1">
      <alignment horizontal="center" vertical="center"/>
    </xf>
    <xf numFmtId="0" fontId="46" fillId="7" borderId="15" xfId="33" applyFont="1" applyFill="1" applyBorder="1" applyAlignment="1">
      <alignment horizontal="center" vertical="center"/>
    </xf>
    <xf numFmtId="0" fontId="46" fillId="7" borderId="16" xfId="33" applyFont="1" applyFill="1" applyBorder="1" applyAlignment="1">
      <alignment horizontal="center" vertical="center"/>
    </xf>
    <xf numFmtId="0" fontId="46" fillId="7" borderId="13" xfId="33" applyFont="1" applyFill="1" applyBorder="1" applyAlignment="1">
      <alignment horizontal="center" vertical="center"/>
    </xf>
    <xf numFmtId="0" fontId="31" fillId="7" borderId="14" xfId="36" applyFont="1" applyFill="1" applyBorder="1" applyAlignment="1">
      <alignment horizontal="center"/>
    </xf>
    <xf numFmtId="0" fontId="31" fillId="7" borderId="18" xfId="36" applyFont="1" applyFill="1" applyBorder="1" applyAlignment="1">
      <alignment horizontal="center"/>
    </xf>
    <xf numFmtId="0" fontId="20" fillId="8" borderId="21" xfId="33" applyFont="1" applyFill="1" applyBorder="1" applyAlignment="1">
      <alignment horizontal="center" vertical="center" wrapText="1"/>
    </xf>
    <xf numFmtId="0" fontId="20" fillId="8" borderId="20" xfId="33" applyFont="1" applyFill="1" applyBorder="1" applyAlignment="1">
      <alignment horizontal="center" vertical="center" wrapText="1"/>
    </xf>
    <xf numFmtId="0" fontId="22" fillId="4" borderId="1" xfId="33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7" fillId="3" borderId="9" xfId="33" applyFont="1" applyFill="1" applyBorder="1" applyAlignment="1">
      <alignment horizontal="center" vertical="center"/>
    </xf>
    <xf numFmtId="0" fontId="27" fillId="3" borderId="10" xfId="33" applyFont="1" applyFill="1" applyBorder="1" applyAlignment="1">
      <alignment horizontal="center" vertical="center"/>
    </xf>
    <xf numFmtId="0" fontId="27" fillId="0" borderId="11" xfId="33" applyFont="1" applyBorder="1" applyAlignment="1">
      <alignment horizontal="center" vertical="center"/>
    </xf>
    <xf numFmtId="0" fontId="27" fillId="0" borderId="12" xfId="33" applyFont="1" applyBorder="1" applyAlignment="1">
      <alignment horizontal="center" vertical="center"/>
    </xf>
    <xf numFmtId="0" fontId="27" fillId="5" borderId="15" xfId="33" applyFont="1" applyFill="1" applyBorder="1" applyAlignment="1">
      <alignment horizontal="center" vertical="center"/>
    </xf>
    <xf numFmtId="0" fontId="27" fillId="5" borderId="8" xfId="33" applyFont="1" applyFill="1" applyBorder="1" applyAlignment="1">
      <alignment horizontal="center" vertical="center"/>
    </xf>
    <xf numFmtId="0" fontId="27" fillId="5" borderId="10" xfId="33" applyFont="1" applyFill="1" applyBorder="1" applyAlignment="1">
      <alignment horizontal="center" vertical="center"/>
    </xf>
    <xf numFmtId="0" fontId="27" fillId="0" borderId="7" xfId="33" applyFont="1" applyBorder="1" applyAlignment="1">
      <alignment horizontal="center" vertical="center"/>
    </xf>
    <xf numFmtId="0" fontId="27" fillId="0" borderId="3" xfId="33" applyFont="1" applyBorder="1" applyAlignment="1">
      <alignment horizontal="center" vertical="center"/>
    </xf>
    <xf numFmtId="0" fontId="27" fillId="0" borderId="9" xfId="33" applyFont="1" applyBorder="1" applyAlignment="1">
      <alignment horizontal="center" vertical="center"/>
    </xf>
    <xf numFmtId="0" fontId="27" fillId="0" borderId="6" xfId="33" applyFont="1" applyBorder="1" applyAlignment="1">
      <alignment horizontal="center" vertical="center"/>
    </xf>
    <xf numFmtId="0" fontId="27" fillId="3" borderId="15" xfId="33" applyFont="1" applyFill="1" applyBorder="1" applyAlignment="1">
      <alignment horizontal="center" vertical="center"/>
    </xf>
    <xf numFmtId="0" fontId="27" fillId="3" borderId="13" xfId="33" applyFont="1" applyFill="1" applyBorder="1" applyAlignment="1">
      <alignment horizontal="center" vertical="center"/>
    </xf>
    <xf numFmtId="0" fontId="27" fillId="3" borderId="7" xfId="33" applyFont="1" applyFill="1" applyBorder="1" applyAlignment="1">
      <alignment horizontal="center" vertical="center"/>
    </xf>
    <xf numFmtId="0" fontId="27" fillId="3" borderId="5" xfId="33" applyFont="1" applyFill="1" applyBorder="1" applyAlignment="1">
      <alignment horizontal="center" vertical="center"/>
    </xf>
    <xf numFmtId="0" fontId="27" fillId="0" borderId="17" xfId="33" applyFont="1" applyBorder="1" applyAlignment="1">
      <alignment horizontal="center" vertical="center"/>
    </xf>
    <xf numFmtId="0" fontId="50" fillId="0" borderId="0" xfId="66" applyFont="1" applyAlignment="1">
      <alignment horizontal="left" vertical="center"/>
    </xf>
    <xf numFmtId="0" fontId="50" fillId="0" borderId="0" xfId="66" applyFont="1" applyAlignment="1">
      <alignment horizontal="center" vertical="center"/>
    </xf>
    <xf numFmtId="0" fontId="79" fillId="0" borderId="46" xfId="71" applyFont="1" applyBorder="1" applyAlignment="1">
      <alignment horizontal="center" vertical="center"/>
    </xf>
    <xf numFmtId="0" fontId="79" fillId="0" borderId="1" xfId="71" applyFont="1" applyBorder="1" applyAlignment="1">
      <alignment horizontal="center" vertical="center"/>
    </xf>
  </cellXfs>
  <cellStyles count="73">
    <cellStyle name="Cellule liée 2" xfId="55"/>
    <cellStyle name="Comma 2" xfId="1"/>
    <cellStyle name="Comma 2 2" xfId="2"/>
    <cellStyle name="Comma 2 3" xfId="3"/>
    <cellStyle name="Comma 3" xfId="4"/>
    <cellStyle name="Euro" xfId="5"/>
    <cellStyle name="Euro 2" xfId="6"/>
    <cellStyle name="Euro_Associer FCC" xfId="7"/>
    <cellStyle name="Milliers" xfId="8" builtinId="3"/>
    <cellStyle name="Milliers 10" xfId="9"/>
    <cellStyle name="Milliers 11" xfId="10"/>
    <cellStyle name="Milliers 12" xfId="49"/>
    <cellStyle name="Milliers 12 2" xfId="46"/>
    <cellStyle name="Milliers 12 2 2" xfId="44"/>
    <cellStyle name="Milliers 12 2 3" xfId="56"/>
    <cellStyle name="Milliers 12 2 3 2" xfId="67"/>
    <cellStyle name="Milliers 12 3" xfId="57"/>
    <cellStyle name="Milliers 13" xfId="53"/>
    <cellStyle name="Milliers 14" xfId="58"/>
    <cellStyle name="Milliers 15" xfId="72"/>
    <cellStyle name="Milliers 2" xfId="11"/>
    <cellStyle name="Milliers 2 2" xfId="12"/>
    <cellStyle name="Milliers 2 2 2" xfId="13"/>
    <cellStyle name="Milliers 2 2 3" xfId="51"/>
    <cellStyle name="Milliers 2 3" xfId="59"/>
    <cellStyle name="Milliers 2 4" xfId="68"/>
    <cellStyle name="Milliers 2_Associer FCC" xfId="14"/>
    <cellStyle name="Milliers 3" xfId="15"/>
    <cellStyle name="Milliers 3 2" xfId="16"/>
    <cellStyle name="Milliers 3 2 2" xfId="17"/>
    <cellStyle name="Milliers 3 3" xfId="18"/>
    <cellStyle name="Milliers 3_Associer FCC" xfId="19"/>
    <cellStyle name="Milliers 4" xfId="20"/>
    <cellStyle name="Milliers 4 2" xfId="70"/>
    <cellStyle name="Milliers 5" xfId="21"/>
    <cellStyle name="Milliers 6" xfId="22"/>
    <cellStyle name="Milliers 7" xfId="23"/>
    <cellStyle name="Milliers 7 2" xfId="24"/>
    <cellStyle name="Milliers 8" xfId="25"/>
    <cellStyle name="Milliers 9" xfId="26"/>
    <cellStyle name="Normal" xfId="0" builtinId="0"/>
    <cellStyle name="Normal 10" xfId="27"/>
    <cellStyle name="Normal 11" xfId="45"/>
    <cellStyle name="Normal 11 2" xfId="48"/>
    <cellStyle name="Normal 11 2 2" xfId="43"/>
    <cellStyle name="Normal 11 2 3" xfId="60"/>
    <cellStyle name="Normal 11 2 3 2" xfId="66"/>
    <cellStyle name="Normal 12" xfId="61"/>
    <cellStyle name="Normal 13" xfId="62"/>
    <cellStyle name="Normal 13 2" xfId="65"/>
    <cellStyle name="Normal 14" xfId="71"/>
    <cellStyle name="Normal 2" xfId="28"/>
    <cellStyle name="Normal 2 2" xfId="47"/>
    <cellStyle name="Normal 2 2 2" xfId="50"/>
    <cellStyle name="Normal 2 4" xfId="63"/>
    <cellStyle name="Normal 2 4 2" xfId="69"/>
    <cellStyle name="Normal 3" xfId="29"/>
    <cellStyle name="Normal 4" xfId="30"/>
    <cellStyle name="Normal 5" xfId="31"/>
    <cellStyle name="Normal 6" xfId="32"/>
    <cellStyle name="Normal 6 2" xfId="33"/>
    <cellStyle name="Normal 7" xfId="34"/>
    <cellStyle name="Normal 8" xfId="35"/>
    <cellStyle name="Normal 8 2" xfId="42"/>
    <cellStyle name="Normal 9" xfId="36"/>
    <cellStyle name="Normal 9 2" xfId="64"/>
    <cellStyle name="Percent 2" xfId="37"/>
    <cellStyle name="Pourcentage" xfId="38" builtinId="5"/>
    <cellStyle name="Pourcentage 2" xfId="39"/>
    <cellStyle name="Pourcentage 2 2" xfId="54"/>
    <cellStyle name="Pourcentage 3" xfId="40"/>
    <cellStyle name="Pourcentage 4" xfId="41"/>
    <cellStyle name="Pourcentage 5" xfId="52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24</xdr:row>
      <xdr:rowOff>85725</xdr:rowOff>
    </xdr:from>
    <xdr:to>
      <xdr:col>7</xdr:col>
      <xdr:colOff>180975</xdr:colOff>
      <xdr:row>24</xdr:row>
      <xdr:rowOff>266700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2620625" y="10677525"/>
          <a:ext cx="762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762001</xdr:colOff>
      <xdr:row>0</xdr:row>
      <xdr:rowOff>95250</xdr:rowOff>
    </xdr:from>
    <xdr:to>
      <xdr:col>13</xdr:col>
      <xdr:colOff>603250</xdr:colOff>
      <xdr:row>3</xdr:row>
      <xdr:rowOff>269875</xdr:rowOff>
    </xdr:to>
    <xdr:sp macro="" textlink="">
      <xdr:nvSpPr>
        <xdr:cNvPr id="4" name="ZoneTexte 3"/>
        <xdr:cNvSpPr txBox="1"/>
      </xdr:nvSpPr>
      <xdr:spPr>
        <a:xfrm>
          <a:off x="12474098750" y="95250"/>
          <a:ext cx="18954749" cy="1222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1"/>
          <a:r>
            <a:rPr lang="ar-DZ" sz="3200" b="1">
              <a:latin typeface="Traditional Arabic" pitchFamily="18" charset="-78"/>
              <a:cs typeface="Traditional Arabic" pitchFamily="18" charset="-78"/>
            </a:rPr>
            <a:t>بسم الله الرحمان الرحيم</a:t>
          </a:r>
          <a:r>
            <a:rPr lang="fr-FR" sz="3200" b="1" baseline="0">
              <a:latin typeface="Traditional Arabic" pitchFamily="18" charset="-78"/>
              <a:cs typeface="Traditional Arabic" pitchFamily="18" charset="-78"/>
            </a:rPr>
            <a:t> </a:t>
          </a:r>
          <a:r>
            <a:rPr lang="ar-DZ" sz="3200" b="1">
              <a:latin typeface="Traditional Arabic" pitchFamily="18" charset="-78"/>
              <a:cs typeface="Traditional Arabic" pitchFamily="18" charset="-78"/>
            </a:rPr>
            <a:t>والصلاة والسلام على سيدنا محمد أشرف المرسلين</a:t>
          </a:r>
        </a:p>
        <a:p>
          <a:pPr algn="ctr" rtl="1"/>
          <a:r>
            <a:rPr lang="ar-DZ" sz="3200" b="1">
              <a:latin typeface="Traditional Arabic" pitchFamily="18" charset="-78"/>
              <a:cs typeface="Traditional Arabic" pitchFamily="18" charset="-78"/>
            </a:rPr>
            <a:t>وبعد فهذا بيان تصفية حسابات شركة</a:t>
          </a:r>
          <a:r>
            <a:rPr lang="ar-DZ" sz="3200" b="1" baseline="0">
              <a:latin typeface="Traditional Arabic" pitchFamily="18" charset="-78"/>
              <a:cs typeface="Traditional Arabic" pitchFamily="18" charset="-78"/>
            </a:rPr>
            <a:t> </a:t>
          </a:r>
          <a:r>
            <a:rPr lang="ar-DZ" sz="2800" b="1" baseline="0">
              <a:latin typeface="Traditional Arabic" pitchFamily="18" charset="-78"/>
              <a:cs typeface="Traditional Arabic" pitchFamily="18" charset="-78"/>
            </a:rPr>
            <a:t>صياغة الفتح </a:t>
          </a:r>
          <a:r>
            <a:rPr lang="ar-DZ" sz="3200" b="1">
              <a:latin typeface="Traditional Arabic" pitchFamily="18" charset="-78"/>
              <a:cs typeface="Traditional Arabic" pitchFamily="18" charset="-78"/>
            </a:rPr>
            <a:t>الكائنة مقرها ببريان</a:t>
          </a:r>
          <a:r>
            <a:rPr lang="ar-DZ" sz="3200" b="1" baseline="0">
              <a:latin typeface="Traditional Arabic" pitchFamily="18" charset="-78"/>
              <a:cs typeface="Traditional Arabic" pitchFamily="18" charset="-78"/>
            </a:rPr>
            <a:t> </a:t>
          </a:r>
          <a:r>
            <a:rPr lang="ar-DZ" sz="3200" b="1">
              <a:latin typeface="Traditional Arabic" pitchFamily="18" charset="-78"/>
              <a:cs typeface="Traditional Arabic" pitchFamily="18" charset="-78"/>
            </a:rPr>
            <a:t>، استنادا إلى المعلومات المقدمة من السيد عمر</a:t>
          </a:r>
          <a:r>
            <a:rPr lang="ar-DZ" sz="3200" b="1" baseline="0">
              <a:latin typeface="Traditional Arabic" pitchFamily="18" charset="-78"/>
              <a:cs typeface="Traditional Arabic" pitchFamily="18" charset="-78"/>
            </a:rPr>
            <a:t> الواهج</a:t>
          </a:r>
          <a:endParaRPr lang="ar-DZ" sz="3200" b="1">
            <a:latin typeface="Traditional Arabic" pitchFamily="18" charset="-78"/>
            <a:cs typeface="Traditional Arabic" pitchFamily="18" charset="-78"/>
          </a:endParaRPr>
        </a:p>
      </xdr:txBody>
    </xdr:sp>
    <xdr:clientData/>
  </xdr:twoCellAnchor>
  <xdr:twoCellAnchor>
    <xdr:from>
      <xdr:col>5</xdr:col>
      <xdr:colOff>297088</xdr:colOff>
      <xdr:row>42</xdr:row>
      <xdr:rowOff>22679</xdr:rowOff>
    </xdr:from>
    <xdr:to>
      <xdr:col>12</xdr:col>
      <xdr:colOff>612772</xdr:colOff>
      <xdr:row>44</xdr:row>
      <xdr:rowOff>0</xdr:rowOff>
    </xdr:to>
    <xdr:sp macro="" textlink="">
      <xdr:nvSpPr>
        <xdr:cNvPr id="3" name="ZoneTexte 2"/>
        <xdr:cNvSpPr txBox="1"/>
      </xdr:nvSpPr>
      <xdr:spPr>
        <a:xfrm>
          <a:off x="12475009978" y="6658429"/>
          <a:ext cx="11586934" cy="675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1"/>
          <a:r>
            <a:rPr lang="ar-DZ" sz="2400" b="0">
              <a:latin typeface="Traditional Arabic" pitchFamily="18" charset="-78"/>
              <a:cs typeface="Traditional Arabic" pitchFamily="18" charset="-78"/>
            </a:rPr>
            <a:t>ملاحظة: لا تتحمل مؤسسة </a:t>
          </a:r>
          <a:r>
            <a:rPr lang="fr-FR" sz="2400" b="0">
              <a:solidFill>
                <a:schemeClr val="dk1"/>
              </a:solidFill>
              <a:latin typeface="Traditional Arabic" pitchFamily="18" charset="-78"/>
              <a:ea typeface="+mn-ea"/>
              <a:cs typeface="Traditional Arabic" pitchFamily="18" charset="-78"/>
            </a:rPr>
            <a:t> </a:t>
          </a:r>
          <a:r>
            <a:rPr lang="fr-FR" sz="2000" b="0">
              <a:solidFill>
                <a:schemeClr val="dk1"/>
              </a:solidFill>
              <a:latin typeface="Traditional Arabic" pitchFamily="18" charset="-78"/>
              <a:ea typeface="+mn-ea"/>
              <a:cs typeface="Traditional Arabic" pitchFamily="18" charset="-78"/>
            </a:rPr>
            <a:t>BCOS Algérie</a:t>
          </a:r>
          <a:r>
            <a:rPr lang="ar-DZ" sz="2400" b="0">
              <a:latin typeface="Traditional Arabic" pitchFamily="18" charset="-78"/>
              <a:cs typeface="Traditional Arabic" pitchFamily="18" charset="-78"/>
            </a:rPr>
            <a:t>أي</a:t>
          </a:r>
          <a:r>
            <a:rPr lang="ar-DZ" sz="2400" b="0" baseline="0">
              <a:latin typeface="Traditional Arabic" pitchFamily="18" charset="-78"/>
              <a:cs typeface="Traditional Arabic" pitchFamily="18" charset="-78"/>
            </a:rPr>
            <a:t> </a:t>
          </a:r>
          <a:r>
            <a:rPr lang="ar-DZ" sz="2400" b="0">
              <a:latin typeface="Traditional Arabic" pitchFamily="18" charset="-78"/>
              <a:cs typeface="Traditional Arabic" pitchFamily="18" charset="-78"/>
            </a:rPr>
            <a:t>مسؤولية على صحة ودقة المعلومات المعتمدة في الميزانية وفي تصفية حسابات الشركاء.</a:t>
          </a:r>
          <a:endParaRPr lang="fr-FR" sz="2400" b="0">
            <a:latin typeface="Traditional Arabic" pitchFamily="18" charset="-78"/>
            <a:cs typeface="Traditional Arabic" pitchFamily="18" charset="-7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</xdr:rowOff>
    </xdr:from>
    <xdr:to>
      <xdr:col>2</xdr:col>
      <xdr:colOff>2009776</xdr:colOff>
      <xdr:row>8</xdr:row>
      <xdr:rowOff>180976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95250" y="1"/>
          <a:ext cx="6267451" cy="224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68580" rIns="36576" bIns="0" anchor="t" upright="1"/>
        <a:lstStyle/>
        <a:p>
          <a:pPr algn="ctr" rtl="1">
            <a:defRPr sz="1000"/>
          </a:pPr>
          <a:r>
            <a:rPr lang="ar-AE" sz="3200" b="1" i="0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بسم ا لله ا لرحمن الرحيم </a:t>
          </a:r>
          <a:endParaRPr lang="fr-FR" sz="3200" b="1" i="0" strike="noStrike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  <a:p>
          <a:pPr algn="ctr" rtl="1">
            <a:defRPr sz="1000"/>
          </a:pPr>
          <a:endParaRPr lang="fr-FR" sz="2000" b="0" i="0" strike="noStrike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  <a:p>
          <a:pPr algn="ctr" rtl="1">
            <a:defRPr sz="1000"/>
          </a:pPr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قال تعالى :"وَفِي السَّمَاء رِزْقُكُمْ وَمَا تُوعَدُونَ {22} فَوَرَبِّ السَّمَاء وَالْأَرْضِ إِنَّهُ لَحَقٌّ مِّثْلَ مَا أَنَّكُمْ تَنطِقُونَ {23}" سورة الذاريات</a:t>
          </a:r>
          <a:endParaRPr lang="ar-AE" sz="1800" b="0" i="0" strike="noStrike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  <a:p>
          <a:pPr algn="ctr" rtl="1">
            <a:defRPr sz="1000"/>
          </a:pPr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الحمد لله الذي هدانا لهذا وما كنا لنهتدي لولا أن هدانا الله </a:t>
          </a:r>
        </a:p>
        <a:p>
          <a:pPr algn="ctr" rtl="1">
            <a:defRPr sz="1000"/>
          </a:pPr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سلام الله عليكم، سلاما قولا من رب رحيم.</a:t>
          </a:r>
          <a:endParaRPr lang="fr-FR" sz="2000" b="0" i="0" strike="noStrike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</xdr:txBody>
    </xdr:sp>
    <xdr:clientData/>
  </xdr:twoCellAnchor>
  <xdr:twoCellAnchor>
    <xdr:from>
      <xdr:col>0</xdr:col>
      <xdr:colOff>139700</xdr:colOff>
      <xdr:row>21</xdr:row>
      <xdr:rowOff>100329</xdr:rowOff>
    </xdr:from>
    <xdr:to>
      <xdr:col>2</xdr:col>
      <xdr:colOff>2184400</xdr:colOff>
      <xdr:row>30</xdr:row>
      <xdr:rowOff>215899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139700" y="6529704"/>
          <a:ext cx="6397625" cy="251587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36576" rIns="45720" bIns="0" anchor="t" upright="1"/>
        <a:lstStyle/>
        <a:p>
          <a:pPr algn="r" rtl="0">
            <a:defRPr sz="1000"/>
          </a:pPr>
          <a:r>
            <a:rPr lang="ar-AE" sz="2000" b="1" i="0" u="sng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ملاحظات:</a:t>
          </a:r>
          <a:endParaRPr lang="ar-AE" sz="2000" b="0" i="0" strike="noStrike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  <a:p>
          <a:pPr algn="r" rtl="0">
            <a:defRPr sz="1000"/>
          </a:pPr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cs typeface="Arabic Typesetting" pitchFamily="66" charset="-78"/>
            </a:rPr>
            <a:t>- أي استفسار أو ملاحظة يتم الاتصال بمسير الشركة ضمن أجل لا يتعدى 15 يوم بعد إستلام الحسابات</a:t>
          </a:r>
        </a:p>
        <a:p>
          <a:pPr algn="r" rtl="0"/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- يجب الاحتفاظ بهذا الملف ويقدم عند الطلب، ويعتبر واسطة بين الشريك وال</a:t>
          </a:r>
          <a:r>
            <a:rPr lang="ar-DZ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شركة</a:t>
          </a:r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.</a:t>
          </a:r>
          <a:endParaRPr lang="fr-FR" sz="2000" b="0" i="0" strike="noStrike">
            <a:solidFill>
              <a:srgbClr val="000000"/>
            </a:solidFill>
            <a:latin typeface="Arabic Typesetting" pitchFamily="66" charset="-78"/>
            <a:ea typeface="+mn-ea"/>
            <a:cs typeface="Arabic Typesetting" pitchFamily="66" charset="-78"/>
          </a:endParaRPr>
        </a:p>
        <a:p>
          <a:pPr algn="r" rtl="0" eaLnBrk="1" fontAlgn="auto" latinLnBrk="0" hangingPunct="1"/>
          <a:r>
            <a:rPr lang="ar-AE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-  </a:t>
          </a:r>
          <a:r>
            <a:rPr lang="ar-DZ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في حالة سحب قيمة الزكاة تطرح من رأس المال الجديد.</a:t>
          </a:r>
          <a:endParaRPr lang="fr-FR" sz="2000" b="0" i="0" strike="noStrike">
            <a:solidFill>
              <a:srgbClr val="000000"/>
            </a:solidFill>
            <a:latin typeface="Arabic Typesetting" pitchFamily="66" charset="-78"/>
            <a:ea typeface="+mn-ea"/>
            <a:cs typeface="Arabic Typesetting" pitchFamily="66" charset="-78"/>
          </a:endParaRPr>
        </a:p>
        <a:p>
          <a:pPr algn="r" rtl="0" eaLnBrk="1" fontAlgn="auto" latinLnBrk="0" hangingPunct="1"/>
          <a:r>
            <a:rPr lang="ar-DZ" sz="2000" b="0" i="0" strike="noStrike">
              <a:solidFill>
                <a:srgbClr val="000000"/>
              </a:solidFill>
              <a:latin typeface="Arabic Typesetting" pitchFamily="66" charset="-78"/>
              <a:ea typeface="+mn-ea"/>
              <a:cs typeface="Arabic Typesetting" pitchFamily="66" charset="-78"/>
            </a:rPr>
            <a:t>- يرجى إرسال النسخة الثانية من الحساب بعد  الإمضاء.  </a:t>
          </a:r>
          <a:r>
            <a:rPr lang="ar-DZ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fr-FR" sz="2000">
            <a:effectLst/>
          </a:endParaRP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DZ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abic Typesetting" pitchFamily="66" charset="-78"/>
              <a:ea typeface="+mn-ea"/>
              <a:cs typeface="Arabic Typesetting" pitchFamily="66" charset="-78"/>
            </a:rPr>
            <a:t>                                 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DZ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abic Typesetting" pitchFamily="66" charset="-78"/>
              <a:ea typeface="+mn-ea"/>
              <a:cs typeface="Arabic Typesetting" pitchFamily="66" charset="-78"/>
            </a:rPr>
            <a:t>بريان يوم: ..................16 اكتوبر 2024............                                          الإمضاء:           . </a:t>
          </a:r>
          <a:endParaRPr lang="ar-DZ" sz="2000" b="0" i="0" strike="noStrike" baseline="0">
            <a:solidFill>
              <a:srgbClr val="000000"/>
            </a:solidFill>
            <a:latin typeface="Arabic Typesetting" pitchFamily="66" charset="-78"/>
            <a:cs typeface="Arabic Typesetting" pitchFamily="66" charset="-7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22</xdr:row>
      <xdr:rowOff>85725</xdr:rowOff>
    </xdr:from>
    <xdr:to>
      <xdr:col>7</xdr:col>
      <xdr:colOff>180975</xdr:colOff>
      <xdr:row>22</xdr:row>
      <xdr:rowOff>266700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2620625" y="10820400"/>
          <a:ext cx="762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eltinfo/Downloads/T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DB\2015\TDB%20BCOS%20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TDB/2015/TDB%20BCOS%20201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DB\Users\BCOS\Downloads\Calendrier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DB\Users\BCOS\Downloads\Calendrier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ikam/Desktop/Caisse%202013%2019-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ilan%20Atelier%20B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ilan%20Atelier%20B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B"/>
      <sheetName val="Répartition des Charges"/>
      <sheetName val="Invest"/>
      <sheetName val="TDB previsionnel"/>
      <sheetName val="CA Objectif"/>
      <sheetName val="Budget"/>
      <sheetName val="Analys"/>
      <sheetName val="Répartition_des_Charges"/>
      <sheetName val="TDB_previsionnel"/>
      <sheetName val="CA_Objectif"/>
    </sheetNames>
    <sheetDataSet>
      <sheetData sheetId="0">
        <row r="4">
          <cell r="B4" t="str">
            <v>CHIFFRES D'AFFAIRES   CA</v>
          </cell>
          <cell r="C4" t="str">
            <v>Janvier</v>
          </cell>
          <cell r="D4" t="str">
            <v>Février</v>
          </cell>
          <cell r="E4" t="str">
            <v>Mars</v>
          </cell>
          <cell r="F4" t="str">
            <v>Avril</v>
          </cell>
          <cell r="G4" t="str">
            <v>Mai</v>
          </cell>
          <cell r="H4" t="str">
            <v>Juin</v>
          </cell>
          <cell r="I4" t="str">
            <v>Juillet</v>
          </cell>
          <cell r="J4" t="str">
            <v>Août</v>
          </cell>
          <cell r="K4" t="str">
            <v>Septembre</v>
          </cell>
          <cell r="L4" t="str">
            <v>Octobre</v>
          </cell>
          <cell r="M4" t="str">
            <v>Novembre</v>
          </cell>
          <cell r="N4" t="str">
            <v>Décembre</v>
          </cell>
          <cell r="O4" t="str">
            <v>TOTAL</v>
          </cell>
          <cell r="P4" t="str">
            <v>Etat Client</v>
          </cell>
        </row>
        <row r="5">
          <cell r="B5" t="str">
            <v>Formation des Gérants</v>
          </cell>
          <cell r="O5">
            <v>0</v>
          </cell>
          <cell r="P5">
            <v>3560000</v>
          </cell>
        </row>
        <row r="6">
          <cell r="B6" t="str">
            <v>Formation Personnel inter</v>
          </cell>
          <cell r="O6">
            <v>0</v>
          </cell>
          <cell r="P6">
            <v>3209000</v>
          </cell>
        </row>
        <row r="7">
          <cell r="B7" t="str">
            <v>Formation Personnel intra</v>
          </cell>
          <cell r="O7">
            <v>0</v>
          </cell>
          <cell r="P7">
            <v>1570450</v>
          </cell>
        </row>
        <row r="8">
          <cell r="B8" t="str">
            <v>Conseil &amp; Accompagnement</v>
          </cell>
          <cell r="O8">
            <v>0</v>
          </cell>
          <cell r="P8">
            <v>1519200</v>
          </cell>
        </row>
        <row r="9">
          <cell r="B9" t="str">
            <v>Bilan</v>
          </cell>
          <cell r="O9">
            <v>0</v>
          </cell>
          <cell r="P9">
            <v>268000</v>
          </cell>
        </row>
        <row r="10">
          <cell r="B10" t="str">
            <v>Projet CED</v>
          </cell>
          <cell r="O10">
            <v>0</v>
          </cell>
          <cell r="P10">
            <v>120000</v>
          </cell>
        </row>
        <row r="11">
          <cell r="B11" t="str">
            <v>Hors Exploitation</v>
          </cell>
          <cell r="O11">
            <v>0</v>
          </cell>
        </row>
        <row r="12">
          <cell r="B12" t="str">
            <v>CA exceptionnelles (Décalage de Caisse)</v>
          </cell>
          <cell r="O12">
            <v>0</v>
          </cell>
        </row>
        <row r="13">
          <cell r="B13" t="str">
            <v>Remise</v>
          </cell>
          <cell r="O13">
            <v>0</v>
          </cell>
        </row>
        <row r="14">
          <cell r="B14" t="str">
            <v>TOTAL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10246650</v>
          </cell>
        </row>
        <row r="19">
          <cell r="A19" t="str">
            <v>Type</v>
          </cell>
          <cell r="B19" t="str">
            <v>CHARGES</v>
          </cell>
          <cell r="C19" t="str">
            <v>Janvier</v>
          </cell>
          <cell r="D19" t="str">
            <v>Février</v>
          </cell>
          <cell r="E19" t="str">
            <v>Mars</v>
          </cell>
          <cell r="F19" t="str">
            <v>Avril</v>
          </cell>
          <cell r="G19" t="str">
            <v>Mai</v>
          </cell>
          <cell r="H19" t="str">
            <v>Juin</v>
          </cell>
          <cell r="I19" t="str">
            <v>Juillet</v>
          </cell>
          <cell r="J19" t="str">
            <v>Août</v>
          </cell>
          <cell r="K19" t="str">
            <v>Septembre</v>
          </cell>
          <cell r="L19" t="str">
            <v>Octobre</v>
          </cell>
          <cell r="M19" t="str">
            <v>Novembre</v>
          </cell>
          <cell r="N19" t="str">
            <v>Décembre</v>
          </cell>
          <cell r="O19" t="str">
            <v>TOTAL</v>
          </cell>
        </row>
        <row r="20">
          <cell r="A20" t="str">
            <v>V</v>
          </cell>
          <cell r="B20" t="str">
            <v>Rémunération Formateur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F</v>
          </cell>
          <cell r="B21" t="str">
            <v>Salaires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V</v>
          </cell>
          <cell r="B22" t="str">
            <v>Primes</v>
          </cell>
          <cell r="O22">
            <v>0</v>
          </cell>
        </row>
        <row r="23">
          <cell r="A23" t="str">
            <v>F</v>
          </cell>
          <cell r="B23" t="str">
            <v>Loyer</v>
          </cell>
          <cell r="O23">
            <v>0</v>
          </cell>
        </row>
        <row r="24">
          <cell r="A24" t="str">
            <v>F</v>
          </cell>
          <cell r="B24" t="str">
            <v>Consomable Bureatique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V</v>
          </cell>
          <cell r="B25" t="str">
            <v>Collation Formation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F</v>
          </cell>
          <cell r="B26" t="str">
            <v>Frais entretien (produit, Femme de Ménage..)</v>
          </cell>
          <cell r="O26">
            <v>0</v>
          </cell>
        </row>
        <row r="27">
          <cell r="A27" t="str">
            <v>F</v>
          </cell>
          <cell r="B27" t="str">
            <v>Frais Déjeuner</v>
          </cell>
          <cell r="O27">
            <v>0</v>
          </cell>
        </row>
        <row r="28">
          <cell r="A28" t="str">
            <v>F</v>
          </cell>
          <cell r="B28" t="str">
            <v>Frais Résidance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F</v>
          </cell>
          <cell r="B29" t="str">
            <v xml:space="preserve">Communications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F</v>
          </cell>
          <cell r="B30" t="str">
            <v>Frais Administratif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F</v>
          </cell>
          <cell r="B31" t="str">
            <v>Véhicule (Gazoil, Entretien..)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V</v>
          </cell>
          <cell r="B32" t="str">
            <v>Frais de mission &amp; Formation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F</v>
          </cell>
          <cell r="B33" t="str">
            <v>Factures (Eau et Electricité)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F</v>
          </cell>
          <cell r="B34" t="str">
            <v>Publicité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F</v>
          </cell>
          <cell r="B35" t="str">
            <v>Sortie de Bureau</v>
          </cell>
          <cell r="C35">
            <v>0</v>
          </cell>
          <cell r="D35">
            <v>0</v>
          </cell>
          <cell r="O35">
            <v>0</v>
          </cell>
        </row>
        <row r="36">
          <cell r="A36" t="str">
            <v>F</v>
          </cell>
          <cell r="B36" t="str">
            <v>Transport</v>
          </cell>
          <cell r="O36">
            <v>0</v>
          </cell>
        </row>
        <row r="37">
          <cell r="A37" t="str">
            <v>F</v>
          </cell>
          <cell r="B37" t="str">
            <v>Amortissement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F</v>
          </cell>
          <cell r="B38" t="str">
            <v>Dons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V</v>
          </cell>
          <cell r="B39" t="str">
            <v>Remise</v>
          </cell>
          <cell r="O39">
            <v>0</v>
          </cell>
        </row>
        <row r="40">
          <cell r="A40" t="str">
            <v>F</v>
          </cell>
          <cell r="B40" t="str">
            <v>Charges exceptionnelles (Décalage de Caisse+ loyer Ré)</v>
          </cell>
          <cell r="O40">
            <v>0</v>
          </cell>
        </row>
        <row r="42">
          <cell r="A42" t="str">
            <v>TOTAL DES CHARGES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  <cell r="O45" t="str">
            <v>TOTAL</v>
          </cell>
        </row>
        <row r="46">
          <cell r="B46" t="str">
            <v>Chiffre d'affaires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Charges Fixes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Charges Variables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B49" t="str">
            <v>Marges sur couts variables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B50" t="str">
            <v>Taux de MCV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B51" t="str">
            <v>Seuil de Rentabilité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</sheetData>
      <sheetData sheetId="1" refreshError="1"/>
      <sheetData sheetId="2"/>
      <sheetData sheetId="3" refreshError="1"/>
      <sheetData sheetId="4">
        <row r="3">
          <cell r="B3" t="str">
            <v>CHIFFRES D'AFFAIRES   Objectif</v>
          </cell>
          <cell r="C3" t="str">
            <v>Janvier</v>
          </cell>
          <cell r="D3" t="str">
            <v>Février</v>
          </cell>
          <cell r="E3" t="str">
            <v>Mars</v>
          </cell>
          <cell r="F3" t="str">
            <v>Avril</v>
          </cell>
          <cell r="G3" t="str">
            <v>Mai</v>
          </cell>
          <cell r="H3" t="str">
            <v>Juin</v>
          </cell>
          <cell r="I3" t="str">
            <v>Juillet</v>
          </cell>
          <cell r="J3" t="str">
            <v>Août</v>
          </cell>
          <cell r="K3" t="str">
            <v>Septembre</v>
          </cell>
          <cell r="L3" t="str">
            <v>Octobre</v>
          </cell>
          <cell r="M3" t="str">
            <v>Novembre</v>
          </cell>
          <cell r="N3" t="str">
            <v>Décembre</v>
          </cell>
          <cell r="O3" t="str">
            <v>Total</v>
          </cell>
        </row>
        <row r="4">
          <cell r="B4" t="str">
            <v>Formation des Gérants</v>
          </cell>
          <cell r="O4">
            <v>0</v>
          </cell>
        </row>
        <row r="5">
          <cell r="B5" t="str">
            <v>Formation Personnel inter</v>
          </cell>
          <cell r="O5">
            <v>0</v>
          </cell>
        </row>
        <row r="6">
          <cell r="B6" t="str">
            <v>Formation Personnel intra</v>
          </cell>
          <cell r="O6">
            <v>0</v>
          </cell>
        </row>
        <row r="7">
          <cell r="B7" t="str">
            <v>Conseil &amp; Accompagnement</v>
          </cell>
          <cell r="O7">
            <v>0</v>
          </cell>
        </row>
        <row r="8">
          <cell r="B8" t="str">
            <v>Bilan</v>
          </cell>
          <cell r="O8">
            <v>0</v>
          </cell>
        </row>
        <row r="9">
          <cell r="B9" t="str">
            <v>Projet CED</v>
          </cell>
          <cell r="O9">
            <v>0</v>
          </cell>
        </row>
        <row r="10">
          <cell r="B10" t="str">
            <v>Hors Exploitation</v>
          </cell>
        </row>
        <row r="11">
          <cell r="B11" t="str">
            <v>Charges exceptionnelles (Décalage de Caisse)</v>
          </cell>
        </row>
        <row r="12">
          <cell r="B12" t="str">
            <v>Remise</v>
          </cell>
          <cell r="O12">
            <v>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</sheetData>
      <sheetData sheetId="5">
        <row r="5">
          <cell r="B5" t="str">
            <v>Budget</v>
          </cell>
          <cell r="C5" t="str">
            <v>Janvier</v>
          </cell>
          <cell r="D5" t="str">
            <v>Février</v>
          </cell>
          <cell r="E5" t="str">
            <v>Mars</v>
          </cell>
          <cell r="F5" t="str">
            <v>Avril</v>
          </cell>
          <cell r="G5" t="str">
            <v>Mai</v>
          </cell>
          <cell r="H5" t="str">
            <v>Juin</v>
          </cell>
          <cell r="I5" t="str">
            <v>Juillet</v>
          </cell>
          <cell r="J5" t="str">
            <v>Août</v>
          </cell>
          <cell r="K5" t="str">
            <v>Septembre</v>
          </cell>
          <cell r="L5" t="str">
            <v>Octobre</v>
          </cell>
          <cell r="M5" t="str">
            <v>Novembre</v>
          </cell>
          <cell r="N5" t="str">
            <v>Décembre</v>
          </cell>
          <cell r="O5" t="str">
            <v>Total</v>
          </cell>
        </row>
        <row r="6">
          <cell r="B6" t="str">
            <v>Rémunération Formateur</v>
          </cell>
          <cell r="O6">
            <v>0</v>
          </cell>
        </row>
        <row r="7">
          <cell r="B7" t="str">
            <v>Salaires BCOS</v>
          </cell>
          <cell r="O7">
            <v>0</v>
          </cell>
        </row>
        <row r="8">
          <cell r="B8" t="str">
            <v>Primes</v>
          </cell>
          <cell r="O8">
            <v>0</v>
          </cell>
        </row>
        <row r="9">
          <cell r="B9" t="str">
            <v>Loyer</v>
          </cell>
          <cell r="O9">
            <v>0</v>
          </cell>
        </row>
        <row r="10">
          <cell r="B10" t="str">
            <v>Consomable Bureatique</v>
          </cell>
          <cell r="O10">
            <v>0</v>
          </cell>
        </row>
        <row r="11">
          <cell r="B11" t="str">
            <v>Collation Formation</v>
          </cell>
          <cell r="O11">
            <v>0</v>
          </cell>
        </row>
        <row r="12">
          <cell r="B12" t="str">
            <v>Frais entretien</v>
          </cell>
          <cell r="O12">
            <v>0</v>
          </cell>
        </row>
        <row r="13">
          <cell r="B13" t="str">
            <v>Frais Déjeuner</v>
          </cell>
          <cell r="O13">
            <v>0</v>
          </cell>
        </row>
        <row r="14">
          <cell r="B14" t="str">
            <v>Frais Résidance</v>
          </cell>
          <cell r="O14">
            <v>0</v>
          </cell>
        </row>
        <row r="15">
          <cell r="B15" t="str">
            <v xml:space="preserve">Communications </v>
          </cell>
          <cell r="O15">
            <v>0</v>
          </cell>
        </row>
        <row r="16">
          <cell r="B16" t="str">
            <v>Frais Administratif</v>
          </cell>
          <cell r="O16">
            <v>0</v>
          </cell>
        </row>
        <row r="17">
          <cell r="B17" t="str">
            <v>Véhicule (Gazoil, Entretien..)</v>
          </cell>
          <cell r="O17">
            <v>0</v>
          </cell>
        </row>
        <row r="18">
          <cell r="B18" t="str">
            <v>Frais de mission &amp; Formation</v>
          </cell>
          <cell r="O18">
            <v>0</v>
          </cell>
        </row>
        <row r="19">
          <cell r="B19" t="str">
            <v>Factures (Eau et Electricité)</v>
          </cell>
          <cell r="O19">
            <v>0</v>
          </cell>
        </row>
        <row r="20">
          <cell r="B20" t="str">
            <v>Publicité</v>
          </cell>
          <cell r="O20">
            <v>0</v>
          </cell>
        </row>
        <row r="21">
          <cell r="B21" t="str">
            <v>Sortie de Bureau</v>
          </cell>
          <cell r="O21">
            <v>0</v>
          </cell>
        </row>
        <row r="22">
          <cell r="B22" t="str">
            <v>Transport</v>
          </cell>
          <cell r="O22">
            <v>0</v>
          </cell>
        </row>
        <row r="23">
          <cell r="B23" t="str">
            <v>Amortissement</v>
          </cell>
          <cell r="O23">
            <v>0</v>
          </cell>
        </row>
        <row r="24">
          <cell r="B24" t="str">
            <v>Dons</v>
          </cell>
          <cell r="O24">
            <v>0</v>
          </cell>
        </row>
        <row r="25">
          <cell r="B25" t="str">
            <v>Remise</v>
          </cell>
          <cell r="O25">
            <v>0</v>
          </cell>
        </row>
        <row r="26">
          <cell r="B26" t="str">
            <v>Charges exceptionnelles</v>
          </cell>
          <cell r="O26">
            <v>0</v>
          </cell>
        </row>
        <row r="27">
          <cell r="O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31">
          <cell r="B31" t="str">
            <v>Cumul Budget</v>
          </cell>
          <cell r="C31" t="str">
            <v>Janvier</v>
          </cell>
          <cell r="D31" t="str">
            <v>Février</v>
          </cell>
          <cell r="E31" t="str">
            <v>Mars</v>
          </cell>
          <cell r="F31" t="str">
            <v>Avril</v>
          </cell>
          <cell r="G31" t="str">
            <v>Mai</v>
          </cell>
          <cell r="H31" t="str">
            <v>Juin</v>
          </cell>
          <cell r="I31" t="str">
            <v>Juillet</v>
          </cell>
          <cell r="J31" t="str">
            <v>Août</v>
          </cell>
          <cell r="K31" t="str">
            <v>Septembre</v>
          </cell>
          <cell r="L31" t="str">
            <v>Octobre</v>
          </cell>
          <cell r="M31" t="str">
            <v>Novembre</v>
          </cell>
          <cell r="N31" t="str">
            <v>Décembre</v>
          </cell>
          <cell r="O31" t="str">
            <v>Total</v>
          </cell>
        </row>
        <row r="32">
          <cell r="B32" t="str">
            <v>Rémunération Formateur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 t="str">
            <v>Salaires BCOS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B34" t="str">
            <v>Primes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B35" t="str">
            <v>Loyer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Consomable Bureatique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B37" t="str">
            <v>Collation Formation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B38" t="str">
            <v>Frais entretien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Frais Déjeuner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B40" t="str">
            <v>Frais Résidance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B41" t="str">
            <v xml:space="preserve">Communications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 t="str">
            <v>Frais Administratif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B43" t="str">
            <v>Véhicule (Gazoil, Entretien..)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B44" t="str">
            <v>Frais de mission &amp; Formation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Factures (Eau et Electricité)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Publicité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Sortie de Bureau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Transport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B49" t="str">
            <v>Amortissement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B50" t="str">
            <v>Dons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B51" t="str">
            <v>Remise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>Charges exceptionnelles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B54" t="str">
            <v>Total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</sheetData>
      <sheetData sheetId="6"/>
      <sheetData sheetId="7"/>
      <sheetData sheetId="8"/>
      <sheetData sheetId="9">
        <row r="3">
          <cell r="B3" t="str">
            <v>CHIFFRES D'AFFAIRES   Objectif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B"/>
      <sheetName val="Amortissements"/>
      <sheetName val="Analys"/>
      <sheetName val="Invet"/>
      <sheetName val="Répartition des Charges"/>
      <sheetName val="Répartition des CA"/>
      <sheetName val="TDB previsionnel"/>
      <sheetName val="TDB prev"/>
      <sheetName val="Plan Trésorerie"/>
    </sheetNames>
    <sheetDataSet>
      <sheetData sheetId="0">
        <row r="4">
          <cell r="B4" t="str">
            <v>CHIFFRES D'AFFAIRES   CA</v>
          </cell>
          <cell r="C4" t="str">
            <v>Janvier</v>
          </cell>
          <cell r="D4" t="str">
            <v>Février</v>
          </cell>
          <cell r="E4" t="str">
            <v>Mars</v>
          </cell>
          <cell r="F4" t="str">
            <v>Avril</v>
          </cell>
          <cell r="G4" t="str">
            <v>Mai</v>
          </cell>
          <cell r="H4" t="str">
            <v>Juin</v>
          </cell>
          <cell r="I4" t="str">
            <v>Juillet</v>
          </cell>
          <cell r="J4" t="str">
            <v>Août</v>
          </cell>
          <cell r="K4" t="str">
            <v>Septembre</v>
          </cell>
          <cell r="L4" t="str">
            <v>Octobre</v>
          </cell>
          <cell r="M4" t="str">
            <v>Novembre</v>
          </cell>
          <cell r="N4" t="str">
            <v>Décembre</v>
          </cell>
          <cell r="O4" t="str">
            <v>TOTAL</v>
          </cell>
        </row>
        <row r="5">
          <cell r="B5" t="str">
            <v>Formation des Gérants</v>
          </cell>
          <cell r="C5">
            <v>0</v>
          </cell>
          <cell r="D5">
            <v>1824000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1824000</v>
          </cell>
        </row>
        <row r="6">
          <cell r="B6" t="str">
            <v>Formation Personnel inter</v>
          </cell>
          <cell r="C6">
            <v>220000</v>
          </cell>
          <cell r="D6">
            <v>1029000</v>
          </cell>
          <cell r="E6">
            <v>243000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1492000</v>
          </cell>
        </row>
        <row r="7">
          <cell r="B7" t="str">
            <v>Formation Personnel intra</v>
          </cell>
          <cell r="C7">
            <v>0</v>
          </cell>
          <cell r="D7">
            <v>100000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100000</v>
          </cell>
        </row>
        <row r="8">
          <cell r="B8" t="str">
            <v>Conseil &amp; Accompagnement</v>
          </cell>
          <cell r="C8">
            <v>116000</v>
          </cell>
          <cell r="D8">
            <v>83000</v>
          </cell>
          <cell r="E8">
            <v>79000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278000</v>
          </cell>
        </row>
        <row r="9">
          <cell r="B9" t="str">
            <v>Bilan</v>
          </cell>
          <cell r="C9">
            <v>6000</v>
          </cell>
          <cell r="D9">
            <v>82000</v>
          </cell>
          <cell r="E9">
            <v>40000</v>
          </cell>
          <cell r="O9">
            <v>128000</v>
          </cell>
        </row>
        <row r="10">
          <cell r="B10" t="str">
            <v>JOB &amp; Recrutment</v>
          </cell>
          <cell r="C10">
            <v>0</v>
          </cell>
          <cell r="D10">
            <v>0</v>
          </cell>
          <cell r="E10">
            <v>0</v>
          </cell>
          <cell r="O10">
            <v>0</v>
          </cell>
        </row>
        <row r="11">
          <cell r="B11" t="str">
            <v>Projet CED</v>
          </cell>
          <cell r="C11">
            <v>55000</v>
          </cell>
          <cell r="D11">
            <v>55000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110000</v>
          </cell>
        </row>
        <row r="12">
          <cell r="B12" t="str">
            <v>Hors Exploitation</v>
          </cell>
          <cell r="O12">
            <v>0</v>
          </cell>
        </row>
        <row r="13">
          <cell r="B13" t="str">
            <v>CA exceptionnelles (Décalage de Caisse)</v>
          </cell>
          <cell r="O13">
            <v>0</v>
          </cell>
        </row>
        <row r="14">
          <cell r="B14" t="str">
            <v>Remise</v>
          </cell>
          <cell r="O14">
            <v>0</v>
          </cell>
        </row>
        <row r="15">
          <cell r="B15" t="str">
            <v>TOTAL</v>
          </cell>
          <cell r="C15">
            <v>397000</v>
          </cell>
          <cell r="D15">
            <v>3173000</v>
          </cell>
          <cell r="E15">
            <v>362000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3932000</v>
          </cell>
        </row>
        <row r="20">
          <cell r="A20" t="str">
            <v>Type</v>
          </cell>
          <cell r="B20" t="str">
            <v>CHARGES</v>
          </cell>
          <cell r="C20" t="str">
            <v>Janvier</v>
          </cell>
          <cell r="D20" t="str">
            <v>Février</v>
          </cell>
          <cell r="E20" t="str">
            <v>Mars</v>
          </cell>
          <cell r="F20" t="str">
            <v>Avril</v>
          </cell>
          <cell r="G20" t="str">
            <v>Mai</v>
          </cell>
          <cell r="H20" t="str">
            <v>Juin</v>
          </cell>
          <cell r="I20" t="str">
            <v>Juillet</v>
          </cell>
          <cell r="J20" t="str">
            <v>Août</v>
          </cell>
          <cell r="K20" t="str">
            <v>Septembre</v>
          </cell>
          <cell r="L20" t="str">
            <v>Octobre</v>
          </cell>
          <cell r="M20" t="str">
            <v>Novembre</v>
          </cell>
          <cell r="N20" t="str">
            <v>Décembre</v>
          </cell>
          <cell r="O20" t="str">
            <v>TOTAL</v>
          </cell>
        </row>
        <row r="21">
          <cell r="A21" t="str">
            <v>V</v>
          </cell>
          <cell r="B21" t="str">
            <v>Rémunération Formateur</v>
          </cell>
          <cell r="C21">
            <v>55500</v>
          </cell>
          <cell r="D21">
            <v>570000</v>
          </cell>
          <cell r="E21">
            <v>25000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650500</v>
          </cell>
        </row>
        <row r="22">
          <cell r="A22" t="str">
            <v>F</v>
          </cell>
          <cell r="B22" t="str">
            <v>Salaires BCOS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V</v>
          </cell>
          <cell r="B23" t="str">
            <v>Primes</v>
          </cell>
          <cell r="O23">
            <v>0</v>
          </cell>
        </row>
        <row r="24">
          <cell r="A24" t="str">
            <v>F</v>
          </cell>
          <cell r="B24" t="str">
            <v>Loyer</v>
          </cell>
          <cell r="C24">
            <v>35000</v>
          </cell>
          <cell r="D24">
            <v>35000</v>
          </cell>
          <cell r="E24">
            <v>35000</v>
          </cell>
          <cell r="F24">
            <v>35000</v>
          </cell>
          <cell r="G24">
            <v>35000</v>
          </cell>
          <cell r="H24">
            <v>35000</v>
          </cell>
          <cell r="I24">
            <v>35000</v>
          </cell>
          <cell r="J24">
            <v>35000</v>
          </cell>
          <cell r="K24">
            <v>35000</v>
          </cell>
          <cell r="L24">
            <v>35000</v>
          </cell>
          <cell r="M24">
            <v>35000</v>
          </cell>
          <cell r="N24">
            <v>35000</v>
          </cell>
          <cell r="O24">
            <v>420000</v>
          </cell>
        </row>
        <row r="25">
          <cell r="A25" t="str">
            <v>F</v>
          </cell>
          <cell r="B25" t="str">
            <v>Consomable Bureatique</v>
          </cell>
          <cell r="C25">
            <v>34485</v>
          </cell>
          <cell r="D25">
            <v>33110</v>
          </cell>
          <cell r="E25">
            <v>36500</v>
          </cell>
          <cell r="F25">
            <v>720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104815</v>
          </cell>
        </row>
        <row r="26">
          <cell r="A26" t="str">
            <v>V</v>
          </cell>
          <cell r="B26" t="str">
            <v>Collation Formation</v>
          </cell>
          <cell r="C26">
            <v>18695</v>
          </cell>
          <cell r="D26">
            <v>71905</v>
          </cell>
          <cell r="E26">
            <v>13050</v>
          </cell>
          <cell r="F26">
            <v>2950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106600</v>
          </cell>
        </row>
        <row r="27">
          <cell r="A27" t="str">
            <v>F</v>
          </cell>
          <cell r="B27" t="str">
            <v>Frais entretien (produit, Femme de Ménage..)</v>
          </cell>
          <cell r="O27">
            <v>0</v>
          </cell>
        </row>
        <row r="28">
          <cell r="A28" t="str">
            <v>F</v>
          </cell>
          <cell r="B28" t="str">
            <v>Frais Déjeuner</v>
          </cell>
          <cell r="O28">
            <v>0</v>
          </cell>
        </row>
        <row r="29">
          <cell r="A29" t="str">
            <v>F</v>
          </cell>
          <cell r="B29" t="str">
            <v>Frais Résidance</v>
          </cell>
          <cell r="C29">
            <v>45700</v>
          </cell>
          <cell r="D29">
            <v>41745</v>
          </cell>
          <cell r="E29">
            <v>38000</v>
          </cell>
          <cell r="F29">
            <v>34000</v>
          </cell>
          <cell r="G29">
            <v>28000</v>
          </cell>
          <cell r="H29">
            <v>28000</v>
          </cell>
          <cell r="I29">
            <v>28000</v>
          </cell>
          <cell r="J29">
            <v>28000</v>
          </cell>
          <cell r="K29">
            <v>28000</v>
          </cell>
          <cell r="L29">
            <v>28000</v>
          </cell>
          <cell r="M29">
            <v>28000</v>
          </cell>
          <cell r="N29">
            <v>28000</v>
          </cell>
          <cell r="O29">
            <v>383445</v>
          </cell>
        </row>
        <row r="30">
          <cell r="A30" t="str">
            <v>F</v>
          </cell>
          <cell r="B30" t="str">
            <v xml:space="preserve">Communications </v>
          </cell>
          <cell r="C30">
            <v>8675</v>
          </cell>
          <cell r="D30">
            <v>6745</v>
          </cell>
          <cell r="E30">
            <v>4695</v>
          </cell>
          <cell r="F30">
            <v>10520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30635</v>
          </cell>
        </row>
        <row r="31">
          <cell r="A31" t="str">
            <v>F</v>
          </cell>
          <cell r="B31" t="str">
            <v>Frais Administratif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F</v>
          </cell>
          <cell r="B32" t="str">
            <v>Véhicule (Gazoil, Entretien..)</v>
          </cell>
          <cell r="C32">
            <v>791.66666666666663</v>
          </cell>
          <cell r="D32">
            <v>791.66666666666663</v>
          </cell>
          <cell r="E32">
            <v>125</v>
          </cell>
          <cell r="F32">
            <v>125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1833.3333333333333</v>
          </cell>
        </row>
        <row r="33">
          <cell r="A33" t="str">
            <v>V</v>
          </cell>
          <cell r="B33" t="str">
            <v>Frais de mission &amp; Formation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F</v>
          </cell>
          <cell r="B34" t="str">
            <v>Factures (Eau et Electricité)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F</v>
          </cell>
          <cell r="B35" t="str">
            <v>Publicité</v>
          </cell>
          <cell r="C35">
            <v>446.1805555555556</v>
          </cell>
          <cell r="D35">
            <v>446.1805555555556</v>
          </cell>
          <cell r="E35">
            <v>446.1805555555556</v>
          </cell>
          <cell r="F35">
            <v>446.1805555555556</v>
          </cell>
          <cell r="G35">
            <v>446.1805555555556</v>
          </cell>
          <cell r="H35">
            <v>446.1805555555556</v>
          </cell>
          <cell r="I35">
            <v>446.1805555555556</v>
          </cell>
          <cell r="J35">
            <v>446.1805555555556</v>
          </cell>
          <cell r="K35">
            <v>446.1805555555556</v>
          </cell>
          <cell r="L35">
            <v>446.1805555555556</v>
          </cell>
          <cell r="M35">
            <v>446.1805555555556</v>
          </cell>
          <cell r="N35">
            <v>446.1805555555556</v>
          </cell>
          <cell r="O35">
            <v>5354.166666666667</v>
          </cell>
        </row>
        <row r="36">
          <cell r="A36" t="str">
            <v>F</v>
          </cell>
          <cell r="B36" t="str">
            <v>Sortie de Bureau</v>
          </cell>
          <cell r="O36">
            <v>0</v>
          </cell>
        </row>
        <row r="37">
          <cell r="A37" t="str">
            <v>F</v>
          </cell>
          <cell r="B37" t="str">
            <v>Amortissement</v>
          </cell>
          <cell r="C37">
            <v>43009.901388888895</v>
          </cell>
          <cell r="D37">
            <v>43009.901388888895</v>
          </cell>
          <cell r="E37">
            <v>43009.901388888895</v>
          </cell>
          <cell r="F37">
            <v>43009.901388888895</v>
          </cell>
          <cell r="G37">
            <v>43009.901388888895</v>
          </cell>
          <cell r="H37">
            <v>43009.901388888895</v>
          </cell>
          <cell r="I37">
            <v>43009.901388888895</v>
          </cell>
          <cell r="J37">
            <v>43009.901388888895</v>
          </cell>
          <cell r="K37">
            <v>43009.901388888895</v>
          </cell>
          <cell r="L37">
            <v>43009.901388888895</v>
          </cell>
          <cell r="M37">
            <v>43009.901388888895</v>
          </cell>
          <cell r="N37">
            <v>43009.901388888895</v>
          </cell>
          <cell r="O37">
            <v>505952.14999999997</v>
          </cell>
        </row>
        <row r="38">
          <cell r="A38" t="str">
            <v>F</v>
          </cell>
          <cell r="B38" t="str">
            <v>Dons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V</v>
          </cell>
          <cell r="B39" t="str">
            <v>Remise</v>
          </cell>
          <cell r="O39">
            <v>0</v>
          </cell>
        </row>
        <row r="40">
          <cell r="A40" t="str">
            <v>F</v>
          </cell>
          <cell r="B40" t="str">
            <v>Charges exceptionnelles (Décalage de Caisse+ loyer Ré)</v>
          </cell>
          <cell r="O40">
            <v>0</v>
          </cell>
        </row>
        <row r="42">
          <cell r="A42" t="str">
            <v>TOTAL DES CHARGES</v>
          </cell>
          <cell r="C42">
            <v>242302.74861111111</v>
          </cell>
          <cell r="D42">
            <v>802752.74861111108</v>
          </cell>
          <cell r="E42">
            <v>195826.08194444445</v>
          </cell>
          <cell r="F42">
            <v>126771.08194444445</v>
          </cell>
          <cell r="G42">
            <v>106456.08194444445</v>
          </cell>
          <cell r="H42">
            <v>106456.08194444445</v>
          </cell>
          <cell r="I42">
            <v>106456.08194444445</v>
          </cell>
          <cell r="J42">
            <v>106456.08194444445</v>
          </cell>
          <cell r="K42">
            <v>106456.08194444445</v>
          </cell>
          <cell r="L42">
            <v>106456.08194444445</v>
          </cell>
          <cell r="M42">
            <v>106456.08194444445</v>
          </cell>
          <cell r="N42">
            <v>106456.08194444445</v>
          </cell>
          <cell r="O42">
            <v>2209134.65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  <cell r="O45" t="str">
            <v>TOTAL</v>
          </cell>
        </row>
        <row r="46">
          <cell r="B46" t="str">
            <v>Chiffre d'affaires</v>
          </cell>
          <cell r="C46">
            <v>397000</v>
          </cell>
          <cell r="D46">
            <v>3173000</v>
          </cell>
          <cell r="E46">
            <v>362000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3932000</v>
          </cell>
        </row>
        <row r="47">
          <cell r="B47" t="str">
            <v>Charges Fixes</v>
          </cell>
          <cell r="C47">
            <v>168107.74861111114</v>
          </cell>
          <cell r="D47">
            <v>160847.74861111114</v>
          </cell>
          <cell r="E47">
            <v>157776.08194444445</v>
          </cell>
          <cell r="F47">
            <v>123821.08194444445</v>
          </cell>
          <cell r="G47">
            <v>106456.08194444445</v>
          </cell>
          <cell r="H47">
            <v>106456.08194444445</v>
          </cell>
          <cell r="I47">
            <v>106456.08194444445</v>
          </cell>
          <cell r="J47">
            <v>106456.08194444445</v>
          </cell>
          <cell r="K47">
            <v>106456.08194444445</v>
          </cell>
          <cell r="L47">
            <v>106456.08194444445</v>
          </cell>
          <cell r="M47">
            <v>106456.08194444445</v>
          </cell>
          <cell r="N47">
            <v>106456.08194444445</v>
          </cell>
          <cell r="O47">
            <v>1462201.3166666667</v>
          </cell>
        </row>
        <row r="48">
          <cell r="B48" t="str">
            <v>Charges Variables</v>
          </cell>
          <cell r="C48">
            <v>74195</v>
          </cell>
          <cell r="D48">
            <v>641905</v>
          </cell>
          <cell r="E48">
            <v>38050</v>
          </cell>
          <cell r="F48">
            <v>2950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757100</v>
          </cell>
        </row>
        <row r="49">
          <cell r="B49" t="str">
            <v>Marges sur couts variables</v>
          </cell>
          <cell r="C49">
            <v>322805</v>
          </cell>
          <cell r="D49">
            <v>2531095</v>
          </cell>
          <cell r="E49">
            <v>323950</v>
          </cell>
          <cell r="F49">
            <v>-2950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3174900</v>
          </cell>
        </row>
        <row r="50">
          <cell r="B50" t="str">
            <v>Taux de MCV</v>
          </cell>
          <cell r="C50">
            <v>0.81311083123425698</v>
          </cell>
          <cell r="D50">
            <v>0.7976977623699969</v>
          </cell>
          <cell r="E50">
            <v>0.89488950276243096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e">
            <v>#DIV/0!</v>
          </cell>
          <cell r="N50" t="e">
            <v>#DIV/0!</v>
          </cell>
          <cell r="O50">
            <v>0.8074516785350967</v>
          </cell>
        </row>
        <row r="51">
          <cell r="B51" t="str">
            <v>Seuil de Rentabilité</v>
          </cell>
          <cell r="C51">
            <v>206746.41408469854</v>
          </cell>
          <cell r="D51">
            <v>201639.9646568207</v>
          </cell>
          <cell r="E51">
            <v>176307.89215585394</v>
          </cell>
          <cell r="F51" t="e">
            <v>#DIV/0!</v>
          </cell>
          <cell r="G51" t="e">
            <v>#DIV/0!</v>
          </cell>
          <cell r="H51" t="e">
            <v>#DIV/0!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e">
            <v>#DIV/0!</v>
          </cell>
          <cell r="N51" t="e">
            <v>#DIV/0!</v>
          </cell>
          <cell r="O51">
            <v>1810883.9891440149</v>
          </cell>
        </row>
        <row r="52">
          <cell r="B52" t="str">
            <v>Seuil de Rentabilité Moyenne</v>
          </cell>
          <cell r="C52" t="e">
            <v>#DIV/0!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e">
            <v>#DIV/0!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  <cell r="N52" t="e">
            <v>#DIV/0!</v>
          </cell>
          <cell r="O52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CHIFFRES D'AFFAIRES   CA</v>
          </cell>
          <cell r="C2" t="str">
            <v>Janvier</v>
          </cell>
          <cell r="D2" t="str">
            <v>Février</v>
          </cell>
          <cell r="E2" t="str">
            <v>Mars</v>
          </cell>
          <cell r="F2" t="str">
            <v>Avril</v>
          </cell>
          <cell r="G2" t="str">
            <v>Mai</v>
          </cell>
          <cell r="H2" t="str">
            <v>Juin</v>
          </cell>
          <cell r="I2" t="str">
            <v>Juillet</v>
          </cell>
          <cell r="J2" t="str">
            <v>Août</v>
          </cell>
          <cell r="K2" t="str">
            <v>Septembre</v>
          </cell>
          <cell r="L2" t="str">
            <v>Octobre</v>
          </cell>
          <cell r="M2" t="str">
            <v>Novembre</v>
          </cell>
          <cell r="N2" t="str">
            <v>Décembre</v>
          </cell>
          <cell r="O2" t="str">
            <v>Total</v>
          </cell>
        </row>
        <row r="3">
          <cell r="B3" t="str">
            <v>Formation des Gérants</v>
          </cell>
          <cell r="C3">
            <v>0</v>
          </cell>
          <cell r="D3">
            <v>2280000</v>
          </cell>
          <cell r="E3">
            <v>0</v>
          </cell>
          <cell r="F3">
            <v>0</v>
          </cell>
          <cell r="G3">
            <v>2280000</v>
          </cell>
          <cell r="H3">
            <v>0</v>
          </cell>
          <cell r="I3">
            <v>0</v>
          </cell>
          <cell r="J3">
            <v>2280000</v>
          </cell>
          <cell r="K3">
            <v>0</v>
          </cell>
          <cell r="L3">
            <v>0</v>
          </cell>
          <cell r="M3">
            <v>2280000</v>
          </cell>
          <cell r="N3">
            <v>0</v>
          </cell>
          <cell r="O3">
            <v>9120000</v>
          </cell>
        </row>
        <row r="4">
          <cell r="B4" t="str">
            <v>Formation Personnel inter</v>
          </cell>
          <cell r="C4">
            <v>720000</v>
          </cell>
          <cell r="D4">
            <v>960000</v>
          </cell>
          <cell r="E4">
            <v>690000</v>
          </cell>
          <cell r="F4">
            <v>120000</v>
          </cell>
          <cell r="G4">
            <v>240000</v>
          </cell>
          <cell r="H4">
            <v>450000</v>
          </cell>
          <cell r="I4">
            <v>0</v>
          </cell>
          <cell r="J4">
            <v>0</v>
          </cell>
          <cell r="K4">
            <v>0</v>
          </cell>
          <cell r="L4">
            <v>360000</v>
          </cell>
          <cell r="M4">
            <v>450000</v>
          </cell>
          <cell r="N4">
            <v>420000</v>
          </cell>
          <cell r="O4">
            <v>4410000</v>
          </cell>
        </row>
        <row r="5">
          <cell r="B5" t="str">
            <v>Formation Personnel intra</v>
          </cell>
          <cell r="C5">
            <v>100000</v>
          </cell>
          <cell r="D5">
            <v>200000</v>
          </cell>
          <cell r="E5">
            <v>100000</v>
          </cell>
          <cell r="F5">
            <v>200000</v>
          </cell>
          <cell r="G5">
            <v>200000</v>
          </cell>
          <cell r="H5">
            <v>200000</v>
          </cell>
          <cell r="I5">
            <v>0</v>
          </cell>
          <cell r="J5">
            <v>0</v>
          </cell>
          <cell r="K5">
            <v>100000</v>
          </cell>
          <cell r="L5">
            <v>100000</v>
          </cell>
          <cell r="M5">
            <v>100000</v>
          </cell>
          <cell r="N5">
            <v>100000</v>
          </cell>
          <cell r="O5">
            <v>1400000</v>
          </cell>
        </row>
        <row r="6">
          <cell r="B6" t="str">
            <v>Conseil &amp; Accompagnement</v>
          </cell>
          <cell r="C6">
            <v>100000</v>
          </cell>
          <cell r="D6">
            <v>80000</v>
          </cell>
          <cell r="E6">
            <v>100000</v>
          </cell>
          <cell r="F6">
            <v>100000</v>
          </cell>
          <cell r="G6">
            <v>100000</v>
          </cell>
          <cell r="H6">
            <v>100000</v>
          </cell>
          <cell r="I6">
            <v>50000</v>
          </cell>
          <cell r="J6">
            <v>50000</v>
          </cell>
          <cell r="K6">
            <v>50000</v>
          </cell>
          <cell r="L6">
            <v>100000</v>
          </cell>
          <cell r="M6">
            <v>50000</v>
          </cell>
          <cell r="N6">
            <v>100000</v>
          </cell>
          <cell r="O6">
            <v>980000</v>
          </cell>
        </row>
        <row r="7">
          <cell r="B7" t="str">
            <v>Bilan</v>
          </cell>
          <cell r="C7">
            <v>10000</v>
          </cell>
          <cell r="D7">
            <v>50000</v>
          </cell>
          <cell r="E7">
            <v>70000</v>
          </cell>
          <cell r="F7">
            <v>70000</v>
          </cell>
          <cell r="G7">
            <v>0</v>
          </cell>
          <cell r="H7">
            <v>0</v>
          </cell>
          <cell r="I7">
            <v>12000</v>
          </cell>
          <cell r="J7">
            <v>12000</v>
          </cell>
          <cell r="K7">
            <v>0</v>
          </cell>
          <cell r="L7">
            <v>50000</v>
          </cell>
          <cell r="M7">
            <v>50000</v>
          </cell>
          <cell r="N7">
            <v>0</v>
          </cell>
          <cell r="O7">
            <v>324000</v>
          </cell>
        </row>
        <row r="8">
          <cell r="B8" t="str">
            <v>JOB &amp; Recrutment</v>
          </cell>
          <cell r="C8">
            <v>0</v>
          </cell>
          <cell r="D8">
            <v>0</v>
          </cell>
          <cell r="E8">
            <v>50000</v>
          </cell>
          <cell r="F8">
            <v>50000</v>
          </cell>
          <cell r="G8">
            <v>50000</v>
          </cell>
          <cell r="H8">
            <v>50000</v>
          </cell>
          <cell r="I8">
            <v>50000</v>
          </cell>
          <cell r="J8">
            <v>50000</v>
          </cell>
          <cell r="K8">
            <v>50000</v>
          </cell>
          <cell r="L8">
            <v>50000</v>
          </cell>
          <cell r="M8">
            <v>50000</v>
          </cell>
          <cell r="N8">
            <v>50000</v>
          </cell>
          <cell r="O8">
            <v>500000</v>
          </cell>
        </row>
        <row r="9">
          <cell r="B9" t="str">
            <v>Projet CED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Hors Exploitation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 t="str">
            <v>CA exceptionnelles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B12" t="str">
            <v>Remise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Total</v>
          </cell>
          <cell r="C13">
            <v>930000</v>
          </cell>
          <cell r="D13">
            <v>3570000</v>
          </cell>
          <cell r="E13">
            <v>1010000</v>
          </cell>
          <cell r="F13">
            <v>540000</v>
          </cell>
          <cell r="G13">
            <v>2870000</v>
          </cell>
          <cell r="H13">
            <v>800000</v>
          </cell>
          <cell r="I13">
            <v>112000</v>
          </cell>
          <cell r="J13">
            <v>2392000</v>
          </cell>
          <cell r="K13">
            <v>200000</v>
          </cell>
          <cell r="L13">
            <v>660000</v>
          </cell>
          <cell r="M13">
            <v>2980000</v>
          </cell>
          <cell r="N13">
            <v>670000</v>
          </cell>
          <cell r="O13">
            <v>16734000</v>
          </cell>
        </row>
        <row r="16">
          <cell r="B16" t="str">
            <v>CHARGES   CH</v>
          </cell>
          <cell r="C16" t="str">
            <v>Janvier</v>
          </cell>
          <cell r="D16" t="str">
            <v>Février</v>
          </cell>
          <cell r="E16" t="str">
            <v>Mars</v>
          </cell>
          <cell r="F16" t="str">
            <v>Avril</v>
          </cell>
          <cell r="G16" t="str">
            <v>Mai</v>
          </cell>
          <cell r="H16" t="str">
            <v>Juin</v>
          </cell>
          <cell r="I16" t="str">
            <v>Juillet</v>
          </cell>
          <cell r="J16" t="str">
            <v>Août</v>
          </cell>
          <cell r="K16" t="str">
            <v>Septembre</v>
          </cell>
          <cell r="L16" t="str">
            <v>Octobre</v>
          </cell>
          <cell r="M16" t="str">
            <v>Novembre</v>
          </cell>
          <cell r="N16" t="str">
            <v>Décembre</v>
          </cell>
          <cell r="O16" t="str">
            <v>Total</v>
          </cell>
        </row>
        <row r="17">
          <cell r="B17" t="str">
            <v>Rémunération Formateur</v>
          </cell>
          <cell r="C17">
            <v>100000</v>
          </cell>
          <cell r="D17">
            <v>550000</v>
          </cell>
          <cell r="E17">
            <v>270000</v>
          </cell>
          <cell r="F17">
            <v>120000</v>
          </cell>
          <cell r="G17">
            <v>700000</v>
          </cell>
          <cell r="H17">
            <v>90000</v>
          </cell>
          <cell r="I17">
            <v>200000</v>
          </cell>
          <cell r="J17">
            <v>0</v>
          </cell>
          <cell r="K17">
            <v>0</v>
          </cell>
          <cell r="L17">
            <v>180000</v>
          </cell>
          <cell r="M17">
            <v>620000</v>
          </cell>
          <cell r="N17">
            <v>200000</v>
          </cell>
          <cell r="O17">
            <v>3030000</v>
          </cell>
        </row>
        <row r="18">
          <cell r="B18" t="str">
            <v>Salaires BCOS</v>
          </cell>
          <cell r="C18">
            <v>300000</v>
          </cell>
          <cell r="D18">
            <v>250000</v>
          </cell>
          <cell r="E18">
            <v>257000</v>
          </cell>
          <cell r="F18">
            <v>245000</v>
          </cell>
          <cell r="G18">
            <v>265000</v>
          </cell>
          <cell r="H18">
            <v>256000</v>
          </cell>
          <cell r="I18">
            <v>242000</v>
          </cell>
          <cell r="J18">
            <v>242000</v>
          </cell>
          <cell r="K18">
            <v>242000</v>
          </cell>
          <cell r="L18">
            <v>264000</v>
          </cell>
          <cell r="M18">
            <v>292000</v>
          </cell>
          <cell r="N18">
            <v>292000</v>
          </cell>
          <cell r="O18">
            <v>3147000</v>
          </cell>
        </row>
        <row r="19">
          <cell r="B19" t="str">
            <v>Primes</v>
          </cell>
          <cell r="C19">
            <v>150000</v>
          </cell>
          <cell r="D19">
            <v>150000</v>
          </cell>
          <cell r="E19">
            <v>150000</v>
          </cell>
          <cell r="F19">
            <v>150000</v>
          </cell>
          <cell r="G19">
            <v>150000</v>
          </cell>
          <cell r="H19">
            <v>150000</v>
          </cell>
          <cell r="I19">
            <v>150000</v>
          </cell>
          <cell r="J19">
            <v>150000</v>
          </cell>
          <cell r="K19">
            <v>150000</v>
          </cell>
          <cell r="L19">
            <v>150000</v>
          </cell>
          <cell r="M19">
            <v>150000</v>
          </cell>
          <cell r="N19">
            <v>150000</v>
          </cell>
          <cell r="O19">
            <v>1800000</v>
          </cell>
        </row>
        <row r="20">
          <cell r="B20" t="str">
            <v>Loyer</v>
          </cell>
          <cell r="C20">
            <v>35000</v>
          </cell>
          <cell r="D20">
            <v>35000</v>
          </cell>
          <cell r="E20">
            <v>35000</v>
          </cell>
          <cell r="F20">
            <v>35000</v>
          </cell>
          <cell r="G20">
            <v>35000</v>
          </cell>
          <cell r="H20">
            <v>35000</v>
          </cell>
          <cell r="I20">
            <v>35000</v>
          </cell>
          <cell r="J20">
            <v>35000</v>
          </cell>
          <cell r="K20">
            <v>35000</v>
          </cell>
          <cell r="L20">
            <v>35000</v>
          </cell>
          <cell r="M20">
            <v>35000</v>
          </cell>
          <cell r="N20">
            <v>35000</v>
          </cell>
          <cell r="O20">
            <v>420000</v>
          </cell>
        </row>
        <row r="21">
          <cell r="B21" t="str">
            <v>Consomable Bureatique</v>
          </cell>
          <cell r="C21">
            <v>10000</v>
          </cell>
          <cell r="D21">
            <v>10000</v>
          </cell>
          <cell r="E21">
            <v>15000</v>
          </cell>
          <cell r="F21">
            <v>12000</v>
          </cell>
          <cell r="G21">
            <v>34000</v>
          </cell>
          <cell r="H21">
            <v>25000</v>
          </cell>
          <cell r="I21">
            <v>15000</v>
          </cell>
          <cell r="J21">
            <v>15000</v>
          </cell>
          <cell r="K21">
            <v>10000</v>
          </cell>
          <cell r="L21">
            <v>15000</v>
          </cell>
          <cell r="M21">
            <v>30000</v>
          </cell>
          <cell r="N21">
            <v>50000</v>
          </cell>
          <cell r="O21">
            <v>241000</v>
          </cell>
        </row>
        <row r="22">
          <cell r="B22" t="str">
            <v>Collation Formation</v>
          </cell>
          <cell r="C22">
            <v>15000</v>
          </cell>
          <cell r="D22">
            <v>20000</v>
          </cell>
          <cell r="E22">
            <v>15000</v>
          </cell>
          <cell r="F22">
            <v>20000</v>
          </cell>
          <cell r="G22">
            <v>100000</v>
          </cell>
          <cell r="H22">
            <v>30000</v>
          </cell>
          <cell r="I22">
            <v>0</v>
          </cell>
          <cell r="J22">
            <v>0</v>
          </cell>
          <cell r="K22">
            <v>10000</v>
          </cell>
          <cell r="L22">
            <v>55000</v>
          </cell>
          <cell r="M22">
            <v>200000</v>
          </cell>
          <cell r="N22">
            <v>200000</v>
          </cell>
          <cell r="O22">
            <v>665000</v>
          </cell>
        </row>
        <row r="23">
          <cell r="B23" t="str">
            <v>Frais entretien</v>
          </cell>
          <cell r="C23">
            <v>10000</v>
          </cell>
          <cell r="D23">
            <v>8000</v>
          </cell>
          <cell r="E23">
            <v>10000</v>
          </cell>
          <cell r="F23">
            <v>7000</v>
          </cell>
          <cell r="G23">
            <v>10000</v>
          </cell>
          <cell r="H23">
            <v>9000</v>
          </cell>
          <cell r="I23">
            <v>15000</v>
          </cell>
          <cell r="J23">
            <v>10000</v>
          </cell>
          <cell r="K23">
            <v>10000</v>
          </cell>
          <cell r="L23">
            <v>20000</v>
          </cell>
          <cell r="M23">
            <v>6000</v>
          </cell>
          <cell r="N23">
            <v>6000</v>
          </cell>
          <cell r="O23">
            <v>121000</v>
          </cell>
        </row>
        <row r="24">
          <cell r="B24" t="str">
            <v>Frais Déjeuner</v>
          </cell>
          <cell r="C24">
            <v>30000</v>
          </cell>
          <cell r="D24">
            <v>30000</v>
          </cell>
          <cell r="E24">
            <v>30000</v>
          </cell>
          <cell r="F24">
            <v>30000</v>
          </cell>
          <cell r="G24">
            <v>30000</v>
          </cell>
          <cell r="H24">
            <v>30000</v>
          </cell>
          <cell r="I24">
            <v>30000</v>
          </cell>
          <cell r="J24">
            <v>30000</v>
          </cell>
          <cell r="K24">
            <v>30000</v>
          </cell>
          <cell r="L24">
            <v>30000</v>
          </cell>
          <cell r="M24">
            <v>30000</v>
          </cell>
          <cell r="N24">
            <v>30000</v>
          </cell>
          <cell r="O24">
            <v>360000</v>
          </cell>
        </row>
        <row r="25">
          <cell r="B25" t="str">
            <v>Frais Résidance</v>
          </cell>
          <cell r="C25">
            <v>50000</v>
          </cell>
          <cell r="D25">
            <v>50000</v>
          </cell>
          <cell r="E25">
            <v>50000</v>
          </cell>
          <cell r="F25">
            <v>50000</v>
          </cell>
          <cell r="G25">
            <v>50000</v>
          </cell>
          <cell r="H25">
            <v>50000</v>
          </cell>
          <cell r="I25">
            <v>50000</v>
          </cell>
          <cell r="J25">
            <v>50000</v>
          </cell>
          <cell r="K25">
            <v>50000</v>
          </cell>
          <cell r="L25">
            <v>50000</v>
          </cell>
          <cell r="M25">
            <v>50000</v>
          </cell>
          <cell r="N25">
            <v>50000</v>
          </cell>
          <cell r="O25">
            <v>600000</v>
          </cell>
        </row>
        <row r="26">
          <cell r="B26" t="str">
            <v xml:space="preserve">Communications </v>
          </cell>
          <cell r="C26">
            <v>5000</v>
          </cell>
          <cell r="D26">
            <v>5000</v>
          </cell>
          <cell r="E26">
            <v>5000</v>
          </cell>
          <cell r="F26">
            <v>5000</v>
          </cell>
          <cell r="G26">
            <v>5000</v>
          </cell>
          <cell r="H26">
            <v>5000</v>
          </cell>
          <cell r="I26">
            <v>5000</v>
          </cell>
          <cell r="J26">
            <v>5000</v>
          </cell>
          <cell r="K26">
            <v>5000</v>
          </cell>
          <cell r="L26">
            <v>5000</v>
          </cell>
          <cell r="M26">
            <v>5000</v>
          </cell>
          <cell r="N26">
            <v>5000</v>
          </cell>
          <cell r="O26">
            <v>60000</v>
          </cell>
        </row>
        <row r="27">
          <cell r="B27" t="str">
            <v>Frais Administratif</v>
          </cell>
          <cell r="C27">
            <v>20000</v>
          </cell>
          <cell r="D27">
            <v>20000</v>
          </cell>
          <cell r="E27">
            <v>20000</v>
          </cell>
          <cell r="F27">
            <v>20000</v>
          </cell>
          <cell r="G27">
            <v>20000</v>
          </cell>
          <cell r="H27">
            <v>20000</v>
          </cell>
          <cell r="I27">
            <v>20000</v>
          </cell>
          <cell r="J27">
            <v>20000</v>
          </cell>
          <cell r="K27">
            <v>20000</v>
          </cell>
          <cell r="L27">
            <v>20000</v>
          </cell>
          <cell r="M27">
            <v>20000</v>
          </cell>
          <cell r="N27">
            <v>20000</v>
          </cell>
          <cell r="O27">
            <v>240000</v>
          </cell>
        </row>
        <row r="28">
          <cell r="B28" t="str">
            <v>Véhicule (Gazoil, Entretien..)</v>
          </cell>
          <cell r="C28">
            <v>6000</v>
          </cell>
          <cell r="D28">
            <v>6000</v>
          </cell>
          <cell r="E28">
            <v>6000</v>
          </cell>
          <cell r="F28">
            <v>6000</v>
          </cell>
          <cell r="G28">
            <v>6000</v>
          </cell>
          <cell r="H28">
            <v>6000</v>
          </cell>
          <cell r="I28">
            <v>6000</v>
          </cell>
          <cell r="J28">
            <v>6000</v>
          </cell>
          <cell r="K28">
            <v>6000</v>
          </cell>
          <cell r="L28">
            <v>6000</v>
          </cell>
          <cell r="M28">
            <v>6000</v>
          </cell>
          <cell r="N28">
            <v>6000</v>
          </cell>
          <cell r="O28">
            <v>72000</v>
          </cell>
        </row>
        <row r="29">
          <cell r="B29" t="str">
            <v>Frais de mission &amp; Formation</v>
          </cell>
          <cell r="C29">
            <v>7000</v>
          </cell>
          <cell r="D29">
            <v>7000</v>
          </cell>
          <cell r="E29">
            <v>7000</v>
          </cell>
          <cell r="F29">
            <v>7000</v>
          </cell>
          <cell r="G29">
            <v>7000</v>
          </cell>
          <cell r="H29">
            <v>7000</v>
          </cell>
          <cell r="I29">
            <v>7000</v>
          </cell>
          <cell r="J29">
            <v>7000</v>
          </cell>
          <cell r="K29">
            <v>7000</v>
          </cell>
          <cell r="L29">
            <v>7000</v>
          </cell>
          <cell r="M29">
            <v>7000</v>
          </cell>
          <cell r="N29">
            <v>7000</v>
          </cell>
          <cell r="O29">
            <v>84000</v>
          </cell>
        </row>
        <row r="30">
          <cell r="B30" t="str">
            <v>Factures (Eau et Electricité)</v>
          </cell>
          <cell r="C30">
            <v>2200</v>
          </cell>
          <cell r="D30">
            <v>2200</v>
          </cell>
          <cell r="E30">
            <v>2200</v>
          </cell>
          <cell r="F30">
            <v>2200</v>
          </cell>
          <cell r="G30">
            <v>2200</v>
          </cell>
          <cell r="H30">
            <v>2200</v>
          </cell>
          <cell r="I30">
            <v>2200</v>
          </cell>
          <cell r="J30">
            <v>2200</v>
          </cell>
          <cell r="K30">
            <v>2200</v>
          </cell>
          <cell r="L30">
            <v>2200</v>
          </cell>
          <cell r="M30">
            <v>2200</v>
          </cell>
          <cell r="N30">
            <v>2200</v>
          </cell>
          <cell r="O30">
            <v>26400</v>
          </cell>
        </row>
        <row r="31">
          <cell r="B31" t="str">
            <v>Publicité</v>
          </cell>
          <cell r="C31">
            <v>5000</v>
          </cell>
          <cell r="D31">
            <v>5000</v>
          </cell>
          <cell r="E31">
            <v>5000</v>
          </cell>
          <cell r="F31">
            <v>5000</v>
          </cell>
          <cell r="G31">
            <v>5000</v>
          </cell>
          <cell r="H31">
            <v>5000</v>
          </cell>
          <cell r="I31">
            <v>5000</v>
          </cell>
          <cell r="J31">
            <v>5000</v>
          </cell>
          <cell r="K31">
            <v>5000</v>
          </cell>
          <cell r="L31">
            <v>5000</v>
          </cell>
          <cell r="M31">
            <v>5000</v>
          </cell>
          <cell r="N31">
            <v>5000</v>
          </cell>
          <cell r="O31">
            <v>60000</v>
          </cell>
        </row>
        <row r="32">
          <cell r="B32" t="str">
            <v>Sortie de Bureau</v>
          </cell>
          <cell r="C32">
            <v>0</v>
          </cell>
          <cell r="D32">
            <v>0</v>
          </cell>
          <cell r="E32">
            <v>11000</v>
          </cell>
          <cell r="F32">
            <v>0</v>
          </cell>
          <cell r="G32">
            <v>0</v>
          </cell>
          <cell r="H32">
            <v>9000</v>
          </cell>
          <cell r="I32">
            <v>0</v>
          </cell>
          <cell r="J32">
            <v>50000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70000</v>
          </cell>
        </row>
        <row r="33">
          <cell r="B33" t="str">
            <v>Amortissement</v>
          </cell>
          <cell r="C33">
            <v>35000</v>
          </cell>
          <cell r="D33">
            <v>35000</v>
          </cell>
          <cell r="E33">
            <v>35000</v>
          </cell>
          <cell r="F33">
            <v>35000</v>
          </cell>
          <cell r="G33">
            <v>35000</v>
          </cell>
          <cell r="H33">
            <v>35000</v>
          </cell>
          <cell r="I33">
            <v>35000</v>
          </cell>
          <cell r="J33">
            <v>35000</v>
          </cell>
          <cell r="K33">
            <v>35000</v>
          </cell>
          <cell r="L33">
            <v>35000</v>
          </cell>
          <cell r="M33">
            <v>35000</v>
          </cell>
          <cell r="N33">
            <v>35000</v>
          </cell>
          <cell r="O33">
            <v>420000</v>
          </cell>
        </row>
        <row r="34">
          <cell r="B34" t="str">
            <v>Dons</v>
          </cell>
          <cell r="C34">
            <v>20000</v>
          </cell>
          <cell r="D34">
            <v>20000</v>
          </cell>
          <cell r="E34">
            <v>20000</v>
          </cell>
          <cell r="F34">
            <v>20000</v>
          </cell>
          <cell r="G34">
            <v>20000</v>
          </cell>
          <cell r="H34">
            <v>20000</v>
          </cell>
          <cell r="I34">
            <v>20000</v>
          </cell>
          <cell r="J34">
            <v>20000</v>
          </cell>
          <cell r="K34">
            <v>20000</v>
          </cell>
          <cell r="L34">
            <v>20000</v>
          </cell>
          <cell r="M34">
            <v>20000</v>
          </cell>
          <cell r="N34">
            <v>20000</v>
          </cell>
          <cell r="O34">
            <v>240000</v>
          </cell>
        </row>
        <row r="35">
          <cell r="B35" t="str">
            <v>Remise</v>
          </cell>
          <cell r="C35">
            <v>7800</v>
          </cell>
          <cell r="D35">
            <v>7800</v>
          </cell>
          <cell r="E35">
            <v>7800</v>
          </cell>
          <cell r="F35">
            <v>7800</v>
          </cell>
          <cell r="G35">
            <v>7800</v>
          </cell>
          <cell r="H35">
            <v>7800</v>
          </cell>
          <cell r="I35">
            <v>7800</v>
          </cell>
          <cell r="J35">
            <v>7800</v>
          </cell>
          <cell r="K35">
            <v>7800</v>
          </cell>
          <cell r="L35">
            <v>7800</v>
          </cell>
          <cell r="M35">
            <v>7800</v>
          </cell>
          <cell r="N35">
            <v>7800</v>
          </cell>
          <cell r="O35">
            <v>93600</v>
          </cell>
        </row>
        <row r="36">
          <cell r="B36" t="str">
            <v>Charges exceptionnelles</v>
          </cell>
          <cell r="C36">
            <v>70000</v>
          </cell>
          <cell r="D36">
            <v>70000</v>
          </cell>
          <cell r="E36">
            <v>70000</v>
          </cell>
          <cell r="F36">
            <v>70000</v>
          </cell>
          <cell r="G36">
            <v>70000</v>
          </cell>
          <cell r="H36">
            <v>70000</v>
          </cell>
          <cell r="I36">
            <v>70000</v>
          </cell>
          <cell r="J36">
            <v>70000</v>
          </cell>
          <cell r="K36">
            <v>70000</v>
          </cell>
          <cell r="L36">
            <v>70000</v>
          </cell>
          <cell r="M36">
            <v>70000</v>
          </cell>
          <cell r="N36">
            <v>70000</v>
          </cell>
          <cell r="O36">
            <v>840000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B38" t="str">
            <v>Total</v>
          </cell>
          <cell r="C38">
            <v>878000</v>
          </cell>
          <cell r="D38">
            <v>1281000</v>
          </cell>
          <cell r="E38">
            <v>1021000</v>
          </cell>
          <cell r="F38">
            <v>847000</v>
          </cell>
          <cell r="G38">
            <v>1552000</v>
          </cell>
          <cell r="H38">
            <v>862000</v>
          </cell>
          <cell r="I38">
            <v>915000</v>
          </cell>
          <cell r="J38">
            <v>760000</v>
          </cell>
          <cell r="K38">
            <v>715000</v>
          </cell>
          <cell r="L38">
            <v>977000</v>
          </cell>
          <cell r="M38">
            <v>1591000</v>
          </cell>
          <cell r="N38">
            <v>1191000</v>
          </cell>
          <cell r="O38">
            <v>12590000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B"/>
      <sheetName val="Amortissements"/>
      <sheetName val="Analys"/>
      <sheetName val="Invet"/>
      <sheetName val="Répartition des Charges"/>
      <sheetName val="Répartition des CA"/>
      <sheetName val="TDB previsionnel"/>
      <sheetName val="TDB prev"/>
      <sheetName val="Plan Trésorerie"/>
    </sheetNames>
    <sheetDataSet>
      <sheetData sheetId="0">
        <row r="4">
          <cell r="B4" t="str">
            <v>CHIFFRES D'AFFAIRES   CA</v>
          </cell>
          <cell r="C4" t="str">
            <v>Janvier</v>
          </cell>
          <cell r="D4" t="str">
            <v>Février</v>
          </cell>
          <cell r="E4" t="str">
            <v>Mars</v>
          </cell>
          <cell r="F4" t="str">
            <v>Avril</v>
          </cell>
          <cell r="G4" t="str">
            <v>Mai</v>
          </cell>
          <cell r="H4" t="str">
            <v>Juin</v>
          </cell>
          <cell r="I4" t="str">
            <v>Juillet</v>
          </cell>
          <cell r="J4" t="str">
            <v>Août</v>
          </cell>
          <cell r="K4" t="str">
            <v>Septembre</v>
          </cell>
          <cell r="L4" t="str">
            <v>Octobre</v>
          </cell>
          <cell r="M4" t="str">
            <v>Novembre</v>
          </cell>
          <cell r="N4" t="str">
            <v>Décembre</v>
          </cell>
          <cell r="O4" t="str">
            <v>TOTAL</v>
          </cell>
        </row>
        <row r="5">
          <cell r="B5" t="str">
            <v>Formation des Gérants</v>
          </cell>
          <cell r="C5">
            <v>0</v>
          </cell>
          <cell r="D5">
            <v>1824000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1824000</v>
          </cell>
        </row>
        <row r="6">
          <cell r="B6" t="str">
            <v>Formation Personnel inter</v>
          </cell>
          <cell r="C6">
            <v>220000</v>
          </cell>
          <cell r="D6">
            <v>1029000</v>
          </cell>
          <cell r="E6">
            <v>243000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1492000</v>
          </cell>
        </row>
        <row r="7">
          <cell r="B7" t="str">
            <v>Formation Personnel intra</v>
          </cell>
          <cell r="C7">
            <v>0</v>
          </cell>
          <cell r="D7">
            <v>100000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100000</v>
          </cell>
        </row>
        <row r="8">
          <cell r="B8" t="str">
            <v>Conseil &amp; Accompagnement</v>
          </cell>
          <cell r="C8">
            <v>116000</v>
          </cell>
          <cell r="D8">
            <v>83000</v>
          </cell>
          <cell r="E8">
            <v>79000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278000</v>
          </cell>
        </row>
        <row r="9">
          <cell r="B9" t="str">
            <v>Bilan</v>
          </cell>
          <cell r="C9">
            <v>6000</v>
          </cell>
          <cell r="D9">
            <v>82000</v>
          </cell>
          <cell r="E9">
            <v>40000</v>
          </cell>
          <cell r="O9">
            <v>128000</v>
          </cell>
        </row>
        <row r="10">
          <cell r="B10" t="str">
            <v>JOB &amp; Recrutment</v>
          </cell>
          <cell r="C10">
            <v>0</v>
          </cell>
          <cell r="D10">
            <v>0</v>
          </cell>
          <cell r="E10">
            <v>0</v>
          </cell>
          <cell r="O10">
            <v>0</v>
          </cell>
        </row>
        <row r="11">
          <cell r="B11" t="str">
            <v>Projet CED</v>
          </cell>
          <cell r="C11">
            <v>55000</v>
          </cell>
          <cell r="D11">
            <v>55000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110000</v>
          </cell>
        </row>
        <row r="12">
          <cell r="B12" t="str">
            <v>Hors Exploitation</v>
          </cell>
          <cell r="O12">
            <v>0</v>
          </cell>
        </row>
        <row r="13">
          <cell r="B13" t="str">
            <v>CA exceptionnelles (Décalage de Caisse)</v>
          </cell>
          <cell r="O13">
            <v>0</v>
          </cell>
        </row>
        <row r="14">
          <cell r="B14" t="str">
            <v>Remise</v>
          </cell>
          <cell r="O14">
            <v>0</v>
          </cell>
        </row>
        <row r="15">
          <cell r="B15" t="str">
            <v>TOTAL</v>
          </cell>
          <cell r="C15">
            <v>397000</v>
          </cell>
          <cell r="D15">
            <v>3173000</v>
          </cell>
          <cell r="E15">
            <v>362000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3932000</v>
          </cell>
        </row>
        <row r="20">
          <cell r="A20" t="str">
            <v>Type</v>
          </cell>
          <cell r="B20" t="str">
            <v>CHARGES</v>
          </cell>
          <cell r="C20" t="str">
            <v>Janvier</v>
          </cell>
          <cell r="D20" t="str">
            <v>Février</v>
          </cell>
          <cell r="E20" t="str">
            <v>Mars</v>
          </cell>
          <cell r="F20" t="str">
            <v>Avril</v>
          </cell>
          <cell r="G20" t="str">
            <v>Mai</v>
          </cell>
          <cell r="H20" t="str">
            <v>Juin</v>
          </cell>
          <cell r="I20" t="str">
            <v>Juillet</v>
          </cell>
          <cell r="J20" t="str">
            <v>Août</v>
          </cell>
          <cell r="K20" t="str">
            <v>Septembre</v>
          </cell>
          <cell r="L20" t="str">
            <v>Octobre</v>
          </cell>
          <cell r="M20" t="str">
            <v>Novembre</v>
          </cell>
          <cell r="N20" t="str">
            <v>Décembre</v>
          </cell>
          <cell r="O20" t="str">
            <v>TOTAL</v>
          </cell>
        </row>
        <row r="21">
          <cell r="A21" t="str">
            <v>V</v>
          </cell>
          <cell r="B21" t="str">
            <v>Rémunération Formateur</v>
          </cell>
          <cell r="C21">
            <v>55500</v>
          </cell>
          <cell r="D21">
            <v>570000</v>
          </cell>
          <cell r="E21">
            <v>25000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650500</v>
          </cell>
        </row>
        <row r="22">
          <cell r="A22" t="str">
            <v>F</v>
          </cell>
          <cell r="B22" t="str">
            <v>Salaires BCOS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V</v>
          </cell>
          <cell r="B23" t="str">
            <v>Primes</v>
          </cell>
          <cell r="O23">
            <v>0</v>
          </cell>
        </row>
        <row r="24">
          <cell r="A24" t="str">
            <v>F</v>
          </cell>
          <cell r="B24" t="str">
            <v>Loyer</v>
          </cell>
          <cell r="C24">
            <v>35000</v>
          </cell>
          <cell r="D24">
            <v>35000</v>
          </cell>
          <cell r="E24">
            <v>35000</v>
          </cell>
          <cell r="F24">
            <v>35000</v>
          </cell>
          <cell r="G24">
            <v>35000</v>
          </cell>
          <cell r="H24">
            <v>35000</v>
          </cell>
          <cell r="I24">
            <v>35000</v>
          </cell>
          <cell r="J24">
            <v>35000</v>
          </cell>
          <cell r="K24">
            <v>35000</v>
          </cell>
          <cell r="L24">
            <v>35000</v>
          </cell>
          <cell r="M24">
            <v>35000</v>
          </cell>
          <cell r="N24">
            <v>35000</v>
          </cell>
          <cell r="O24">
            <v>420000</v>
          </cell>
        </row>
        <row r="25">
          <cell r="A25" t="str">
            <v>F</v>
          </cell>
          <cell r="B25" t="str">
            <v>Consomable Bureatique</v>
          </cell>
          <cell r="C25">
            <v>34485</v>
          </cell>
          <cell r="D25">
            <v>33110</v>
          </cell>
          <cell r="E25">
            <v>36500</v>
          </cell>
          <cell r="F25">
            <v>720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104815</v>
          </cell>
        </row>
        <row r="26">
          <cell r="A26" t="str">
            <v>V</v>
          </cell>
          <cell r="B26" t="str">
            <v>Collation Formation</v>
          </cell>
          <cell r="C26">
            <v>18695</v>
          </cell>
          <cell r="D26">
            <v>71905</v>
          </cell>
          <cell r="E26">
            <v>13050</v>
          </cell>
          <cell r="F26">
            <v>2950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106600</v>
          </cell>
        </row>
        <row r="27">
          <cell r="A27" t="str">
            <v>F</v>
          </cell>
          <cell r="B27" t="str">
            <v>Frais entretien (produit, Femme de Ménage..)</v>
          </cell>
          <cell r="O27">
            <v>0</v>
          </cell>
        </row>
        <row r="28">
          <cell r="A28" t="str">
            <v>F</v>
          </cell>
          <cell r="B28" t="str">
            <v>Frais Déjeuner</v>
          </cell>
          <cell r="O28">
            <v>0</v>
          </cell>
        </row>
        <row r="29">
          <cell r="A29" t="str">
            <v>F</v>
          </cell>
          <cell r="B29" t="str">
            <v>Frais Résidance</v>
          </cell>
          <cell r="C29">
            <v>45700</v>
          </cell>
          <cell r="D29">
            <v>41745</v>
          </cell>
          <cell r="E29">
            <v>38000</v>
          </cell>
          <cell r="F29">
            <v>34000</v>
          </cell>
          <cell r="G29">
            <v>28000</v>
          </cell>
          <cell r="H29">
            <v>28000</v>
          </cell>
          <cell r="I29">
            <v>28000</v>
          </cell>
          <cell r="J29">
            <v>28000</v>
          </cell>
          <cell r="K29">
            <v>28000</v>
          </cell>
          <cell r="L29">
            <v>28000</v>
          </cell>
          <cell r="M29">
            <v>28000</v>
          </cell>
          <cell r="N29">
            <v>28000</v>
          </cell>
          <cell r="O29">
            <v>383445</v>
          </cell>
        </row>
        <row r="30">
          <cell r="A30" t="str">
            <v>F</v>
          </cell>
          <cell r="B30" t="str">
            <v xml:space="preserve">Communications </v>
          </cell>
          <cell r="C30">
            <v>8675</v>
          </cell>
          <cell r="D30">
            <v>6745</v>
          </cell>
          <cell r="E30">
            <v>4695</v>
          </cell>
          <cell r="F30">
            <v>10520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30635</v>
          </cell>
        </row>
        <row r="31">
          <cell r="A31" t="str">
            <v>F</v>
          </cell>
          <cell r="B31" t="str">
            <v>Frais Administratif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F</v>
          </cell>
          <cell r="B32" t="str">
            <v>Véhicule (Gazoil, Entretien..)</v>
          </cell>
          <cell r="C32">
            <v>791.66666666666663</v>
          </cell>
          <cell r="D32">
            <v>791.66666666666663</v>
          </cell>
          <cell r="E32">
            <v>125</v>
          </cell>
          <cell r="F32">
            <v>125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1833.3333333333333</v>
          </cell>
        </row>
        <row r="33">
          <cell r="A33" t="str">
            <v>V</v>
          </cell>
          <cell r="B33" t="str">
            <v>Frais de mission &amp; Formation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F</v>
          </cell>
          <cell r="B34" t="str">
            <v>Factures (Eau et Electricité)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F</v>
          </cell>
          <cell r="B35" t="str">
            <v>Publicité</v>
          </cell>
          <cell r="C35">
            <v>446.1805555555556</v>
          </cell>
          <cell r="D35">
            <v>446.1805555555556</v>
          </cell>
          <cell r="E35">
            <v>446.1805555555556</v>
          </cell>
          <cell r="F35">
            <v>446.1805555555556</v>
          </cell>
          <cell r="G35">
            <v>446.1805555555556</v>
          </cell>
          <cell r="H35">
            <v>446.1805555555556</v>
          </cell>
          <cell r="I35">
            <v>446.1805555555556</v>
          </cell>
          <cell r="J35">
            <v>446.1805555555556</v>
          </cell>
          <cell r="K35">
            <v>446.1805555555556</v>
          </cell>
          <cell r="L35">
            <v>446.1805555555556</v>
          </cell>
          <cell r="M35">
            <v>446.1805555555556</v>
          </cell>
          <cell r="N35">
            <v>446.1805555555556</v>
          </cell>
          <cell r="O35">
            <v>5354.166666666667</v>
          </cell>
        </row>
        <row r="36">
          <cell r="A36" t="str">
            <v>F</v>
          </cell>
          <cell r="B36" t="str">
            <v>Sortie de Bureau</v>
          </cell>
          <cell r="O36">
            <v>0</v>
          </cell>
        </row>
        <row r="37">
          <cell r="A37" t="str">
            <v>F</v>
          </cell>
          <cell r="B37" t="str">
            <v>Amortissement</v>
          </cell>
          <cell r="C37">
            <v>43009.901388888895</v>
          </cell>
          <cell r="D37">
            <v>43009.901388888895</v>
          </cell>
          <cell r="E37">
            <v>43009.901388888895</v>
          </cell>
          <cell r="F37">
            <v>43009.901388888895</v>
          </cell>
          <cell r="G37">
            <v>43009.901388888895</v>
          </cell>
          <cell r="H37">
            <v>43009.901388888895</v>
          </cell>
          <cell r="I37">
            <v>43009.901388888895</v>
          </cell>
          <cell r="J37">
            <v>43009.901388888895</v>
          </cell>
          <cell r="K37">
            <v>43009.901388888895</v>
          </cell>
          <cell r="L37">
            <v>43009.901388888895</v>
          </cell>
          <cell r="M37">
            <v>43009.901388888895</v>
          </cell>
          <cell r="N37">
            <v>43009.901388888895</v>
          </cell>
          <cell r="O37">
            <v>505952.14999999997</v>
          </cell>
        </row>
        <row r="38">
          <cell r="A38" t="str">
            <v>F</v>
          </cell>
          <cell r="B38" t="str">
            <v>Dons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V</v>
          </cell>
          <cell r="B39" t="str">
            <v>Remise</v>
          </cell>
          <cell r="O39">
            <v>0</v>
          </cell>
        </row>
        <row r="40">
          <cell r="A40" t="str">
            <v>F</v>
          </cell>
          <cell r="B40" t="str">
            <v>Charges exceptionnelles (Décalage de Caisse+ loyer Ré)</v>
          </cell>
          <cell r="O40">
            <v>0</v>
          </cell>
        </row>
        <row r="42">
          <cell r="A42" t="str">
            <v>TOTAL DES CHARGES</v>
          </cell>
          <cell r="C42">
            <v>242302.74861111111</v>
          </cell>
          <cell r="D42">
            <v>802752.74861111108</v>
          </cell>
          <cell r="E42">
            <v>195826.08194444445</v>
          </cell>
          <cell r="F42">
            <v>126771.08194444445</v>
          </cell>
          <cell r="G42">
            <v>106456.08194444445</v>
          </cell>
          <cell r="H42">
            <v>106456.08194444445</v>
          </cell>
          <cell r="I42">
            <v>106456.08194444445</v>
          </cell>
          <cell r="J42">
            <v>106456.08194444445</v>
          </cell>
          <cell r="K42">
            <v>106456.08194444445</v>
          </cell>
          <cell r="L42">
            <v>106456.08194444445</v>
          </cell>
          <cell r="M42">
            <v>106456.08194444445</v>
          </cell>
          <cell r="N42">
            <v>106456.08194444445</v>
          </cell>
          <cell r="O42">
            <v>2209134.65</v>
          </cell>
        </row>
        <row r="45">
          <cell r="C45" t="str">
            <v>Janvier</v>
          </cell>
          <cell r="D45" t="str">
            <v>Février</v>
          </cell>
          <cell r="E45" t="str">
            <v>Mars</v>
          </cell>
          <cell r="F45" t="str">
            <v>Avril</v>
          </cell>
          <cell r="G45" t="str">
            <v>Mai</v>
          </cell>
          <cell r="H45" t="str">
            <v>Juin</v>
          </cell>
          <cell r="I45" t="str">
            <v>Juillet</v>
          </cell>
          <cell r="J45" t="str">
            <v>Août</v>
          </cell>
          <cell r="K45" t="str">
            <v>Septembre</v>
          </cell>
          <cell r="L45" t="str">
            <v>Octobre</v>
          </cell>
          <cell r="M45" t="str">
            <v>Novembre</v>
          </cell>
          <cell r="N45" t="str">
            <v>Décembre</v>
          </cell>
          <cell r="O45" t="str">
            <v>TOTAL</v>
          </cell>
        </row>
        <row r="46">
          <cell r="B46" t="str">
            <v>Chiffre d'affaires</v>
          </cell>
          <cell r="C46">
            <v>397000</v>
          </cell>
          <cell r="D46">
            <v>3173000</v>
          </cell>
          <cell r="E46">
            <v>362000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3932000</v>
          </cell>
        </row>
        <row r="47">
          <cell r="B47" t="str">
            <v>Charges Fixes</v>
          </cell>
          <cell r="C47">
            <v>168107.74861111114</v>
          </cell>
          <cell r="D47">
            <v>160847.74861111114</v>
          </cell>
          <cell r="E47">
            <v>157776.08194444445</v>
          </cell>
          <cell r="F47">
            <v>123821.08194444445</v>
          </cell>
          <cell r="G47">
            <v>106456.08194444445</v>
          </cell>
          <cell r="H47">
            <v>106456.08194444445</v>
          </cell>
          <cell r="I47">
            <v>106456.08194444445</v>
          </cell>
          <cell r="J47">
            <v>106456.08194444445</v>
          </cell>
          <cell r="K47">
            <v>106456.08194444445</v>
          </cell>
          <cell r="L47">
            <v>106456.08194444445</v>
          </cell>
          <cell r="M47">
            <v>106456.08194444445</v>
          </cell>
          <cell r="N47">
            <v>106456.08194444445</v>
          </cell>
          <cell r="O47">
            <v>1462201.3166666667</v>
          </cell>
        </row>
        <row r="48">
          <cell r="B48" t="str">
            <v>Charges Variables</v>
          </cell>
          <cell r="C48">
            <v>74195</v>
          </cell>
          <cell r="D48">
            <v>641905</v>
          </cell>
          <cell r="E48">
            <v>38050</v>
          </cell>
          <cell r="F48">
            <v>2950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757100</v>
          </cell>
        </row>
        <row r="49">
          <cell r="B49" t="str">
            <v>Marges sur couts variables</v>
          </cell>
          <cell r="C49">
            <v>322805</v>
          </cell>
          <cell r="D49">
            <v>2531095</v>
          </cell>
          <cell r="E49">
            <v>323950</v>
          </cell>
          <cell r="F49">
            <v>-2950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3174900</v>
          </cell>
        </row>
        <row r="50">
          <cell r="B50" t="str">
            <v>Taux de MCV</v>
          </cell>
          <cell r="C50">
            <v>0.81311083123425698</v>
          </cell>
          <cell r="D50">
            <v>0.7976977623699969</v>
          </cell>
          <cell r="E50">
            <v>0.89488950276243096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e">
            <v>#DIV/0!</v>
          </cell>
          <cell r="N50" t="e">
            <v>#DIV/0!</v>
          </cell>
          <cell r="O50">
            <v>0.8074516785350967</v>
          </cell>
        </row>
        <row r="51">
          <cell r="B51" t="str">
            <v>Seuil de Rentabilité</v>
          </cell>
          <cell r="C51">
            <v>206746.41408469854</v>
          </cell>
          <cell r="D51">
            <v>201639.9646568207</v>
          </cell>
          <cell r="E51">
            <v>176307.89215585394</v>
          </cell>
          <cell r="F51" t="e">
            <v>#DIV/0!</v>
          </cell>
          <cell r="G51" t="e">
            <v>#DIV/0!</v>
          </cell>
          <cell r="H51" t="e">
            <v>#DIV/0!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e">
            <v>#DIV/0!</v>
          </cell>
          <cell r="N51" t="e">
            <v>#DIV/0!</v>
          </cell>
          <cell r="O51">
            <v>1810883.9891440149</v>
          </cell>
        </row>
        <row r="52">
          <cell r="B52" t="str">
            <v>Seuil de Rentabilité Moyenne</v>
          </cell>
          <cell r="C52" t="e">
            <v>#DIV/0!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e">
            <v>#DIV/0!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  <cell r="N52" t="e">
            <v>#DIV/0!</v>
          </cell>
          <cell r="O52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CHIFFRES D'AFFAIRES   CA</v>
          </cell>
          <cell r="C2" t="str">
            <v>Janvier</v>
          </cell>
          <cell r="D2" t="str">
            <v>Février</v>
          </cell>
          <cell r="E2" t="str">
            <v>Mars</v>
          </cell>
          <cell r="F2" t="str">
            <v>Avril</v>
          </cell>
          <cell r="G2" t="str">
            <v>Mai</v>
          </cell>
          <cell r="H2" t="str">
            <v>Juin</v>
          </cell>
          <cell r="I2" t="str">
            <v>Juillet</v>
          </cell>
          <cell r="J2" t="str">
            <v>Août</v>
          </cell>
          <cell r="K2" t="str">
            <v>Septembre</v>
          </cell>
          <cell r="L2" t="str">
            <v>Octobre</v>
          </cell>
          <cell r="M2" t="str">
            <v>Novembre</v>
          </cell>
          <cell r="N2" t="str">
            <v>Décembre</v>
          </cell>
          <cell r="O2" t="str">
            <v>Total</v>
          </cell>
        </row>
        <row r="3">
          <cell r="B3" t="str">
            <v>Formation des Gérants</v>
          </cell>
          <cell r="C3">
            <v>0</v>
          </cell>
          <cell r="D3">
            <v>2280000</v>
          </cell>
          <cell r="E3">
            <v>0</v>
          </cell>
          <cell r="F3">
            <v>0</v>
          </cell>
          <cell r="G3">
            <v>2280000</v>
          </cell>
          <cell r="H3">
            <v>0</v>
          </cell>
          <cell r="I3">
            <v>0</v>
          </cell>
          <cell r="J3">
            <v>2280000</v>
          </cell>
          <cell r="K3">
            <v>0</v>
          </cell>
          <cell r="L3">
            <v>0</v>
          </cell>
          <cell r="M3">
            <v>2280000</v>
          </cell>
          <cell r="N3">
            <v>0</v>
          </cell>
          <cell r="O3">
            <v>9120000</v>
          </cell>
        </row>
        <row r="4">
          <cell r="B4" t="str">
            <v>Formation Personnel inter</v>
          </cell>
          <cell r="C4">
            <v>720000</v>
          </cell>
          <cell r="D4">
            <v>960000</v>
          </cell>
          <cell r="E4">
            <v>690000</v>
          </cell>
          <cell r="F4">
            <v>120000</v>
          </cell>
          <cell r="G4">
            <v>240000</v>
          </cell>
          <cell r="H4">
            <v>450000</v>
          </cell>
          <cell r="I4">
            <v>0</v>
          </cell>
          <cell r="J4">
            <v>0</v>
          </cell>
          <cell r="K4">
            <v>0</v>
          </cell>
          <cell r="L4">
            <v>360000</v>
          </cell>
          <cell r="M4">
            <v>450000</v>
          </cell>
          <cell r="N4">
            <v>420000</v>
          </cell>
          <cell r="O4">
            <v>4410000</v>
          </cell>
        </row>
        <row r="5">
          <cell r="B5" t="str">
            <v>Formation Personnel intra</v>
          </cell>
          <cell r="C5">
            <v>100000</v>
          </cell>
          <cell r="D5">
            <v>200000</v>
          </cell>
          <cell r="E5">
            <v>100000</v>
          </cell>
          <cell r="F5">
            <v>200000</v>
          </cell>
          <cell r="G5">
            <v>200000</v>
          </cell>
          <cell r="H5">
            <v>200000</v>
          </cell>
          <cell r="I5">
            <v>0</v>
          </cell>
          <cell r="J5">
            <v>0</v>
          </cell>
          <cell r="K5">
            <v>100000</v>
          </cell>
          <cell r="L5">
            <v>100000</v>
          </cell>
          <cell r="M5">
            <v>100000</v>
          </cell>
          <cell r="N5">
            <v>100000</v>
          </cell>
          <cell r="O5">
            <v>1400000</v>
          </cell>
        </row>
        <row r="6">
          <cell r="B6" t="str">
            <v>Conseil &amp; Accompagnement</v>
          </cell>
          <cell r="C6">
            <v>100000</v>
          </cell>
          <cell r="D6">
            <v>80000</v>
          </cell>
          <cell r="E6">
            <v>100000</v>
          </cell>
          <cell r="F6">
            <v>100000</v>
          </cell>
          <cell r="G6">
            <v>100000</v>
          </cell>
          <cell r="H6">
            <v>100000</v>
          </cell>
          <cell r="I6">
            <v>50000</v>
          </cell>
          <cell r="J6">
            <v>50000</v>
          </cell>
          <cell r="K6">
            <v>50000</v>
          </cell>
          <cell r="L6">
            <v>100000</v>
          </cell>
          <cell r="M6">
            <v>50000</v>
          </cell>
          <cell r="N6">
            <v>100000</v>
          </cell>
          <cell r="O6">
            <v>980000</v>
          </cell>
        </row>
        <row r="7">
          <cell r="B7" t="str">
            <v>Bilan</v>
          </cell>
          <cell r="C7">
            <v>10000</v>
          </cell>
          <cell r="D7">
            <v>50000</v>
          </cell>
          <cell r="E7">
            <v>70000</v>
          </cell>
          <cell r="F7">
            <v>70000</v>
          </cell>
          <cell r="G7">
            <v>0</v>
          </cell>
          <cell r="H7">
            <v>0</v>
          </cell>
          <cell r="I7">
            <v>12000</v>
          </cell>
          <cell r="J7">
            <v>12000</v>
          </cell>
          <cell r="K7">
            <v>0</v>
          </cell>
          <cell r="L7">
            <v>50000</v>
          </cell>
          <cell r="M7">
            <v>50000</v>
          </cell>
          <cell r="N7">
            <v>0</v>
          </cell>
          <cell r="O7">
            <v>324000</v>
          </cell>
        </row>
        <row r="8">
          <cell r="B8" t="str">
            <v>JOB &amp; Recrutment</v>
          </cell>
          <cell r="C8">
            <v>0</v>
          </cell>
          <cell r="D8">
            <v>0</v>
          </cell>
          <cell r="E8">
            <v>50000</v>
          </cell>
          <cell r="F8">
            <v>50000</v>
          </cell>
          <cell r="G8">
            <v>50000</v>
          </cell>
          <cell r="H8">
            <v>50000</v>
          </cell>
          <cell r="I8">
            <v>50000</v>
          </cell>
          <cell r="J8">
            <v>50000</v>
          </cell>
          <cell r="K8">
            <v>50000</v>
          </cell>
          <cell r="L8">
            <v>50000</v>
          </cell>
          <cell r="M8">
            <v>50000</v>
          </cell>
          <cell r="N8">
            <v>50000</v>
          </cell>
          <cell r="O8">
            <v>500000</v>
          </cell>
        </row>
        <row r="9">
          <cell r="B9" t="str">
            <v>Projet CED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Hors Exploitation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 t="str">
            <v>CA exceptionnelles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B12" t="str">
            <v>Remise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Total</v>
          </cell>
          <cell r="C13">
            <v>930000</v>
          </cell>
          <cell r="D13">
            <v>3570000</v>
          </cell>
          <cell r="E13">
            <v>1010000</v>
          </cell>
          <cell r="F13">
            <v>540000</v>
          </cell>
          <cell r="G13">
            <v>2870000</v>
          </cell>
          <cell r="H13">
            <v>800000</v>
          </cell>
          <cell r="I13">
            <v>112000</v>
          </cell>
          <cell r="J13">
            <v>2392000</v>
          </cell>
          <cell r="K13">
            <v>200000</v>
          </cell>
          <cell r="L13">
            <v>660000</v>
          </cell>
          <cell r="M13">
            <v>2980000</v>
          </cell>
          <cell r="N13">
            <v>670000</v>
          </cell>
          <cell r="O13">
            <v>16734000</v>
          </cell>
        </row>
        <row r="16">
          <cell r="B16" t="str">
            <v>CHARGES   CH</v>
          </cell>
          <cell r="C16" t="str">
            <v>Janvier</v>
          </cell>
          <cell r="D16" t="str">
            <v>Février</v>
          </cell>
          <cell r="E16" t="str">
            <v>Mars</v>
          </cell>
          <cell r="F16" t="str">
            <v>Avril</v>
          </cell>
          <cell r="G16" t="str">
            <v>Mai</v>
          </cell>
          <cell r="H16" t="str">
            <v>Juin</v>
          </cell>
          <cell r="I16" t="str">
            <v>Juillet</v>
          </cell>
          <cell r="J16" t="str">
            <v>Août</v>
          </cell>
          <cell r="K16" t="str">
            <v>Septembre</v>
          </cell>
          <cell r="L16" t="str">
            <v>Octobre</v>
          </cell>
          <cell r="M16" t="str">
            <v>Novembre</v>
          </cell>
          <cell r="N16" t="str">
            <v>Décembre</v>
          </cell>
          <cell r="O16" t="str">
            <v>Total</v>
          </cell>
        </row>
        <row r="17">
          <cell r="B17" t="str">
            <v>Rémunération Formateur</v>
          </cell>
          <cell r="C17">
            <v>100000</v>
          </cell>
          <cell r="D17">
            <v>550000</v>
          </cell>
          <cell r="E17">
            <v>270000</v>
          </cell>
          <cell r="F17">
            <v>120000</v>
          </cell>
          <cell r="G17">
            <v>700000</v>
          </cell>
          <cell r="H17">
            <v>90000</v>
          </cell>
          <cell r="I17">
            <v>200000</v>
          </cell>
          <cell r="J17">
            <v>0</v>
          </cell>
          <cell r="K17">
            <v>0</v>
          </cell>
          <cell r="L17">
            <v>180000</v>
          </cell>
          <cell r="M17">
            <v>620000</v>
          </cell>
          <cell r="N17">
            <v>200000</v>
          </cell>
          <cell r="O17">
            <v>3030000</v>
          </cell>
        </row>
        <row r="18">
          <cell r="B18" t="str">
            <v>Salaires BCOS</v>
          </cell>
          <cell r="C18">
            <v>300000</v>
          </cell>
          <cell r="D18">
            <v>250000</v>
          </cell>
          <cell r="E18">
            <v>257000</v>
          </cell>
          <cell r="F18">
            <v>245000</v>
          </cell>
          <cell r="G18">
            <v>265000</v>
          </cell>
          <cell r="H18">
            <v>256000</v>
          </cell>
          <cell r="I18">
            <v>242000</v>
          </cell>
          <cell r="J18">
            <v>242000</v>
          </cell>
          <cell r="K18">
            <v>242000</v>
          </cell>
          <cell r="L18">
            <v>264000</v>
          </cell>
          <cell r="M18">
            <v>292000</v>
          </cell>
          <cell r="N18">
            <v>292000</v>
          </cell>
          <cell r="O18">
            <v>3147000</v>
          </cell>
        </row>
        <row r="19">
          <cell r="B19" t="str">
            <v>Primes</v>
          </cell>
          <cell r="C19">
            <v>150000</v>
          </cell>
          <cell r="D19">
            <v>150000</v>
          </cell>
          <cell r="E19">
            <v>150000</v>
          </cell>
          <cell r="F19">
            <v>150000</v>
          </cell>
          <cell r="G19">
            <v>150000</v>
          </cell>
          <cell r="H19">
            <v>150000</v>
          </cell>
          <cell r="I19">
            <v>150000</v>
          </cell>
          <cell r="J19">
            <v>150000</v>
          </cell>
          <cell r="K19">
            <v>150000</v>
          </cell>
          <cell r="L19">
            <v>150000</v>
          </cell>
          <cell r="M19">
            <v>150000</v>
          </cell>
          <cell r="N19">
            <v>150000</v>
          </cell>
          <cell r="O19">
            <v>1800000</v>
          </cell>
        </row>
        <row r="20">
          <cell r="B20" t="str">
            <v>Loyer</v>
          </cell>
          <cell r="C20">
            <v>35000</v>
          </cell>
          <cell r="D20">
            <v>35000</v>
          </cell>
          <cell r="E20">
            <v>35000</v>
          </cell>
          <cell r="F20">
            <v>35000</v>
          </cell>
          <cell r="G20">
            <v>35000</v>
          </cell>
          <cell r="H20">
            <v>35000</v>
          </cell>
          <cell r="I20">
            <v>35000</v>
          </cell>
          <cell r="J20">
            <v>35000</v>
          </cell>
          <cell r="K20">
            <v>35000</v>
          </cell>
          <cell r="L20">
            <v>35000</v>
          </cell>
          <cell r="M20">
            <v>35000</v>
          </cell>
          <cell r="N20">
            <v>35000</v>
          </cell>
          <cell r="O20">
            <v>420000</v>
          </cell>
        </row>
        <row r="21">
          <cell r="B21" t="str">
            <v>Consomable Bureatique</v>
          </cell>
          <cell r="C21">
            <v>10000</v>
          </cell>
          <cell r="D21">
            <v>10000</v>
          </cell>
          <cell r="E21">
            <v>15000</v>
          </cell>
          <cell r="F21">
            <v>12000</v>
          </cell>
          <cell r="G21">
            <v>34000</v>
          </cell>
          <cell r="H21">
            <v>25000</v>
          </cell>
          <cell r="I21">
            <v>15000</v>
          </cell>
          <cell r="J21">
            <v>15000</v>
          </cell>
          <cell r="K21">
            <v>10000</v>
          </cell>
          <cell r="L21">
            <v>15000</v>
          </cell>
          <cell r="M21">
            <v>30000</v>
          </cell>
          <cell r="N21">
            <v>50000</v>
          </cell>
          <cell r="O21">
            <v>241000</v>
          </cell>
        </row>
        <row r="22">
          <cell r="B22" t="str">
            <v>Collation Formation</v>
          </cell>
          <cell r="C22">
            <v>15000</v>
          </cell>
          <cell r="D22">
            <v>20000</v>
          </cell>
          <cell r="E22">
            <v>15000</v>
          </cell>
          <cell r="F22">
            <v>20000</v>
          </cell>
          <cell r="G22">
            <v>100000</v>
          </cell>
          <cell r="H22">
            <v>30000</v>
          </cell>
          <cell r="I22">
            <v>0</v>
          </cell>
          <cell r="J22">
            <v>0</v>
          </cell>
          <cell r="K22">
            <v>10000</v>
          </cell>
          <cell r="L22">
            <v>55000</v>
          </cell>
          <cell r="M22">
            <v>200000</v>
          </cell>
          <cell r="N22">
            <v>200000</v>
          </cell>
          <cell r="O22">
            <v>665000</v>
          </cell>
        </row>
        <row r="23">
          <cell r="B23" t="str">
            <v>Frais entretien</v>
          </cell>
          <cell r="C23">
            <v>10000</v>
          </cell>
          <cell r="D23">
            <v>8000</v>
          </cell>
          <cell r="E23">
            <v>10000</v>
          </cell>
          <cell r="F23">
            <v>7000</v>
          </cell>
          <cell r="G23">
            <v>10000</v>
          </cell>
          <cell r="H23">
            <v>9000</v>
          </cell>
          <cell r="I23">
            <v>15000</v>
          </cell>
          <cell r="J23">
            <v>10000</v>
          </cell>
          <cell r="K23">
            <v>10000</v>
          </cell>
          <cell r="L23">
            <v>20000</v>
          </cell>
          <cell r="M23">
            <v>6000</v>
          </cell>
          <cell r="N23">
            <v>6000</v>
          </cell>
          <cell r="O23">
            <v>121000</v>
          </cell>
        </row>
        <row r="24">
          <cell r="B24" t="str">
            <v>Frais Déjeuner</v>
          </cell>
          <cell r="C24">
            <v>30000</v>
          </cell>
          <cell r="D24">
            <v>30000</v>
          </cell>
          <cell r="E24">
            <v>30000</v>
          </cell>
          <cell r="F24">
            <v>30000</v>
          </cell>
          <cell r="G24">
            <v>30000</v>
          </cell>
          <cell r="H24">
            <v>30000</v>
          </cell>
          <cell r="I24">
            <v>30000</v>
          </cell>
          <cell r="J24">
            <v>30000</v>
          </cell>
          <cell r="K24">
            <v>30000</v>
          </cell>
          <cell r="L24">
            <v>30000</v>
          </cell>
          <cell r="M24">
            <v>30000</v>
          </cell>
          <cell r="N24">
            <v>30000</v>
          </cell>
          <cell r="O24">
            <v>360000</v>
          </cell>
        </row>
        <row r="25">
          <cell r="B25" t="str">
            <v>Frais Résidance</v>
          </cell>
          <cell r="C25">
            <v>50000</v>
          </cell>
          <cell r="D25">
            <v>50000</v>
          </cell>
          <cell r="E25">
            <v>50000</v>
          </cell>
          <cell r="F25">
            <v>50000</v>
          </cell>
          <cell r="G25">
            <v>50000</v>
          </cell>
          <cell r="H25">
            <v>50000</v>
          </cell>
          <cell r="I25">
            <v>50000</v>
          </cell>
          <cell r="J25">
            <v>50000</v>
          </cell>
          <cell r="K25">
            <v>50000</v>
          </cell>
          <cell r="L25">
            <v>50000</v>
          </cell>
          <cell r="M25">
            <v>50000</v>
          </cell>
          <cell r="N25">
            <v>50000</v>
          </cell>
          <cell r="O25">
            <v>600000</v>
          </cell>
        </row>
        <row r="26">
          <cell r="B26" t="str">
            <v xml:space="preserve">Communications </v>
          </cell>
          <cell r="C26">
            <v>5000</v>
          </cell>
          <cell r="D26">
            <v>5000</v>
          </cell>
          <cell r="E26">
            <v>5000</v>
          </cell>
          <cell r="F26">
            <v>5000</v>
          </cell>
          <cell r="G26">
            <v>5000</v>
          </cell>
          <cell r="H26">
            <v>5000</v>
          </cell>
          <cell r="I26">
            <v>5000</v>
          </cell>
          <cell r="J26">
            <v>5000</v>
          </cell>
          <cell r="K26">
            <v>5000</v>
          </cell>
          <cell r="L26">
            <v>5000</v>
          </cell>
          <cell r="M26">
            <v>5000</v>
          </cell>
          <cell r="N26">
            <v>5000</v>
          </cell>
          <cell r="O26">
            <v>60000</v>
          </cell>
        </row>
        <row r="27">
          <cell r="B27" t="str">
            <v>Frais Administratif</v>
          </cell>
          <cell r="C27">
            <v>20000</v>
          </cell>
          <cell r="D27">
            <v>20000</v>
          </cell>
          <cell r="E27">
            <v>20000</v>
          </cell>
          <cell r="F27">
            <v>20000</v>
          </cell>
          <cell r="G27">
            <v>20000</v>
          </cell>
          <cell r="H27">
            <v>20000</v>
          </cell>
          <cell r="I27">
            <v>20000</v>
          </cell>
          <cell r="J27">
            <v>20000</v>
          </cell>
          <cell r="K27">
            <v>20000</v>
          </cell>
          <cell r="L27">
            <v>20000</v>
          </cell>
          <cell r="M27">
            <v>20000</v>
          </cell>
          <cell r="N27">
            <v>20000</v>
          </cell>
          <cell r="O27">
            <v>240000</v>
          </cell>
        </row>
        <row r="28">
          <cell r="B28" t="str">
            <v>Véhicule (Gazoil, Entretien..)</v>
          </cell>
          <cell r="C28">
            <v>6000</v>
          </cell>
          <cell r="D28">
            <v>6000</v>
          </cell>
          <cell r="E28">
            <v>6000</v>
          </cell>
          <cell r="F28">
            <v>6000</v>
          </cell>
          <cell r="G28">
            <v>6000</v>
          </cell>
          <cell r="H28">
            <v>6000</v>
          </cell>
          <cell r="I28">
            <v>6000</v>
          </cell>
          <cell r="J28">
            <v>6000</v>
          </cell>
          <cell r="K28">
            <v>6000</v>
          </cell>
          <cell r="L28">
            <v>6000</v>
          </cell>
          <cell r="M28">
            <v>6000</v>
          </cell>
          <cell r="N28">
            <v>6000</v>
          </cell>
          <cell r="O28">
            <v>72000</v>
          </cell>
        </row>
        <row r="29">
          <cell r="B29" t="str">
            <v>Frais de mission &amp; Formation</v>
          </cell>
          <cell r="C29">
            <v>7000</v>
          </cell>
          <cell r="D29">
            <v>7000</v>
          </cell>
          <cell r="E29">
            <v>7000</v>
          </cell>
          <cell r="F29">
            <v>7000</v>
          </cell>
          <cell r="G29">
            <v>7000</v>
          </cell>
          <cell r="H29">
            <v>7000</v>
          </cell>
          <cell r="I29">
            <v>7000</v>
          </cell>
          <cell r="J29">
            <v>7000</v>
          </cell>
          <cell r="K29">
            <v>7000</v>
          </cell>
          <cell r="L29">
            <v>7000</v>
          </cell>
          <cell r="M29">
            <v>7000</v>
          </cell>
          <cell r="N29">
            <v>7000</v>
          </cell>
          <cell r="O29">
            <v>84000</v>
          </cell>
        </row>
        <row r="30">
          <cell r="B30" t="str">
            <v>Factures (Eau et Electricité)</v>
          </cell>
          <cell r="C30">
            <v>2200</v>
          </cell>
          <cell r="D30">
            <v>2200</v>
          </cell>
          <cell r="E30">
            <v>2200</v>
          </cell>
          <cell r="F30">
            <v>2200</v>
          </cell>
          <cell r="G30">
            <v>2200</v>
          </cell>
          <cell r="H30">
            <v>2200</v>
          </cell>
          <cell r="I30">
            <v>2200</v>
          </cell>
          <cell r="J30">
            <v>2200</v>
          </cell>
          <cell r="K30">
            <v>2200</v>
          </cell>
          <cell r="L30">
            <v>2200</v>
          </cell>
          <cell r="M30">
            <v>2200</v>
          </cell>
          <cell r="N30">
            <v>2200</v>
          </cell>
          <cell r="O30">
            <v>26400</v>
          </cell>
        </row>
        <row r="31">
          <cell r="B31" t="str">
            <v>Publicité</v>
          </cell>
          <cell r="C31">
            <v>5000</v>
          </cell>
          <cell r="D31">
            <v>5000</v>
          </cell>
          <cell r="E31">
            <v>5000</v>
          </cell>
          <cell r="F31">
            <v>5000</v>
          </cell>
          <cell r="G31">
            <v>5000</v>
          </cell>
          <cell r="H31">
            <v>5000</v>
          </cell>
          <cell r="I31">
            <v>5000</v>
          </cell>
          <cell r="J31">
            <v>5000</v>
          </cell>
          <cell r="K31">
            <v>5000</v>
          </cell>
          <cell r="L31">
            <v>5000</v>
          </cell>
          <cell r="M31">
            <v>5000</v>
          </cell>
          <cell r="N31">
            <v>5000</v>
          </cell>
          <cell r="O31">
            <v>60000</v>
          </cell>
        </row>
        <row r="32">
          <cell r="B32" t="str">
            <v>Sortie de Bureau</v>
          </cell>
          <cell r="C32">
            <v>0</v>
          </cell>
          <cell r="D32">
            <v>0</v>
          </cell>
          <cell r="E32">
            <v>11000</v>
          </cell>
          <cell r="F32">
            <v>0</v>
          </cell>
          <cell r="G32">
            <v>0</v>
          </cell>
          <cell r="H32">
            <v>9000</v>
          </cell>
          <cell r="I32">
            <v>0</v>
          </cell>
          <cell r="J32">
            <v>50000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70000</v>
          </cell>
        </row>
        <row r="33">
          <cell r="B33" t="str">
            <v>Amortissement</v>
          </cell>
          <cell r="C33">
            <v>35000</v>
          </cell>
          <cell r="D33">
            <v>35000</v>
          </cell>
          <cell r="E33">
            <v>35000</v>
          </cell>
          <cell r="F33">
            <v>35000</v>
          </cell>
          <cell r="G33">
            <v>35000</v>
          </cell>
          <cell r="H33">
            <v>35000</v>
          </cell>
          <cell r="I33">
            <v>35000</v>
          </cell>
          <cell r="J33">
            <v>35000</v>
          </cell>
          <cell r="K33">
            <v>35000</v>
          </cell>
          <cell r="L33">
            <v>35000</v>
          </cell>
          <cell r="M33">
            <v>35000</v>
          </cell>
          <cell r="N33">
            <v>35000</v>
          </cell>
          <cell r="O33">
            <v>420000</v>
          </cell>
        </row>
        <row r="34">
          <cell r="B34" t="str">
            <v>Dons</v>
          </cell>
          <cell r="C34">
            <v>20000</v>
          </cell>
          <cell r="D34">
            <v>20000</v>
          </cell>
          <cell r="E34">
            <v>20000</v>
          </cell>
          <cell r="F34">
            <v>20000</v>
          </cell>
          <cell r="G34">
            <v>20000</v>
          </cell>
          <cell r="H34">
            <v>20000</v>
          </cell>
          <cell r="I34">
            <v>20000</v>
          </cell>
          <cell r="J34">
            <v>20000</v>
          </cell>
          <cell r="K34">
            <v>20000</v>
          </cell>
          <cell r="L34">
            <v>20000</v>
          </cell>
          <cell r="M34">
            <v>20000</v>
          </cell>
          <cell r="N34">
            <v>20000</v>
          </cell>
          <cell r="O34">
            <v>240000</v>
          </cell>
        </row>
        <row r="35">
          <cell r="B35" t="str">
            <v>Remise</v>
          </cell>
          <cell r="C35">
            <v>7800</v>
          </cell>
          <cell r="D35">
            <v>7800</v>
          </cell>
          <cell r="E35">
            <v>7800</v>
          </cell>
          <cell r="F35">
            <v>7800</v>
          </cell>
          <cell r="G35">
            <v>7800</v>
          </cell>
          <cell r="H35">
            <v>7800</v>
          </cell>
          <cell r="I35">
            <v>7800</v>
          </cell>
          <cell r="J35">
            <v>7800</v>
          </cell>
          <cell r="K35">
            <v>7800</v>
          </cell>
          <cell r="L35">
            <v>7800</v>
          </cell>
          <cell r="M35">
            <v>7800</v>
          </cell>
          <cell r="N35">
            <v>7800</v>
          </cell>
          <cell r="O35">
            <v>93600</v>
          </cell>
        </row>
        <row r="36">
          <cell r="B36" t="str">
            <v>Charges exceptionnelles</v>
          </cell>
          <cell r="C36">
            <v>70000</v>
          </cell>
          <cell r="D36">
            <v>70000</v>
          </cell>
          <cell r="E36">
            <v>70000</v>
          </cell>
          <cell r="F36">
            <v>70000</v>
          </cell>
          <cell r="G36">
            <v>70000</v>
          </cell>
          <cell r="H36">
            <v>70000</v>
          </cell>
          <cell r="I36">
            <v>70000</v>
          </cell>
          <cell r="J36">
            <v>70000</v>
          </cell>
          <cell r="K36">
            <v>70000</v>
          </cell>
          <cell r="L36">
            <v>70000</v>
          </cell>
          <cell r="M36">
            <v>70000</v>
          </cell>
          <cell r="N36">
            <v>70000</v>
          </cell>
          <cell r="O36">
            <v>840000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B38" t="str">
            <v>Total</v>
          </cell>
          <cell r="C38">
            <v>878000</v>
          </cell>
          <cell r="D38">
            <v>1281000</v>
          </cell>
          <cell r="E38">
            <v>1021000</v>
          </cell>
          <cell r="F38">
            <v>847000</v>
          </cell>
          <cell r="G38">
            <v>1552000</v>
          </cell>
          <cell r="H38">
            <v>862000</v>
          </cell>
          <cell r="I38">
            <v>915000</v>
          </cell>
          <cell r="J38">
            <v>760000</v>
          </cell>
          <cell r="K38">
            <v>715000</v>
          </cell>
          <cell r="L38">
            <v>977000</v>
          </cell>
          <cell r="M38">
            <v>1591000</v>
          </cell>
          <cell r="N38">
            <v>1191000</v>
          </cell>
          <cell r="O38">
            <v>12590000</v>
          </cell>
        </row>
      </sheetData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_1"/>
      <sheetName val="Cal__2"/>
      <sheetName val="Cal_3"/>
      <sheetName val="Mobile"/>
      <sheetName val="BDD"/>
      <sheetName val="Vacances"/>
      <sheetName val="Cal. 1"/>
      <sheetName val="Cal. 2"/>
      <sheetName val="Cal.3"/>
      <sheetName val="Cal__11"/>
      <sheetName val="Cal__21"/>
      <sheetName val="Cal_31"/>
      <sheetName val="Cal__12"/>
      <sheetName val="Cal__22"/>
      <sheetName val="Cal_32"/>
    </sheetNames>
    <sheetDataSet>
      <sheetData sheetId="0">
        <row r="4">
          <cell r="AQ4">
            <v>0</v>
          </cell>
        </row>
      </sheetData>
      <sheetData sheetId="1"/>
      <sheetData sheetId="2"/>
      <sheetData sheetId="3"/>
      <sheetData sheetId="4">
        <row r="2">
          <cell r="A2">
            <v>40544</v>
          </cell>
        </row>
        <row r="3">
          <cell r="A3">
            <v>40657</v>
          </cell>
        </row>
        <row r="4">
          <cell r="A4">
            <v>40658</v>
          </cell>
        </row>
        <row r="5">
          <cell r="A5">
            <v>40664</v>
          </cell>
        </row>
        <row r="6">
          <cell r="A6">
            <v>40671</v>
          </cell>
        </row>
        <row r="7">
          <cell r="A7">
            <v>40696</v>
          </cell>
        </row>
        <row r="8">
          <cell r="A8">
            <v>40707</v>
          </cell>
        </row>
        <row r="9">
          <cell r="A9">
            <v>40738</v>
          </cell>
        </row>
        <row r="10">
          <cell r="A10">
            <v>40770</v>
          </cell>
        </row>
        <row r="11">
          <cell r="A11">
            <v>40848</v>
          </cell>
        </row>
        <row r="12">
          <cell r="A12">
            <v>40858</v>
          </cell>
        </row>
        <row r="13">
          <cell r="A13">
            <v>40902</v>
          </cell>
        </row>
      </sheetData>
      <sheetData sheetId="5"/>
      <sheetData sheetId="6">
        <row r="4">
          <cell r="AQ4" t="e">
            <v>#REF!</v>
          </cell>
          <cell r="AT4" t="e">
            <v>#REF!</v>
          </cell>
        </row>
        <row r="5">
          <cell r="AQ5" t="e">
            <v>#REF!</v>
          </cell>
          <cell r="AT5" t="e">
            <v>#REF!</v>
          </cell>
        </row>
        <row r="6">
          <cell r="AQ6" t="e">
            <v>#REF!</v>
          </cell>
          <cell r="AT6" t="e">
            <v>#REF!</v>
          </cell>
        </row>
        <row r="7">
          <cell r="AQ7" t="e">
            <v>#REF!</v>
          </cell>
          <cell r="AT7" t="e">
            <v>#REF!</v>
          </cell>
        </row>
        <row r="8">
          <cell r="AQ8" t="e">
            <v>#REF!</v>
          </cell>
          <cell r="AT8" t="e">
            <v>#REF!</v>
          </cell>
        </row>
        <row r="9">
          <cell r="AQ9" t="e">
            <v>#REF!</v>
          </cell>
          <cell r="AT9" t="e">
            <v>#REF!</v>
          </cell>
        </row>
        <row r="10">
          <cell r="AQ10" t="e">
            <v>#REF!</v>
          </cell>
          <cell r="AT10" t="e">
            <v>#REF!</v>
          </cell>
        </row>
        <row r="11">
          <cell r="AQ11" t="e">
            <v>#REF!</v>
          </cell>
          <cell r="AT11" t="e">
            <v>#REF!</v>
          </cell>
        </row>
        <row r="12">
          <cell r="AQ12" t="e">
            <v>#REF!</v>
          </cell>
          <cell r="AT12" t="e">
            <v>#REF!</v>
          </cell>
        </row>
        <row r="13">
          <cell r="AQ13" t="e">
            <v>#REF!</v>
          </cell>
          <cell r="AT13" t="e">
            <v>#REF!</v>
          </cell>
        </row>
        <row r="14">
          <cell r="AQ14" t="e">
            <v>#REF!</v>
          </cell>
          <cell r="AT14" t="e">
            <v>#REF!</v>
          </cell>
        </row>
        <row r="15">
          <cell r="AQ15" t="e">
            <v>#REF!</v>
          </cell>
          <cell r="AT15" t="e">
            <v>#REF!</v>
          </cell>
        </row>
        <row r="16">
          <cell r="AQ16" t="e">
            <v>#REF!</v>
          </cell>
          <cell r="AT16" t="e">
            <v>#REF!</v>
          </cell>
        </row>
        <row r="17">
          <cell r="AQ17" t="e">
            <v>#REF!</v>
          </cell>
          <cell r="AT17" t="e">
            <v>#REF!</v>
          </cell>
        </row>
        <row r="18">
          <cell r="AQ18" t="e">
            <v>#REF!</v>
          </cell>
          <cell r="AT18" t="e">
            <v>#REF!</v>
          </cell>
        </row>
        <row r="19">
          <cell r="AQ19" t="e">
            <v>#REF!</v>
          </cell>
          <cell r="AT19" t="e">
            <v>#REF!</v>
          </cell>
        </row>
        <row r="20">
          <cell r="AQ20" t="e">
            <v>#REF!</v>
          </cell>
          <cell r="AT20" t="e">
            <v>#REF!</v>
          </cell>
        </row>
        <row r="21">
          <cell r="AQ21" t="e">
            <v>#REF!</v>
          </cell>
          <cell r="AT21" t="e">
            <v>#REF!</v>
          </cell>
        </row>
        <row r="22">
          <cell r="AQ22" t="e">
            <v>#REF!</v>
          </cell>
          <cell r="AT22" t="e">
            <v>#REF!</v>
          </cell>
        </row>
        <row r="23">
          <cell r="AQ23" t="e">
            <v>#REF!</v>
          </cell>
          <cell r="AT23" t="e">
            <v>#REF!</v>
          </cell>
        </row>
      </sheetData>
      <sheetData sheetId="7"/>
      <sheetData sheetId="8"/>
      <sheetData sheetId="9">
        <row r="4">
          <cell r="AQ4">
            <v>0</v>
          </cell>
        </row>
      </sheetData>
      <sheetData sheetId="10"/>
      <sheetData sheetId="11"/>
      <sheetData sheetId="12">
        <row r="4">
          <cell r="AQ4">
            <v>0</v>
          </cell>
        </row>
      </sheetData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_1"/>
      <sheetName val="Cal__2"/>
      <sheetName val="Cal_3"/>
      <sheetName val="Mobile"/>
      <sheetName val="BDD"/>
      <sheetName val="Vacances"/>
      <sheetName val="Cal. 1"/>
      <sheetName val="Cal. 2"/>
      <sheetName val="Cal.3"/>
      <sheetName val="Cal__11"/>
      <sheetName val="Cal__21"/>
      <sheetName val="Cal_31"/>
    </sheetNames>
    <sheetDataSet>
      <sheetData sheetId="0">
        <row r="4">
          <cell r="AQ4">
            <v>0</v>
          </cell>
        </row>
      </sheetData>
      <sheetData sheetId="1"/>
      <sheetData sheetId="2"/>
      <sheetData sheetId="3"/>
      <sheetData sheetId="4">
        <row r="2">
          <cell r="A2">
            <v>40544</v>
          </cell>
        </row>
        <row r="3">
          <cell r="A3">
            <v>40657</v>
          </cell>
        </row>
        <row r="4">
          <cell r="A4">
            <v>40658</v>
          </cell>
        </row>
        <row r="5">
          <cell r="A5">
            <v>40664</v>
          </cell>
        </row>
        <row r="6">
          <cell r="A6">
            <v>40671</v>
          </cell>
        </row>
        <row r="7">
          <cell r="A7">
            <v>40696</v>
          </cell>
        </row>
        <row r="8">
          <cell r="A8">
            <v>40707</v>
          </cell>
        </row>
        <row r="9">
          <cell r="A9">
            <v>40738</v>
          </cell>
        </row>
        <row r="10">
          <cell r="A10">
            <v>40770</v>
          </cell>
        </row>
        <row r="11">
          <cell r="A11">
            <v>40848</v>
          </cell>
        </row>
        <row r="12">
          <cell r="A12">
            <v>40858</v>
          </cell>
        </row>
        <row r="13">
          <cell r="A13">
            <v>40902</v>
          </cell>
        </row>
      </sheetData>
      <sheetData sheetId="5"/>
      <sheetData sheetId="6">
        <row r="4">
          <cell r="AQ4" t="e">
            <v>#REF!</v>
          </cell>
          <cell r="AT4" t="e">
            <v>#REF!</v>
          </cell>
        </row>
        <row r="5">
          <cell r="AQ5" t="e">
            <v>#REF!</v>
          </cell>
          <cell r="AT5" t="e">
            <v>#REF!</v>
          </cell>
        </row>
        <row r="6">
          <cell r="AQ6" t="e">
            <v>#REF!</v>
          </cell>
          <cell r="AT6" t="e">
            <v>#REF!</v>
          </cell>
        </row>
        <row r="7">
          <cell r="AQ7" t="e">
            <v>#REF!</v>
          </cell>
          <cell r="AT7" t="e">
            <v>#REF!</v>
          </cell>
        </row>
        <row r="8">
          <cell r="AQ8" t="e">
            <v>#REF!</v>
          </cell>
          <cell r="AT8" t="e">
            <v>#REF!</v>
          </cell>
        </row>
        <row r="9">
          <cell r="AQ9" t="e">
            <v>#REF!</v>
          </cell>
          <cell r="AT9" t="e">
            <v>#REF!</v>
          </cell>
        </row>
        <row r="10">
          <cell r="AQ10" t="e">
            <v>#REF!</v>
          </cell>
          <cell r="AT10" t="e">
            <v>#REF!</v>
          </cell>
        </row>
        <row r="11">
          <cell r="AQ11" t="e">
            <v>#REF!</v>
          </cell>
          <cell r="AT11" t="e">
            <v>#REF!</v>
          </cell>
        </row>
        <row r="12">
          <cell r="AQ12" t="e">
            <v>#REF!</v>
          </cell>
          <cell r="AT12" t="e">
            <v>#REF!</v>
          </cell>
        </row>
        <row r="13">
          <cell r="AQ13" t="e">
            <v>#REF!</v>
          </cell>
          <cell r="AT13" t="e">
            <v>#REF!</v>
          </cell>
        </row>
        <row r="14">
          <cell r="AQ14" t="e">
            <v>#REF!</v>
          </cell>
          <cell r="AT14" t="e">
            <v>#REF!</v>
          </cell>
        </row>
        <row r="15">
          <cell r="AQ15" t="e">
            <v>#REF!</v>
          </cell>
          <cell r="AT15" t="e">
            <v>#REF!</v>
          </cell>
        </row>
        <row r="16">
          <cell r="AQ16" t="e">
            <v>#REF!</v>
          </cell>
          <cell r="AT16" t="e">
            <v>#REF!</v>
          </cell>
        </row>
        <row r="17">
          <cell r="AQ17" t="e">
            <v>#REF!</v>
          </cell>
          <cell r="AT17" t="e">
            <v>#REF!</v>
          </cell>
        </row>
        <row r="18">
          <cell r="AQ18" t="e">
            <v>#REF!</v>
          </cell>
          <cell r="AT18" t="e">
            <v>#REF!</v>
          </cell>
        </row>
        <row r="19">
          <cell r="AQ19" t="e">
            <v>#REF!</v>
          </cell>
          <cell r="AT19" t="e">
            <v>#REF!</v>
          </cell>
        </row>
        <row r="20">
          <cell r="AQ20" t="e">
            <v>#REF!</v>
          </cell>
          <cell r="AT20" t="e">
            <v>#REF!</v>
          </cell>
        </row>
        <row r="21">
          <cell r="AQ21" t="e">
            <v>#REF!</v>
          </cell>
          <cell r="AT21" t="e">
            <v>#REF!</v>
          </cell>
        </row>
        <row r="22">
          <cell r="AQ22" t="e">
            <v>#REF!</v>
          </cell>
          <cell r="AT22" t="e">
            <v>#REF!</v>
          </cell>
        </row>
        <row r="23">
          <cell r="AQ23" t="e">
            <v>#REF!</v>
          </cell>
          <cell r="AT23" t="e">
            <v>#REF!</v>
          </cell>
        </row>
      </sheetData>
      <sheetData sheetId="7"/>
      <sheetData sheetId="8"/>
      <sheetData sheetId="9">
        <row r="4">
          <cell r="AQ4">
            <v>0</v>
          </cell>
        </row>
      </sheetData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isse_Fr"/>
      <sheetName val="Annexe"/>
      <sheetName val="Planing_Juin_-_Juillet"/>
      <sheetName val="Prévision_4Trim"/>
      <sheetName val="chèque_déposé"/>
      <sheetName val="Prêt"/>
      <sheetName val="Caisse Fr"/>
      <sheetName val="Planing Juin - Juillet"/>
      <sheetName val="Prévision 4Trim"/>
      <sheetName val="chèque déposé"/>
      <sheetName val="Caisse_Fr1"/>
      <sheetName val="Planing_Juin_-_Juillet1"/>
      <sheetName val="Prévision_4Trim1"/>
      <sheetName val="chèque_déposé1"/>
      <sheetName val="Caisse_Fr2"/>
      <sheetName val="Planing_Juin_-_Juillet2"/>
      <sheetName val="Prévision_4Trim2"/>
      <sheetName val="chèque_déposé2"/>
    </sheetNames>
    <sheetDataSet>
      <sheetData sheetId="0"/>
      <sheetData sheetId="1">
        <row r="4">
          <cell r="A4" t="str">
            <v>Communication</v>
          </cell>
          <cell r="J4" t="str">
            <v>Accompagnement</v>
          </cell>
          <cell r="K4" t="str">
            <v>Alimentation Bureau</v>
          </cell>
        </row>
        <row r="5">
          <cell r="A5" t="str">
            <v>Véhicule</v>
          </cell>
          <cell r="J5" t="str">
            <v>Formation G05</v>
          </cell>
          <cell r="K5" t="str">
            <v>Instance</v>
          </cell>
        </row>
        <row r="6">
          <cell r="A6" t="str">
            <v>Location</v>
          </cell>
          <cell r="J6" t="str">
            <v>Formation G06</v>
          </cell>
        </row>
        <row r="7">
          <cell r="A7" t="str">
            <v>Publicité</v>
          </cell>
          <cell r="J7" t="str">
            <v>Formation G07</v>
          </cell>
        </row>
        <row r="8">
          <cell r="A8" t="str">
            <v>Transport</v>
          </cell>
          <cell r="J8" t="str">
            <v>Formation G08</v>
          </cell>
        </row>
        <row r="9">
          <cell r="A9" t="str">
            <v>Déjeuner</v>
          </cell>
          <cell r="J9" t="str">
            <v>Formation G09</v>
          </cell>
        </row>
        <row r="10">
          <cell r="A10" t="str">
            <v>Collation</v>
          </cell>
          <cell r="J10" t="str">
            <v>Formation G10</v>
          </cell>
        </row>
        <row r="11">
          <cell r="A11" t="str">
            <v>Bureautique</v>
          </cell>
          <cell r="J11" t="str">
            <v>Formation G11</v>
          </cell>
        </row>
        <row r="12">
          <cell r="A12" t="str">
            <v>Photocopie</v>
          </cell>
          <cell r="J12" t="str">
            <v>Bilan</v>
          </cell>
        </row>
        <row r="13">
          <cell r="A13" t="str">
            <v>Impôts</v>
          </cell>
          <cell r="J13" t="str">
            <v>Formation Inter</v>
          </cell>
        </row>
        <row r="14">
          <cell r="A14" t="str">
            <v>Entretien</v>
          </cell>
          <cell r="J14" t="str">
            <v>Formation Intra</v>
          </cell>
        </row>
        <row r="15">
          <cell r="A15" t="str">
            <v>Frais de mission</v>
          </cell>
          <cell r="J15" t="str">
            <v>Outil Gestion Financière</v>
          </cell>
        </row>
        <row r="16">
          <cell r="A16" t="str">
            <v>Femme de ménage</v>
          </cell>
          <cell r="J16" t="str">
            <v>Formation Gérant</v>
          </cell>
        </row>
        <row r="17">
          <cell r="A17" t="str">
            <v>CNAS</v>
          </cell>
          <cell r="J17" t="str">
            <v>Formation CED</v>
          </cell>
        </row>
        <row r="18">
          <cell r="A18" t="str">
            <v>Formation</v>
          </cell>
          <cell r="J18" t="str">
            <v>Résidence</v>
          </cell>
        </row>
        <row r="19">
          <cell r="A19" t="str">
            <v>restauration</v>
          </cell>
          <cell r="J19" t="str">
            <v>Formation CEFE</v>
          </cell>
        </row>
        <row r="20">
          <cell r="A20" t="str">
            <v>Autre</v>
          </cell>
          <cell r="J20" t="str">
            <v>Hors exploitation</v>
          </cell>
        </row>
        <row r="21">
          <cell r="A21" t="str">
            <v>Hotel</v>
          </cell>
          <cell r="J21" t="str">
            <v>Formation GP</v>
          </cell>
        </row>
        <row r="22">
          <cell r="J22" t="str">
            <v>Rochd</v>
          </cell>
        </row>
        <row r="23">
          <cell r="J23" t="str">
            <v>sensibilisation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Nv capital"/>
      <sheetName val=" Bilan cloture"/>
      <sheetName val="Repartition globale"/>
      <sheetName val=" Bilan départ"/>
      <sheetName val="Avances asso"/>
      <sheetName val="Fiche associé"/>
      <sheetName val="Recommandations"/>
      <sheetName val="Annexes"/>
      <sheetName val="Invest"/>
    </sheetNames>
    <sheetDataSet>
      <sheetData sheetId="0" refreshError="1"/>
      <sheetData sheetId="1" refreshError="1"/>
      <sheetData sheetId="2" refreshError="1"/>
      <sheetData sheetId="3" refreshError="1">
        <row r="13">
          <cell r="E13">
            <v>517342.61926618079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 Bilan cloture"/>
      <sheetName val="Repartition globale"/>
      <sheetName val="Avances asso"/>
      <sheetName val="Fiche associé"/>
      <sheetName val=" Bilan départ"/>
      <sheetName val="inventaire"/>
      <sheetName val="Invest."/>
      <sheetName val="invest"/>
      <sheetName val="Recommandations"/>
    </sheetNames>
    <sheetDataSet>
      <sheetData sheetId="0" refreshError="1"/>
      <sheetData sheetId="1" refreshError="1"/>
      <sheetData sheetId="2" refreshError="1">
        <row r="8">
          <cell r="D8">
            <v>498830.08499999979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rightToLeft="1" zoomScale="130" zoomScaleNormal="130" workbookViewId="0">
      <selection activeCell="B9" sqref="B9"/>
    </sheetView>
  </sheetViews>
  <sheetFormatPr baseColWidth="10" defaultRowHeight="22.5"/>
  <cols>
    <col min="1" max="1" width="20.85546875" style="109" bestFit="1" customWidth="1"/>
    <col min="2" max="3" width="14.140625" style="109" bestFit="1" customWidth="1"/>
    <col min="4" max="16384" width="11.42578125" style="109"/>
  </cols>
  <sheetData>
    <row r="1" spans="1:8">
      <c r="A1" s="109" t="s">
        <v>82</v>
      </c>
      <c r="B1" s="113" t="s">
        <v>137</v>
      </c>
    </row>
    <row r="2" spans="1:8">
      <c r="A2" s="109" t="s">
        <v>76</v>
      </c>
      <c r="B2" s="109" t="s">
        <v>354</v>
      </c>
      <c r="H2" s="120"/>
    </row>
    <row r="4" spans="1:8">
      <c r="A4" s="109" t="s">
        <v>77</v>
      </c>
      <c r="B4" s="110">
        <v>45142</v>
      </c>
      <c r="C4" s="110"/>
      <c r="F4" s="110"/>
    </row>
    <row r="5" spans="1:8">
      <c r="F5" s="110"/>
    </row>
    <row r="6" spans="1:8">
      <c r="A6" s="109" t="s">
        <v>78</v>
      </c>
      <c r="B6" s="110">
        <v>45583</v>
      </c>
      <c r="C6" s="110"/>
    </row>
    <row r="8" spans="1:8">
      <c r="A8" s="109" t="s">
        <v>79</v>
      </c>
      <c r="B8" s="109">
        <f>B6-B4</f>
        <v>441</v>
      </c>
    </row>
    <row r="10" spans="1:8">
      <c r="A10" s="109" t="s">
        <v>80</v>
      </c>
      <c r="B10" s="111">
        <f>ROUNDUP((B8*2.5%)/355,4)</f>
        <v>3.1099999999999999E-2</v>
      </c>
    </row>
    <row r="11" spans="1:8">
      <c r="E11" s="112"/>
    </row>
    <row r="12" spans="1:8">
      <c r="A12" s="109" t="s">
        <v>60</v>
      </c>
      <c r="B12" s="109" t="s">
        <v>171</v>
      </c>
    </row>
    <row r="13" spans="1:8">
      <c r="A13" s="109" t="s">
        <v>61</v>
      </c>
      <c r="B13" s="109" t="s">
        <v>171</v>
      </c>
    </row>
    <row r="14" spans="1:8">
      <c r="A14" s="109" t="s">
        <v>62</v>
      </c>
      <c r="B14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rightToLeft="1" zoomScale="95" zoomScaleNormal="95" workbookViewId="0">
      <pane ySplit="10" topLeftCell="A29" activePane="bottomLeft" state="frozen"/>
      <selection pane="bottomLeft" activeCell="B5" sqref="B5"/>
    </sheetView>
  </sheetViews>
  <sheetFormatPr baseColWidth="10" defaultRowHeight="18.75"/>
  <cols>
    <col min="1" max="1" width="9.5703125" style="68" bestFit="1" customWidth="1"/>
    <col min="2" max="2" width="22.5703125" style="68" bestFit="1" customWidth="1"/>
    <col min="3" max="3" width="21.28515625" style="71" bestFit="1" customWidth="1"/>
    <col min="4" max="4" width="21.5703125" style="71" customWidth="1"/>
    <col min="5" max="5" width="21.28515625" style="68" bestFit="1" customWidth="1"/>
    <col min="6" max="6" width="21.5703125" style="69" customWidth="1"/>
    <col min="7" max="7" width="20.7109375" style="69" customWidth="1"/>
    <col min="8" max="8" width="25" style="68" customWidth="1"/>
    <col min="9" max="9" width="21.28515625" style="68" bestFit="1" customWidth="1"/>
    <col min="10" max="10" width="17.5703125" style="68" customWidth="1"/>
    <col min="11" max="16384" width="11.42578125" style="68"/>
  </cols>
  <sheetData>
    <row r="1" spans="1:9" ht="36" customHeight="1">
      <c r="A1" s="440" t="str">
        <f>"حساب رؤوس الأموال الجديدة لسنة "&amp;Données!B2</f>
        <v>حساب رؤوس الأموال الجديدة لسنة 2023-2024</v>
      </c>
      <c r="B1" s="440"/>
      <c r="C1" s="440"/>
      <c r="D1" s="440"/>
      <c r="E1" s="106"/>
      <c r="F1" s="106"/>
      <c r="G1" s="106"/>
      <c r="H1" s="106"/>
    </row>
    <row r="2" spans="1:9" ht="24" customHeight="1">
      <c r="A2"/>
      <c r="B2"/>
      <c r="C2"/>
      <c r="D2"/>
      <c r="E2" s="106"/>
      <c r="F2" s="106"/>
      <c r="G2" s="106"/>
      <c r="H2" s="106"/>
      <c r="I2" s="412"/>
    </row>
    <row r="3" spans="1:9" ht="24" customHeight="1">
      <c r="A3"/>
      <c r="B3"/>
      <c r="C3" s="68"/>
      <c r="D3"/>
      <c r="E3" s="107" t="s">
        <v>74</v>
      </c>
      <c r="F3" s="107" t="s">
        <v>140</v>
      </c>
      <c r="G3" s="107" t="s">
        <v>139</v>
      </c>
      <c r="H3" s="107" t="s">
        <v>146</v>
      </c>
      <c r="I3" s="412"/>
    </row>
    <row r="4" spans="1:9" ht="24" customHeight="1">
      <c r="A4"/>
      <c r="B4" s="347"/>
      <c r="C4" s="412"/>
      <c r="D4" s="107" t="s">
        <v>137</v>
      </c>
      <c r="E4" s="81">
        <f>C9-D9</f>
        <v>33804739.039999999</v>
      </c>
      <c r="F4" s="81">
        <f>G5+G6</f>
        <v>13114673.890000001</v>
      </c>
      <c r="G4" s="81">
        <f>+E9</f>
        <v>3100310</v>
      </c>
      <c r="H4" s="81">
        <f>E4-F4+G4</f>
        <v>23790375.149999999</v>
      </c>
      <c r="I4" s="412"/>
    </row>
    <row r="5" spans="1:9" ht="24" customHeight="1">
      <c r="A5"/>
      <c r="B5" s="439"/>
      <c r="C5" s="412"/>
      <c r="D5" s="107" t="s">
        <v>138</v>
      </c>
      <c r="E5" s="81"/>
      <c r="F5" s="81"/>
      <c r="G5" s="81">
        <f>8665344.67+1115281</f>
        <v>9780625.6699999999</v>
      </c>
      <c r="H5" s="81">
        <f t="shared" ref="H5" si="0">E5-F5+G5</f>
        <v>9780625.6699999999</v>
      </c>
    </row>
    <row r="6" spans="1:9" ht="24" customHeight="1">
      <c r="A6"/>
      <c r="B6"/>
      <c r="C6" s="68"/>
      <c r="D6" s="107" t="s">
        <v>190</v>
      </c>
      <c r="E6" s="81"/>
      <c r="F6" s="81"/>
      <c r="G6" s="81">
        <f>3052625+281423.22</f>
        <v>3334048.2199999997</v>
      </c>
      <c r="H6" s="81">
        <f>E6-F6+G6</f>
        <v>3334048.2199999997</v>
      </c>
    </row>
    <row r="7" spans="1:9" ht="24" customHeight="1">
      <c r="A7"/>
      <c r="B7"/>
      <c r="C7" s="68"/>
      <c r="D7" s="107" t="s">
        <v>26</v>
      </c>
      <c r="E7" s="299">
        <f>SUM(E4:E6)</f>
        <v>33804739.039999999</v>
      </c>
      <c r="F7" s="299">
        <f t="shared" ref="F7:H7" si="1">SUM(F4:F6)</f>
        <v>13114673.890000001</v>
      </c>
      <c r="G7" s="299">
        <f t="shared" si="1"/>
        <v>16214983.890000001</v>
      </c>
      <c r="H7" s="299">
        <f t="shared" si="1"/>
        <v>36905049.039999999</v>
      </c>
    </row>
    <row r="8" spans="1:9">
      <c r="F8" s="72"/>
      <c r="G8" s="72"/>
      <c r="H8" s="73"/>
    </row>
    <row r="9" spans="1:9" ht="21.75" customHeight="1">
      <c r="C9" s="74">
        <f>SUBTOTAL(9,C11:C82)</f>
        <v>33804739.039999999</v>
      </c>
      <c r="D9" s="74">
        <f>SUBTOTAL(9,D11:D1799)</f>
        <v>0</v>
      </c>
      <c r="E9" s="74">
        <f>SUBTOTAL(9,E11:E82)</f>
        <v>3100310</v>
      </c>
      <c r="F9"/>
      <c r="G9"/>
      <c r="H9" s="75">
        <f>SUBTOTAL(9,H11:H1799)</f>
        <v>36905049.040000007</v>
      </c>
      <c r="I9" s="75">
        <f>SUBTOTAL(9,I11:I1799)</f>
        <v>35626132.940226763</v>
      </c>
    </row>
    <row r="10" spans="1:9" s="298" customFormat="1" ht="45">
      <c r="A10" s="296" t="s">
        <v>53</v>
      </c>
      <c r="B10" s="296" t="s">
        <v>22</v>
      </c>
      <c r="C10" s="108" t="s">
        <v>378</v>
      </c>
      <c r="D10" s="108" t="str">
        <f>"سحوبات "&amp;Données!$B$2</f>
        <v>سحوبات 2023-2024</v>
      </c>
      <c r="E10" s="108" t="str">
        <f>"مداخيل  "&amp;Données!$B$2</f>
        <v>مداخيل  2023-2024</v>
      </c>
      <c r="F10" s="297" t="s">
        <v>52</v>
      </c>
      <c r="G10" s="297" t="s">
        <v>54</v>
      </c>
      <c r="H10" s="108" t="str">
        <f>"رؤوس الأموال  "&amp;Données!$B$2</f>
        <v>رؤوس الأموال  2023-2024</v>
      </c>
      <c r="I10" s="108" t="s">
        <v>81</v>
      </c>
    </row>
    <row r="11" spans="1:9" ht="25.5">
      <c r="A11" s="76">
        <v>1</v>
      </c>
      <c r="B11" s="434" t="s">
        <v>134</v>
      </c>
      <c r="C11" s="81"/>
      <c r="D11" s="77"/>
      <c r="E11" s="78"/>
      <c r="F11" s="80"/>
      <c r="G11" s="79">
        <f>IF(F11="",Données!$B$6-Données!$B$4,Données!$B$6-F11)</f>
        <v>441</v>
      </c>
      <c r="H11" s="78">
        <f>C11-D11+E11</f>
        <v>0</v>
      </c>
      <c r="I11" s="78">
        <f>C11-D11+E11*(G11/Données!$B$8)</f>
        <v>0</v>
      </c>
    </row>
    <row r="12" spans="1:9" ht="25.5">
      <c r="A12" s="76">
        <v>2</v>
      </c>
      <c r="B12" s="434" t="s">
        <v>135</v>
      </c>
      <c r="C12" s="81">
        <v>10000000</v>
      </c>
      <c r="D12" s="70"/>
      <c r="E12" s="78"/>
      <c r="F12" s="80"/>
      <c r="G12" s="79">
        <f>IF(F12="",Données!$B$6-Données!$B$4,Données!$B$6-F12)</f>
        <v>441</v>
      </c>
      <c r="H12" s="78">
        <f>C12-D12+E12</f>
        <v>10000000</v>
      </c>
      <c r="I12" s="78">
        <f>C12-D12+E12*(G12/Données!$B$8)</f>
        <v>10000000</v>
      </c>
    </row>
    <row r="13" spans="1:9" ht="25.5">
      <c r="A13" s="76">
        <v>3</v>
      </c>
      <c r="B13" s="434" t="s">
        <v>136</v>
      </c>
      <c r="C13" s="81">
        <f>10405921.17-238000</f>
        <v>10167921.17</v>
      </c>
      <c r="D13" s="70"/>
      <c r="E13" s="78"/>
      <c r="F13" s="80"/>
      <c r="G13" s="79">
        <f>IF(F13="",Données!$B$6-Données!$B$4,Données!$B$6-F13)</f>
        <v>441</v>
      </c>
      <c r="H13" s="78">
        <f t="shared" ref="H13:H23" si="2">C13-D13+E13</f>
        <v>10167921.17</v>
      </c>
      <c r="I13" s="78">
        <f>C13-D13+E13*(G13/Données!$B$8)</f>
        <v>10167921.17</v>
      </c>
    </row>
    <row r="14" spans="1:9" ht="25.5">
      <c r="A14" s="76">
        <v>4</v>
      </c>
      <c r="B14" s="434" t="s">
        <v>306</v>
      </c>
      <c r="C14" s="81">
        <v>607993.9</v>
      </c>
      <c r="D14" s="70"/>
      <c r="E14" s="81"/>
      <c r="F14" s="80"/>
      <c r="G14" s="79">
        <f>IF(F14="",Données!$B$6-Données!$B$4,Données!$B$6-F14)</f>
        <v>441</v>
      </c>
      <c r="H14" s="78">
        <f t="shared" si="2"/>
        <v>607993.9</v>
      </c>
      <c r="I14" s="78">
        <f>C14-D14+E14*(G14/Données!$B$8)</f>
        <v>607993.9</v>
      </c>
    </row>
    <row r="15" spans="1:9" ht="25.5">
      <c r="A15" s="76">
        <v>5</v>
      </c>
      <c r="B15" s="434" t="s">
        <v>172</v>
      </c>
      <c r="C15" s="81">
        <v>1000000</v>
      </c>
      <c r="D15" s="70"/>
      <c r="E15" s="78"/>
      <c r="F15" s="80"/>
      <c r="G15" s="79">
        <f>IF(F15="",Données!$B$6-Données!$B$4,Données!$B$6-F15)</f>
        <v>441</v>
      </c>
      <c r="H15" s="78">
        <f t="shared" si="2"/>
        <v>1000000</v>
      </c>
      <c r="I15" s="78">
        <f>C15-D15+E15*(G15/Données!$B$8)</f>
        <v>1000000</v>
      </c>
    </row>
    <row r="16" spans="1:9" ht="25.5">
      <c r="A16" s="76">
        <v>6</v>
      </c>
      <c r="B16" s="434" t="s">
        <v>173</v>
      </c>
      <c r="C16" s="81">
        <v>500000</v>
      </c>
      <c r="D16" s="70"/>
      <c r="E16" s="78"/>
      <c r="F16" s="80"/>
      <c r="G16" s="79">
        <f>IF(F16="",Données!$B$6-Données!$B$4,Données!$B$6-F16)</f>
        <v>441</v>
      </c>
      <c r="H16" s="78">
        <f t="shared" si="2"/>
        <v>500000</v>
      </c>
      <c r="I16" s="78">
        <f>C16-D16+E16*(G16/Données!$B$8)</f>
        <v>500000</v>
      </c>
    </row>
    <row r="17" spans="1:9" ht="25.5">
      <c r="A17" s="76">
        <v>7</v>
      </c>
      <c r="B17" s="434" t="s">
        <v>245</v>
      </c>
      <c r="C17" s="81">
        <v>719297.09</v>
      </c>
      <c r="D17" s="70"/>
      <c r="E17" s="81"/>
      <c r="F17" s="80"/>
      <c r="G17" s="79">
        <f>IF(F17="",Données!$B$6-Données!$B$4,Données!$B$6-F17)</f>
        <v>441</v>
      </c>
      <c r="H17" s="78">
        <f t="shared" si="2"/>
        <v>719297.09</v>
      </c>
      <c r="I17" s="78">
        <f>C17-D17+E17*(G17/Données!$B$8)</f>
        <v>719297.09</v>
      </c>
    </row>
    <row r="18" spans="1:9" ht="25.5">
      <c r="A18" s="76">
        <v>8</v>
      </c>
      <c r="B18" s="434" t="s">
        <v>244</v>
      </c>
      <c r="C18" s="70">
        <f>2508503.53-325000</f>
        <v>2183503.5299999998</v>
      </c>
      <c r="D18" s="70"/>
      <c r="E18" s="70"/>
      <c r="F18" s="396"/>
      <c r="G18" s="79">
        <f>IF(F18="",Données!$B$6-Données!$B$4,Données!$B$6-F18)</f>
        <v>441</v>
      </c>
      <c r="H18" s="78">
        <f t="shared" si="2"/>
        <v>2183503.5299999998</v>
      </c>
      <c r="I18" s="78">
        <f>C18-D18+E18*(G18/Données!$B$8)</f>
        <v>2183503.5299999998</v>
      </c>
    </row>
    <row r="19" spans="1:9" ht="25.5">
      <c r="A19" s="76">
        <v>9</v>
      </c>
      <c r="B19" s="434" t="s">
        <v>246</v>
      </c>
      <c r="C19" s="70">
        <f>1406263.99-31000</f>
        <v>1375263.99</v>
      </c>
      <c r="D19" s="70"/>
      <c r="E19" s="395"/>
      <c r="F19" s="396"/>
      <c r="G19" s="79">
        <f>IF(F19="",Données!$B$6-Données!$B$4,Données!$B$6-F19)</f>
        <v>441</v>
      </c>
      <c r="H19" s="78">
        <f t="shared" si="2"/>
        <v>1375263.99</v>
      </c>
      <c r="I19" s="78">
        <f>C19-D19+E19*(G19/Données!$B$8)</f>
        <v>1375263.99</v>
      </c>
    </row>
    <row r="20" spans="1:9" ht="25.5">
      <c r="A20" s="76">
        <v>10</v>
      </c>
      <c r="B20" s="434" t="s">
        <v>247</v>
      </c>
      <c r="C20" s="70">
        <v>708995.97</v>
      </c>
      <c r="D20" s="70"/>
      <c r="E20" s="70"/>
      <c r="F20" s="396"/>
      <c r="G20" s="79">
        <f>IF(F20="",Données!$B$6-Données!$B$4,Données!$B$6-F20)</f>
        <v>441</v>
      </c>
      <c r="H20" s="78">
        <f t="shared" si="2"/>
        <v>708995.97</v>
      </c>
      <c r="I20" s="78">
        <f>C20-D20+E20*(G20/Données!$B$8)</f>
        <v>708995.97</v>
      </c>
    </row>
    <row r="21" spans="1:9" ht="25.5">
      <c r="A21" s="76">
        <v>11</v>
      </c>
      <c r="B21" s="434" t="s">
        <v>248</v>
      </c>
      <c r="C21" s="70">
        <v>3000000</v>
      </c>
      <c r="D21" s="70"/>
      <c r="E21" s="70"/>
      <c r="F21" s="396"/>
      <c r="G21" s="79">
        <f>IF(F21="",Données!$B$6-Données!$B$4,Données!$B$6-F21)</f>
        <v>441</v>
      </c>
      <c r="H21" s="78">
        <f t="shared" si="2"/>
        <v>3000000</v>
      </c>
      <c r="I21" s="78">
        <f>C21-D21+E21*(G21/Données!$B$8)</f>
        <v>3000000</v>
      </c>
    </row>
    <row r="22" spans="1:9" ht="25.5">
      <c r="A22" s="76">
        <v>12</v>
      </c>
      <c r="B22" s="434" t="s">
        <v>305</v>
      </c>
      <c r="C22" s="70">
        <v>340739.85</v>
      </c>
      <c r="D22" s="70"/>
      <c r="E22" s="70"/>
      <c r="F22" s="396"/>
      <c r="G22" s="79">
        <f>IF(F22="",Données!$B$6-Données!$B$4,Données!$B$6-F22)</f>
        <v>441</v>
      </c>
      <c r="H22" s="78">
        <f t="shared" si="2"/>
        <v>340739.85</v>
      </c>
      <c r="I22" s="78">
        <f>C22-D22+E22*(G22/Données!$B$8)</f>
        <v>340739.85</v>
      </c>
    </row>
    <row r="23" spans="1:9" ht="25.5">
      <c r="A23" s="76">
        <v>13</v>
      </c>
      <c r="B23" s="434" t="s">
        <v>251</v>
      </c>
      <c r="C23" s="70">
        <v>513448.84</v>
      </c>
      <c r="D23" s="70"/>
      <c r="E23" s="395"/>
      <c r="F23" s="396"/>
      <c r="G23" s="79">
        <f>IF(F23="",Données!$B$6-Données!$B$4,Données!$B$6-F23)</f>
        <v>441</v>
      </c>
      <c r="H23" s="78">
        <f t="shared" si="2"/>
        <v>513448.84</v>
      </c>
      <c r="I23" s="78">
        <f>C23-D23+E23*(G23/Données!$B$8)</f>
        <v>513448.84</v>
      </c>
    </row>
    <row r="24" spans="1:9" ht="25.5">
      <c r="A24" s="76">
        <v>14</v>
      </c>
      <c r="B24" s="434" t="s">
        <v>307</v>
      </c>
      <c r="C24" s="70">
        <f>22019.02+50104.05</f>
        <v>72123.070000000007</v>
      </c>
      <c r="D24" s="70"/>
      <c r="E24" s="413"/>
      <c r="F24" s="396"/>
      <c r="G24" s="79">
        <f>IF(F24="",Données!$B$6-Données!$B$4,Données!$B$6-F24)</f>
        <v>441</v>
      </c>
      <c r="H24" s="78">
        <f t="shared" ref="H24" si="3">C24-D24+E24</f>
        <v>72123.070000000007</v>
      </c>
      <c r="I24" s="78">
        <f>C24-D24+E24*(G24/Données!$B$8)</f>
        <v>72123.070000000007</v>
      </c>
    </row>
    <row r="25" spans="1:9" ht="25.5">
      <c r="A25" s="76">
        <v>15</v>
      </c>
      <c r="B25" s="434" t="s">
        <v>355</v>
      </c>
      <c r="C25" s="413"/>
      <c r="D25" s="70"/>
      <c r="E25" s="413">
        <v>500000</v>
      </c>
      <c r="F25" s="396">
        <v>45376</v>
      </c>
      <c r="G25" s="79">
        <f>IF(F25="",Données!$B$6-Données!$B$4,Données!$B$6-F25)</f>
        <v>207</v>
      </c>
      <c r="H25" s="78">
        <f t="shared" ref="H25" si="4">C25-D25+E25</f>
        <v>500000</v>
      </c>
      <c r="I25" s="78">
        <f>C25-D25+E25*(G25/Données!$B$8)</f>
        <v>234693.87755102041</v>
      </c>
    </row>
    <row r="26" spans="1:9" ht="25.5">
      <c r="A26" s="76">
        <v>16</v>
      </c>
      <c r="B26" s="434" t="s">
        <v>308</v>
      </c>
      <c r="C26" s="70">
        <v>22034.67</v>
      </c>
      <c r="D26" s="70"/>
      <c r="E26" s="413"/>
      <c r="F26" s="396"/>
      <c r="G26" s="79">
        <f>IF(F26="",Données!$B$6-Données!$B$4,Données!$B$6-F26)</f>
        <v>441</v>
      </c>
      <c r="H26" s="78">
        <f t="shared" ref="H26" si="5">C26-D26+E26</f>
        <v>22034.67</v>
      </c>
      <c r="I26" s="78">
        <f>C26-D26+E26*(G26/Données!$B$8)</f>
        <v>22034.67</v>
      </c>
    </row>
    <row r="27" spans="1:9" ht="25.5">
      <c r="A27" s="76">
        <v>17</v>
      </c>
      <c r="B27" s="434" t="s">
        <v>309</v>
      </c>
      <c r="C27" s="70">
        <v>642035.44999999995</v>
      </c>
      <c r="D27" s="70"/>
      <c r="E27" s="395"/>
      <c r="F27" s="396"/>
      <c r="G27" s="79">
        <f>IF(F27="",Données!$B$6-Données!$B$4,Données!$B$6-F27)</f>
        <v>441</v>
      </c>
      <c r="H27" s="78">
        <f t="shared" ref="H27" si="6">C27-D27+E27</f>
        <v>642035.44999999995</v>
      </c>
      <c r="I27" s="78">
        <f>C27-D27+E27*(G27/Données!$B$8)</f>
        <v>642035.44999999995</v>
      </c>
    </row>
    <row r="28" spans="1:9" ht="25.5">
      <c r="A28" s="395">
        <v>18</v>
      </c>
      <c r="B28" s="434" t="s">
        <v>310</v>
      </c>
      <c r="C28" s="70">
        <v>403492.59</v>
      </c>
      <c r="D28" s="70"/>
      <c r="E28" s="413"/>
      <c r="F28" s="396"/>
      <c r="G28" s="79">
        <f>IF(F28="",Données!$B$6-Données!$B$4,Données!$B$6-F28)</f>
        <v>441</v>
      </c>
      <c r="H28" s="78">
        <f t="shared" ref="H28:H29" si="7">C28-D28+E28</f>
        <v>403492.59</v>
      </c>
      <c r="I28" s="78">
        <f>C28-D28+E28*(G28/Données!$B$8)</f>
        <v>403492.59</v>
      </c>
    </row>
    <row r="29" spans="1:9" ht="25.5">
      <c r="A29" s="395">
        <v>19</v>
      </c>
      <c r="B29" s="434" t="s">
        <v>356</v>
      </c>
      <c r="C29" s="70"/>
      <c r="D29" s="70"/>
      <c r="E29" s="413">
        <v>70000</v>
      </c>
      <c r="F29" s="396">
        <v>45238</v>
      </c>
      <c r="G29" s="79">
        <f>IF(F29="",Données!$B$6-Données!$B$4,Données!$B$6-F29)</f>
        <v>345</v>
      </c>
      <c r="H29" s="78">
        <f t="shared" si="7"/>
        <v>70000</v>
      </c>
      <c r="I29" s="78">
        <f>C29-D29+E29*(G29/Données!$B$8)</f>
        <v>54761.904761904763</v>
      </c>
    </row>
    <row r="30" spans="1:9" ht="25.5">
      <c r="A30" s="395">
        <v>20</v>
      </c>
      <c r="B30" s="434" t="s">
        <v>357</v>
      </c>
      <c r="C30" s="70"/>
      <c r="D30" s="70"/>
      <c r="E30" s="413">
        <v>100000</v>
      </c>
      <c r="F30" s="396">
        <v>45238</v>
      </c>
      <c r="G30" s="79">
        <f>IF(F30="",Données!$B$6-Données!$B$4,Données!$B$6-F30)</f>
        <v>345</v>
      </c>
      <c r="H30" s="78">
        <f t="shared" ref="H30" si="8">C30-D30+E30</f>
        <v>100000</v>
      </c>
      <c r="I30" s="78">
        <f>C30-D30+E30*(G30/Données!$B$8)</f>
        <v>78231.292517006805</v>
      </c>
    </row>
    <row r="31" spans="1:9" ht="25.5">
      <c r="A31" s="395">
        <v>21</v>
      </c>
      <c r="B31" s="434" t="s">
        <v>358</v>
      </c>
      <c r="C31" s="70"/>
      <c r="D31" s="70"/>
      <c r="E31" s="413">
        <v>110310</v>
      </c>
      <c r="F31" s="396">
        <v>45342</v>
      </c>
      <c r="G31" s="79">
        <f>IF(F31="",Données!$B$6-Données!$B$4,Données!$B$6-F31)</f>
        <v>241</v>
      </c>
      <c r="H31" s="78">
        <f t="shared" ref="H31" si="9">C31-D31+E31</f>
        <v>110310</v>
      </c>
      <c r="I31" s="78">
        <f>C31-D31+E31*(G31/Données!$B$8)</f>
        <v>60282.789115646257</v>
      </c>
    </row>
    <row r="32" spans="1:9" ht="25.5">
      <c r="A32" s="395">
        <v>22</v>
      </c>
      <c r="B32" s="434" t="s">
        <v>359</v>
      </c>
      <c r="C32" s="70"/>
      <c r="D32" s="70"/>
      <c r="E32" s="413">
        <v>1200000</v>
      </c>
      <c r="F32" s="396">
        <v>45242</v>
      </c>
      <c r="G32" s="79">
        <f>IF(F32="",Données!$B$6-Données!$B$4,Données!$B$6-F32)</f>
        <v>341</v>
      </c>
      <c r="H32" s="78">
        <f t="shared" ref="H32" si="10">C32-D32+E32</f>
        <v>1200000</v>
      </c>
      <c r="I32" s="78">
        <f>C32-D32+E32*(G32/Données!$B$8)</f>
        <v>927891.15646258509</v>
      </c>
    </row>
    <row r="33" spans="1:11" ht="25.5">
      <c r="A33" s="395">
        <v>23</v>
      </c>
      <c r="B33" s="434" t="s">
        <v>360</v>
      </c>
      <c r="C33" s="70"/>
      <c r="D33" s="70"/>
      <c r="E33" s="413">
        <v>100000</v>
      </c>
      <c r="F33" s="396">
        <v>45558</v>
      </c>
      <c r="G33" s="79">
        <f>IF(F33="",Données!$B$6-Données!$B$4,Données!$B$6-F33)</f>
        <v>25</v>
      </c>
      <c r="H33" s="78">
        <f t="shared" ref="H33" si="11">C33-D33+E33</f>
        <v>100000</v>
      </c>
      <c r="I33" s="78">
        <f>C33-D33+E33*(G33/Données!$B$8)</f>
        <v>5668.9342403628125</v>
      </c>
    </row>
    <row r="34" spans="1:11" ht="25.5">
      <c r="A34" s="395">
        <v>24</v>
      </c>
      <c r="B34" s="434" t="s">
        <v>361</v>
      </c>
      <c r="C34" s="70"/>
      <c r="D34" s="70"/>
      <c r="E34" s="413">
        <v>180000</v>
      </c>
      <c r="F34" s="396">
        <v>45351</v>
      </c>
      <c r="G34" s="79">
        <f>IF(F34="",Données!$B$6-Données!$B$4,Données!$B$6-F34)</f>
        <v>232</v>
      </c>
      <c r="H34" s="78">
        <f t="shared" ref="H34" si="12">C34-D34+E34</f>
        <v>180000</v>
      </c>
      <c r="I34" s="78">
        <f>C34-D34+E34*(G34/Données!$B$8)</f>
        <v>94693.8775510204</v>
      </c>
    </row>
    <row r="35" spans="1:11" ht="25.5">
      <c r="A35" s="395">
        <v>25</v>
      </c>
      <c r="B35" s="434" t="s">
        <v>362</v>
      </c>
      <c r="C35" s="70"/>
      <c r="D35" s="70"/>
      <c r="E35" s="413">
        <v>100000</v>
      </c>
      <c r="F35" s="396">
        <v>45487</v>
      </c>
      <c r="G35" s="79">
        <f>IF(F35="",Données!$B$6-Données!$B$4,Données!$B$6-F35)</f>
        <v>96</v>
      </c>
      <c r="H35" s="78">
        <f t="shared" ref="H35" si="13">C35-D35+E35</f>
        <v>100000</v>
      </c>
      <c r="I35" s="78">
        <f>C35-D35+E35*(G35/Données!$B$8)</f>
        <v>21768.707482993195</v>
      </c>
    </row>
    <row r="36" spans="1:11" ht="25.5">
      <c r="A36" s="395">
        <v>26</v>
      </c>
      <c r="B36" s="434" t="s">
        <v>363</v>
      </c>
      <c r="C36" s="70"/>
      <c r="D36" s="70"/>
      <c r="E36" s="413">
        <v>100000</v>
      </c>
      <c r="F36" s="396">
        <v>45185</v>
      </c>
      <c r="G36" s="79">
        <f>IF(F36="",Données!$B$6-Données!$B$4,Données!$B$6-F36)</f>
        <v>398</v>
      </c>
      <c r="H36" s="78">
        <f t="shared" ref="H36" si="14">C36-D36+E36</f>
        <v>100000</v>
      </c>
      <c r="I36" s="78">
        <f>C36-D36+E36*(G36/Données!$B$8)</f>
        <v>90249.433106575962</v>
      </c>
    </row>
    <row r="37" spans="1:11" ht="25.5">
      <c r="A37" s="395">
        <v>27</v>
      </c>
      <c r="B37" s="434" t="s">
        <v>364</v>
      </c>
      <c r="C37" s="70"/>
      <c r="D37" s="70"/>
      <c r="E37" s="413">
        <v>500000</v>
      </c>
      <c r="F37" s="396">
        <v>45444</v>
      </c>
      <c r="G37" s="79">
        <f>IF(F37="",Données!$B$6-Données!$B$4,Données!$B$6-F37)</f>
        <v>139</v>
      </c>
      <c r="H37" s="78">
        <f t="shared" ref="H37" si="15">C37-D37+E37</f>
        <v>500000</v>
      </c>
      <c r="I37" s="78">
        <f>C37-D37+E37*(G37/Données!$B$8)</f>
        <v>157596.37188208615</v>
      </c>
    </row>
    <row r="38" spans="1:11" ht="25.5">
      <c r="A38" s="395">
        <v>28</v>
      </c>
      <c r="B38" s="434" t="s">
        <v>365</v>
      </c>
      <c r="C38" s="70"/>
      <c r="D38" s="70"/>
      <c r="E38" s="413">
        <v>40000</v>
      </c>
      <c r="F38" s="396">
        <v>45342</v>
      </c>
      <c r="G38" s="79">
        <f>IF(F38="",Données!$B$6-Données!$B$4,Données!$B$6-F38)</f>
        <v>241</v>
      </c>
      <c r="H38" s="78">
        <f t="shared" ref="H38" si="16">C38-D38+E38</f>
        <v>40000</v>
      </c>
      <c r="I38" s="78">
        <f>C38-D38+E38*(G38/Données!$B$8)</f>
        <v>21859.410430839001</v>
      </c>
    </row>
    <row r="39" spans="1:11" s="438" customFormat="1" ht="25.5">
      <c r="A39" s="395">
        <v>29</v>
      </c>
      <c r="B39" s="434" t="s">
        <v>385</v>
      </c>
      <c r="C39" s="70"/>
      <c r="D39" s="70"/>
      <c r="E39" s="413">
        <v>100000</v>
      </c>
      <c r="F39" s="396">
        <v>45258</v>
      </c>
      <c r="G39" s="79">
        <f>IF(F39="",Données!$B$6-Données!$B$4,Données!$B$6-F39)</f>
        <v>325</v>
      </c>
      <c r="H39" s="78">
        <f t="shared" ref="H39" si="17">C39-D39+E39</f>
        <v>100000</v>
      </c>
      <c r="I39" s="78">
        <f>C39-D39+E39*(G39/Données!$B$8)</f>
        <v>73696.145124716553</v>
      </c>
    </row>
    <row r="40" spans="1:11" ht="25.5">
      <c r="A40" s="395">
        <v>30</v>
      </c>
      <c r="B40" s="434" t="s">
        <v>386</v>
      </c>
      <c r="C40" s="81">
        <v>1547888.92</v>
      </c>
      <c r="D40" s="70"/>
      <c r="E40" s="413"/>
      <c r="F40" s="396"/>
      <c r="G40" s="79">
        <f>IF(F40="",Données!$B$6-Données!$B$4,Données!$B$6-F40)</f>
        <v>441</v>
      </c>
      <c r="H40" s="78">
        <f t="shared" ref="H40" si="18">C40-D40+E40</f>
        <v>1547888.92</v>
      </c>
      <c r="I40" s="78">
        <f>C40-D40+E40*(G40/Données!$B$8)</f>
        <v>1547888.92</v>
      </c>
      <c r="J40" s="441" t="s">
        <v>383</v>
      </c>
      <c r="K40" s="442"/>
    </row>
    <row r="41" spans="1:11">
      <c r="A41" s="395"/>
      <c r="B41" s="395"/>
      <c r="C41" s="70"/>
      <c r="D41" s="70"/>
      <c r="E41" s="395"/>
      <c r="F41" s="396"/>
      <c r="G41" s="396"/>
      <c r="H41" s="395"/>
      <c r="I41" s="395"/>
    </row>
    <row r="42" spans="1:11">
      <c r="A42" s="395"/>
      <c r="B42" s="395"/>
      <c r="C42" s="70"/>
      <c r="D42" s="70"/>
      <c r="E42" s="395"/>
      <c r="F42" s="396"/>
      <c r="G42" s="396"/>
      <c r="H42" s="395"/>
      <c r="I42" s="395"/>
    </row>
    <row r="43" spans="1:11">
      <c r="A43" s="395"/>
      <c r="B43" s="395"/>
      <c r="C43" s="70"/>
      <c r="D43" s="70"/>
      <c r="E43" s="395"/>
      <c r="F43" s="396"/>
      <c r="G43" s="396"/>
      <c r="H43" s="395"/>
      <c r="I43" s="395"/>
    </row>
    <row r="44" spans="1:11">
      <c r="A44" s="395"/>
      <c r="B44" s="395"/>
      <c r="C44" s="70"/>
      <c r="D44" s="70"/>
      <c r="E44" s="395"/>
      <c r="F44" s="396"/>
      <c r="G44" s="396"/>
      <c r="H44" s="395"/>
      <c r="I44" s="395"/>
    </row>
    <row r="45" spans="1:11">
      <c r="A45" s="395"/>
      <c r="B45" s="395"/>
      <c r="C45" s="70"/>
      <c r="D45" s="70"/>
      <c r="E45" s="395"/>
      <c r="F45" s="396"/>
      <c r="G45" s="396"/>
      <c r="H45" s="395"/>
      <c r="I45" s="395"/>
    </row>
    <row r="46" spans="1:11">
      <c r="A46" s="395"/>
      <c r="B46" s="395"/>
      <c r="C46" s="70"/>
      <c r="D46" s="70"/>
      <c r="E46" s="395"/>
      <c r="F46" s="396"/>
      <c r="G46" s="396"/>
      <c r="H46" s="395"/>
      <c r="I46" s="395"/>
    </row>
    <row r="47" spans="1:11">
      <c r="A47" s="395"/>
      <c r="B47" s="395"/>
      <c r="C47" s="70"/>
      <c r="D47" s="70"/>
      <c r="E47" s="395"/>
      <c r="F47" s="396"/>
      <c r="G47" s="396"/>
      <c r="H47" s="395"/>
      <c r="I47" s="395"/>
    </row>
    <row r="48" spans="1:11">
      <c r="A48" s="395"/>
      <c r="B48" s="395"/>
      <c r="C48" s="70"/>
      <c r="D48" s="70"/>
      <c r="E48" s="395"/>
      <c r="F48" s="396"/>
      <c r="G48" s="396"/>
      <c r="H48" s="395"/>
      <c r="I48" s="395"/>
    </row>
    <row r="49" spans="1:9">
      <c r="A49" s="395"/>
      <c r="B49" s="395"/>
      <c r="C49" s="70"/>
      <c r="D49" s="70"/>
      <c r="E49" s="395"/>
      <c r="F49" s="396"/>
      <c r="G49" s="396"/>
      <c r="H49" s="395"/>
      <c r="I49" s="395"/>
    </row>
  </sheetData>
  <autoFilter ref="A10:H15"/>
  <mergeCells count="2">
    <mergeCell ref="A1:D1"/>
    <mergeCell ref="J40:K40"/>
  </mergeCells>
  <conditionalFormatting sqref="B41:B1048576 B8:B13 B15:B17 B19:B21">
    <cfRule type="duplicateValues" dxfId="83" priority="26"/>
  </conditionalFormatting>
  <conditionalFormatting sqref="E3:H3">
    <cfRule type="duplicateValues" dxfId="82" priority="20"/>
  </conditionalFormatting>
  <conditionalFormatting sqref="B14">
    <cfRule type="duplicateValues" dxfId="81" priority="19"/>
  </conditionalFormatting>
  <conditionalFormatting sqref="B22">
    <cfRule type="duplicateValues" dxfId="80" priority="17"/>
  </conditionalFormatting>
  <conditionalFormatting sqref="B23">
    <cfRule type="duplicateValues" dxfId="79" priority="16"/>
  </conditionalFormatting>
  <conditionalFormatting sqref="B25:B26">
    <cfRule type="duplicateValues" dxfId="78" priority="15"/>
  </conditionalFormatting>
  <conditionalFormatting sqref="B18">
    <cfRule type="duplicateValues" dxfId="77" priority="14"/>
  </conditionalFormatting>
  <conditionalFormatting sqref="B24">
    <cfRule type="duplicateValues" dxfId="76" priority="13"/>
  </conditionalFormatting>
  <conditionalFormatting sqref="B27">
    <cfRule type="duplicateValues" dxfId="75" priority="12"/>
  </conditionalFormatting>
  <conditionalFormatting sqref="B28">
    <cfRule type="duplicateValues" dxfId="74" priority="11"/>
  </conditionalFormatting>
  <conditionalFormatting sqref="B29:B30">
    <cfRule type="duplicateValues" dxfId="73" priority="10"/>
  </conditionalFormatting>
  <conditionalFormatting sqref="B31">
    <cfRule type="duplicateValues" dxfId="72" priority="9"/>
  </conditionalFormatting>
  <conditionalFormatting sqref="B32">
    <cfRule type="duplicateValues" dxfId="71" priority="8"/>
  </conditionalFormatting>
  <conditionalFormatting sqref="B33">
    <cfRule type="duplicateValues" dxfId="70" priority="7"/>
  </conditionalFormatting>
  <conditionalFormatting sqref="B34">
    <cfRule type="duplicateValues" dxfId="69" priority="6"/>
  </conditionalFormatting>
  <conditionalFormatting sqref="B35:B37">
    <cfRule type="duplicateValues" dxfId="68" priority="5"/>
  </conditionalFormatting>
  <conditionalFormatting sqref="B38:B39">
    <cfRule type="duplicateValues" dxfId="67" priority="4"/>
  </conditionalFormatting>
  <conditionalFormatting sqref="B40">
    <cfRule type="duplicateValues" dxfId="66" priority="1"/>
  </conditionalFormatting>
  <pageMargins left="0.70866141732283472" right="0.70866141732283472" top="0.74803149606299213" bottom="0.74803149606299213" header="0.31496062992125984" footer="0.31496062992125984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16"/>
  <sheetViews>
    <sheetView tabSelected="1" zoomScale="60" zoomScaleNormal="60" zoomScalePageLayoutView="50" workbookViewId="0">
      <selection activeCell="D21" sqref="D21"/>
    </sheetView>
  </sheetViews>
  <sheetFormatPr baseColWidth="10" defaultColWidth="11.42578125" defaultRowHeight="21"/>
  <cols>
    <col min="1" max="1" width="11.85546875" style="10" bestFit="1" customWidth="1"/>
    <col min="2" max="2" width="40.28515625" style="10" bestFit="1" customWidth="1"/>
    <col min="3" max="3" width="35.5703125" style="10" bestFit="1" customWidth="1"/>
    <col min="4" max="4" width="43.42578125" style="10" customWidth="1"/>
    <col min="5" max="5" width="10.42578125" style="10" customWidth="1"/>
    <col min="6" max="6" width="15" style="34" customWidth="1"/>
    <col min="7" max="7" width="45.5703125" style="10" bestFit="1" customWidth="1"/>
    <col min="8" max="8" width="42.28515625" style="10" customWidth="1"/>
    <col min="9" max="9" width="43.42578125" style="34" customWidth="1"/>
    <col min="10" max="10" width="33" style="10" customWidth="1"/>
    <col min="11" max="11" width="16.140625" style="10" bestFit="1" customWidth="1"/>
    <col min="12" max="12" width="16.85546875" style="10" bestFit="1" customWidth="1"/>
    <col min="13" max="13" width="20.42578125" style="10" bestFit="1" customWidth="1"/>
    <col min="14" max="14" width="16.85546875" style="10" bestFit="1" customWidth="1"/>
    <col min="15" max="15" width="17" style="10" customWidth="1"/>
    <col min="16" max="16384" width="11.42578125" style="10"/>
  </cols>
  <sheetData>
    <row r="1" spans="1:11" ht="58.5" customHeight="1" thickBot="1">
      <c r="A1" s="462" t="str">
        <f>"ميزانية مؤسسة  "&amp;Données!B1&amp;"  في  "&amp;DAY(Données!$B$6)&amp;"/"&amp;MONTH(Données!$B$6)&amp;"/"&amp;YEAR(Données!$B$6)</f>
        <v>ميزانية مؤسسة  صياغة الفتح  في  18/10/2024</v>
      </c>
      <c r="B1" s="463"/>
      <c r="C1" s="463"/>
      <c r="D1" s="463"/>
      <c r="E1" s="463"/>
      <c r="F1" s="463"/>
      <c r="G1" s="463"/>
      <c r="H1" s="463"/>
      <c r="I1" s="464"/>
    </row>
    <row r="2" spans="1:11" ht="21.75" thickBot="1">
      <c r="A2" s="18"/>
    </row>
    <row r="3" spans="1:11" ht="38.25" customHeight="1" thickBot="1">
      <c r="A3" s="458" t="s">
        <v>41</v>
      </c>
      <c r="B3" s="459"/>
      <c r="C3" s="459"/>
      <c r="D3" s="460"/>
      <c r="E3" s="92"/>
      <c r="F3" s="458" t="s">
        <v>43</v>
      </c>
      <c r="G3" s="459"/>
      <c r="H3" s="459"/>
      <c r="I3" s="460"/>
    </row>
    <row r="4" spans="1:11" ht="38.25" customHeight="1">
      <c r="A4" s="301" t="s">
        <v>0</v>
      </c>
      <c r="B4" s="448" t="s">
        <v>63</v>
      </c>
      <c r="C4" s="461"/>
      <c r="D4" s="301" t="s">
        <v>33</v>
      </c>
      <c r="E4" s="302"/>
      <c r="F4" s="301" t="s">
        <v>0</v>
      </c>
      <c r="G4" s="448" t="s">
        <v>63</v>
      </c>
      <c r="H4" s="461"/>
      <c r="I4" s="301" t="s">
        <v>33</v>
      </c>
      <c r="K4" s="21"/>
    </row>
    <row r="5" spans="1:11" ht="38.25" customHeight="1" thickBot="1">
      <c r="A5" s="303" t="s">
        <v>1</v>
      </c>
      <c r="B5" s="304"/>
      <c r="C5" s="305"/>
      <c r="D5" s="303"/>
      <c r="E5" s="302"/>
      <c r="F5" s="303" t="s">
        <v>1</v>
      </c>
      <c r="G5" s="304"/>
      <c r="H5" s="305"/>
      <c r="I5" s="303"/>
    </row>
    <row r="6" spans="1:11" ht="38.25" customHeight="1" thickBot="1">
      <c r="A6" s="306">
        <f>D6/D29</f>
        <v>5.1069102550733658E-2</v>
      </c>
      <c r="B6" s="456" t="s">
        <v>44</v>
      </c>
      <c r="C6" s="457"/>
      <c r="D6" s="307">
        <f>SUM(D7:D10)</f>
        <v>4085540</v>
      </c>
      <c r="E6" s="302"/>
      <c r="F6" s="306">
        <f>I6/I29</f>
        <v>0.29737883076797084</v>
      </c>
      <c r="G6" s="456" t="s">
        <v>42</v>
      </c>
      <c r="H6" s="457"/>
      <c r="I6" s="308">
        <f>SUM(I7:I10)</f>
        <v>23790375.149999999</v>
      </c>
      <c r="J6" s="93"/>
    </row>
    <row r="7" spans="1:11" ht="38.25" customHeight="1">
      <c r="A7" s="446">
        <v>2</v>
      </c>
      <c r="B7" s="309" t="s">
        <v>100</v>
      </c>
      <c r="C7" s="310" t="s">
        <v>64</v>
      </c>
      <c r="D7" s="411">
        <f>'Invest Mag'!D8</f>
        <v>569310</v>
      </c>
      <c r="E7" s="302"/>
      <c r="F7" s="446">
        <v>1</v>
      </c>
      <c r="G7" s="311" t="s">
        <v>83</v>
      </c>
      <c r="H7" s="312" t="s">
        <v>84</v>
      </c>
      <c r="I7" s="433">
        <f>'Nv capital'!H4</f>
        <v>23790375.149999999</v>
      </c>
      <c r="J7" s="49"/>
    </row>
    <row r="8" spans="1:11" ht="38.25" customHeight="1">
      <c r="A8" s="447"/>
      <c r="B8" s="309" t="s">
        <v>6</v>
      </c>
      <c r="C8" s="310" t="s">
        <v>19</v>
      </c>
      <c r="D8" s="372">
        <v>2000000</v>
      </c>
      <c r="E8" s="302"/>
      <c r="F8" s="447"/>
      <c r="G8" s="315"/>
      <c r="H8" s="316"/>
      <c r="I8" s="313"/>
      <c r="J8" s="49"/>
    </row>
    <row r="9" spans="1:11" ht="38.25" customHeight="1">
      <c r="A9" s="447"/>
      <c r="B9" s="309" t="s">
        <v>100</v>
      </c>
      <c r="C9" s="310" t="s">
        <v>64</v>
      </c>
      <c r="D9" s="372">
        <f>'invest AtB3'!E2</f>
        <v>1516230</v>
      </c>
      <c r="E9" s="302"/>
      <c r="F9" s="447"/>
      <c r="G9" s="315"/>
      <c r="H9" s="316"/>
      <c r="I9" s="317"/>
    </row>
    <row r="10" spans="1:11" ht="38.25" customHeight="1" thickBot="1">
      <c r="A10" s="453"/>
      <c r="B10" s="309" t="s">
        <v>100</v>
      </c>
      <c r="C10" s="310" t="s">
        <v>64</v>
      </c>
      <c r="D10" s="314"/>
      <c r="E10" s="302"/>
      <c r="F10" s="453"/>
      <c r="G10" s="318"/>
      <c r="H10" s="316"/>
      <c r="I10" s="317"/>
    </row>
    <row r="11" spans="1:11" ht="38.25" customHeight="1" thickBot="1">
      <c r="A11" s="306">
        <f>D11/D29</f>
        <v>0.4960519427740282</v>
      </c>
      <c r="B11" s="456" t="s">
        <v>45</v>
      </c>
      <c r="C11" s="457"/>
      <c r="D11" s="307">
        <f>SUM(D12:D14)</f>
        <v>39684270</v>
      </c>
      <c r="E11" s="302"/>
      <c r="F11" s="306">
        <f>I11/I29</f>
        <v>0.45281918747280098</v>
      </c>
      <c r="G11" s="451" t="s">
        <v>46</v>
      </c>
      <c r="H11" s="452"/>
      <c r="I11" s="308">
        <f>SUM(I12:I19)</f>
        <v>36225639.590000004</v>
      </c>
    </row>
    <row r="12" spans="1:11" ht="38.25" customHeight="1">
      <c r="A12" s="446">
        <v>3</v>
      </c>
      <c r="B12" s="309" t="s">
        <v>341</v>
      </c>
      <c r="C12" s="310" t="s">
        <v>32</v>
      </c>
      <c r="D12" s="372">
        <f>'stocks or'!I1</f>
        <v>36489863.100000001</v>
      </c>
      <c r="E12" s="302"/>
      <c r="F12" s="448">
        <v>4</v>
      </c>
      <c r="G12" s="311" t="s">
        <v>2</v>
      </c>
      <c r="H12" s="312" t="s">
        <v>21</v>
      </c>
      <c r="I12" s="373">
        <f>Frs!J2</f>
        <v>2441869.09</v>
      </c>
    </row>
    <row r="13" spans="1:11" ht="38.25" customHeight="1">
      <c r="A13" s="447"/>
      <c r="B13" s="309" t="s">
        <v>340</v>
      </c>
      <c r="C13" s="310"/>
      <c r="D13" s="372">
        <f>'stoks arg'!G1</f>
        <v>3044406.8999999994</v>
      </c>
      <c r="E13" s="302"/>
      <c r="F13" s="449"/>
      <c r="G13" s="318"/>
      <c r="H13" s="316"/>
      <c r="I13" s="373"/>
    </row>
    <row r="14" spans="1:11" ht="38.25" customHeight="1" thickBot="1">
      <c r="A14" s="447"/>
      <c r="B14" s="309" t="s">
        <v>342</v>
      </c>
      <c r="C14" s="320"/>
      <c r="D14" s="372">
        <f>'stok PO'!G1</f>
        <v>150000</v>
      </c>
      <c r="E14" s="302"/>
      <c r="F14" s="449"/>
      <c r="G14" s="315" t="s">
        <v>126</v>
      </c>
      <c r="H14" s="316" t="s">
        <v>21</v>
      </c>
      <c r="I14" s="373">
        <f>Frs!G2</f>
        <v>11721510</v>
      </c>
    </row>
    <row r="15" spans="1:11" ht="38.25" customHeight="1" thickBot="1">
      <c r="A15" s="306">
        <f>D15/D29</f>
        <v>0.43948696484126076</v>
      </c>
      <c r="B15" s="451" t="s">
        <v>47</v>
      </c>
      <c r="C15" s="452"/>
      <c r="D15" s="321">
        <f>SUM(D16:D24)</f>
        <v>35159058.700000003</v>
      </c>
      <c r="E15" s="302"/>
      <c r="F15" s="449"/>
      <c r="G15" s="315" t="s">
        <v>130</v>
      </c>
      <c r="H15" s="316" t="s">
        <v>131</v>
      </c>
      <c r="I15" s="373">
        <f>client!J1</f>
        <v>16543749</v>
      </c>
    </row>
    <row r="16" spans="1:11" ht="38.25" customHeight="1">
      <c r="A16" s="448">
        <v>4</v>
      </c>
      <c r="B16" s="322" t="s">
        <v>3</v>
      </c>
      <c r="C16" s="323" t="s">
        <v>31</v>
      </c>
      <c r="D16" s="411">
        <f>client!I1</f>
        <v>5829108</v>
      </c>
      <c r="E16" s="302"/>
      <c r="F16" s="449"/>
      <c r="G16" s="315" t="s">
        <v>129</v>
      </c>
      <c r="H16" s="316" t="s">
        <v>131</v>
      </c>
      <c r="I16" s="373">
        <f>client!G1</f>
        <v>5106570</v>
      </c>
    </row>
    <row r="17" spans="1:10" ht="38.25" customHeight="1">
      <c r="A17" s="449"/>
      <c r="B17" s="315" t="s">
        <v>128</v>
      </c>
      <c r="C17" s="310" t="s">
        <v>31</v>
      </c>
      <c r="D17" s="372">
        <f>client!F1</f>
        <v>9715</v>
      </c>
      <c r="E17" s="302"/>
      <c r="F17" s="449"/>
      <c r="G17" s="318" t="s">
        <v>240</v>
      </c>
      <c r="H17" s="316"/>
      <c r="I17" s="373">
        <f>personnel!I4</f>
        <v>411941.5</v>
      </c>
    </row>
    <row r="18" spans="1:10" ht="38.25" customHeight="1">
      <c r="A18" s="449"/>
      <c r="B18" s="315" t="s">
        <v>125</v>
      </c>
      <c r="C18" s="310" t="s">
        <v>65</v>
      </c>
      <c r="D18" s="372">
        <f>Frs!I2</f>
        <v>267528.62</v>
      </c>
      <c r="E18" s="302"/>
      <c r="F18" s="449"/>
      <c r="G18" s="315" t="s">
        <v>239</v>
      </c>
      <c r="H18" s="316"/>
      <c r="I18" s="373"/>
    </row>
    <row r="19" spans="1:10" ht="38.25" customHeight="1" thickBot="1">
      <c r="A19" s="449"/>
      <c r="B19" s="315" t="s">
        <v>338</v>
      </c>
      <c r="C19" s="310" t="s">
        <v>65</v>
      </c>
      <c r="D19" s="372">
        <f>Frs!F2</f>
        <v>1271360</v>
      </c>
      <c r="E19" s="302"/>
      <c r="F19" s="450"/>
      <c r="G19" s="315"/>
      <c r="H19" s="325"/>
      <c r="I19" s="319"/>
    </row>
    <row r="20" spans="1:10" ht="38.25" customHeight="1" thickBot="1">
      <c r="A20" s="449"/>
      <c r="B20" s="315" t="s">
        <v>339</v>
      </c>
      <c r="C20" s="310" t="s">
        <v>65</v>
      </c>
      <c r="D20" s="372">
        <f>Frs!E4</f>
        <v>964260</v>
      </c>
      <c r="E20" s="302"/>
      <c r="F20" s="414"/>
      <c r="G20" s="324"/>
      <c r="H20" s="325"/>
      <c r="I20" s="319"/>
    </row>
    <row r="21" spans="1:10" ht="38.25" customHeight="1" thickBot="1">
      <c r="A21" s="449"/>
      <c r="B21" s="315" t="s">
        <v>7</v>
      </c>
      <c r="C21" s="310" t="s">
        <v>66</v>
      </c>
      <c r="D21" s="372">
        <f>'Avances asso'!C4</f>
        <v>20808198.629999999</v>
      </c>
      <c r="E21" s="302"/>
      <c r="F21" s="446">
        <v>1</v>
      </c>
      <c r="G21" s="454" t="s">
        <v>69</v>
      </c>
      <c r="H21" s="455"/>
      <c r="I21" s="308">
        <f>D6+D11+D15+D25-I6-I11</f>
        <v>19984216.240000002</v>
      </c>
    </row>
    <row r="22" spans="1:10" ht="38.25" customHeight="1" thickBot="1">
      <c r="A22" s="449"/>
      <c r="B22" s="315" t="s">
        <v>67</v>
      </c>
      <c r="C22" s="310" t="s">
        <v>68</v>
      </c>
      <c r="D22" s="314">
        <f>personnel!H4</f>
        <v>43869</v>
      </c>
      <c r="E22" s="302"/>
      <c r="F22" s="447"/>
      <c r="G22" s="326" t="s">
        <v>70</v>
      </c>
      <c r="H22" s="327" t="s">
        <v>71</v>
      </c>
      <c r="I22" s="328"/>
      <c r="J22" s="12"/>
    </row>
    <row r="23" spans="1:10" ht="38.25" customHeight="1" thickBot="1">
      <c r="A23" s="449"/>
      <c r="B23" s="322" t="s">
        <v>380</v>
      </c>
      <c r="C23" s="310" t="s">
        <v>382</v>
      </c>
      <c r="D23" s="314">
        <v>2630971.23</v>
      </c>
      <c r="E23" s="302"/>
      <c r="F23" s="447"/>
      <c r="G23" s="326" t="s">
        <v>72</v>
      </c>
      <c r="H23" s="327" t="s">
        <v>73</v>
      </c>
      <c r="I23" s="329"/>
      <c r="J23" s="12"/>
    </row>
    <row r="24" spans="1:10" ht="38.25" customHeight="1" thickBot="1">
      <c r="A24" s="450"/>
      <c r="B24" s="315" t="s">
        <v>381</v>
      </c>
      <c r="C24" s="310" t="s">
        <v>382</v>
      </c>
      <c r="D24" s="314">
        <v>3334048.22</v>
      </c>
      <c r="E24" s="302"/>
      <c r="F24" s="447"/>
      <c r="G24" s="443" t="s">
        <v>49</v>
      </c>
      <c r="H24" s="445"/>
      <c r="I24" s="330">
        <f>I21-SUM(I22:I23)</f>
        <v>19984216.240000002</v>
      </c>
      <c r="J24" s="300"/>
    </row>
    <row r="25" spans="1:10" ht="38.25" customHeight="1" thickBot="1">
      <c r="A25" s="306">
        <f>D25/D29</f>
        <v>1.3391989833977351E-2</v>
      </c>
      <c r="B25" s="456" t="s">
        <v>48</v>
      </c>
      <c r="C25" s="457"/>
      <c r="D25" s="307">
        <f>SUM(D26:D28)</f>
        <v>1071362.28</v>
      </c>
      <c r="E25" s="302"/>
      <c r="F25" s="447"/>
      <c r="G25" s="331" t="s">
        <v>18</v>
      </c>
      <c r="H25" s="331" t="s">
        <v>34</v>
      </c>
      <c r="I25" s="332">
        <f>I24/I6</f>
        <v>0.84001265696728633</v>
      </c>
      <c r="J25" s="12"/>
    </row>
    <row r="26" spans="1:10" ht="38.25" customHeight="1">
      <c r="A26" s="446">
        <v>5</v>
      </c>
      <c r="B26" s="309" t="s">
        <v>86</v>
      </c>
      <c r="C26" s="310" t="s">
        <v>20</v>
      </c>
      <c r="D26" s="372">
        <f>170000+450000+155910</f>
        <v>775910</v>
      </c>
      <c r="E26" s="302"/>
      <c r="F26" s="447"/>
      <c r="G26" s="333"/>
      <c r="H26" s="331"/>
      <c r="I26" s="334"/>
      <c r="J26" s="22"/>
    </row>
    <row r="27" spans="1:10" ht="38.25" customHeight="1">
      <c r="A27" s="447"/>
      <c r="B27" s="309" t="s">
        <v>127</v>
      </c>
      <c r="C27" s="310" t="s">
        <v>85</v>
      </c>
      <c r="D27" s="314">
        <f>4506.21+10946.07</f>
        <v>15452.279999999999</v>
      </c>
      <c r="E27" s="302"/>
      <c r="F27" s="447"/>
      <c r="G27" s="333"/>
      <c r="H27" s="331"/>
      <c r="I27" s="334"/>
      <c r="J27" s="12"/>
    </row>
    <row r="28" spans="1:10" ht="38.25" customHeight="1" thickBot="1">
      <c r="A28" s="447"/>
      <c r="B28" s="309" t="s">
        <v>372</v>
      </c>
      <c r="C28" s="437">
        <f>370+300+450</f>
        <v>1120</v>
      </c>
      <c r="D28" s="314">
        <f>C28*250</f>
        <v>280000</v>
      </c>
      <c r="E28" s="302"/>
      <c r="F28" s="453"/>
      <c r="G28" s="326"/>
      <c r="H28" s="326"/>
      <c r="I28" s="335"/>
      <c r="J28" s="12"/>
    </row>
    <row r="29" spans="1:10" ht="38.25" customHeight="1" thickBot="1">
      <c r="A29" s="336"/>
      <c r="B29" s="337" t="s">
        <v>4</v>
      </c>
      <c r="C29" s="338"/>
      <c r="D29" s="339">
        <f>D6+D11+D15+D25</f>
        <v>80000230.980000004</v>
      </c>
      <c r="E29" s="302"/>
      <c r="F29" s="443" t="s">
        <v>5</v>
      </c>
      <c r="G29" s="444"/>
      <c r="H29" s="445"/>
      <c r="I29" s="330">
        <f>I11+I6+I21</f>
        <v>80000230.980000004</v>
      </c>
    </row>
    <row r="30" spans="1:10" ht="17.25" customHeight="1">
      <c r="A30" s="13"/>
      <c r="B30" s="24">
        <v>111</v>
      </c>
      <c r="C30" s="13"/>
      <c r="D30" s="40"/>
      <c r="E30" s="92"/>
      <c r="F30" s="41"/>
      <c r="G30" s="12"/>
      <c r="H30" s="12"/>
      <c r="I30" s="23"/>
    </row>
    <row r="31" spans="1:10" ht="15" customHeight="1">
      <c r="D31" s="42"/>
      <c r="E31" s="42"/>
    </row>
    <row r="32" spans="1:10" ht="15.75" customHeight="1"/>
    <row r="35" spans="6:9" s="11" customFormat="1"/>
    <row r="36" spans="6:9">
      <c r="F36" s="10"/>
      <c r="I36" s="10"/>
    </row>
    <row r="37" spans="6:9" ht="22.5" customHeight="1">
      <c r="F37" s="10"/>
      <c r="I37" s="10"/>
    </row>
    <row r="38" spans="6:9">
      <c r="F38" s="10"/>
      <c r="I38" s="10"/>
    </row>
    <row r="39" spans="6:9" ht="22.5" customHeight="1">
      <c r="F39" s="10"/>
      <c r="I39" s="10"/>
    </row>
    <row r="40" spans="6:9" ht="22.5" customHeight="1">
      <c r="F40" s="10"/>
    </row>
    <row r="49" spans="10:10">
      <c r="J49" s="18"/>
    </row>
    <row r="191" spans="2:9">
      <c r="B191" s="11"/>
      <c r="C191" s="11"/>
      <c r="D191" s="11"/>
      <c r="E191" s="11"/>
      <c r="F191" s="43"/>
      <c r="G191" s="11"/>
      <c r="H191" s="11"/>
      <c r="I191" s="43"/>
    </row>
    <row r="192" spans="2:9">
      <c r="B192" s="11"/>
      <c r="C192" s="11"/>
      <c r="D192" s="11"/>
      <c r="E192" s="11"/>
      <c r="F192" s="43"/>
      <c r="G192" s="11"/>
      <c r="H192" s="11"/>
      <c r="I192" s="43"/>
    </row>
    <row r="193" spans="1:10">
      <c r="B193" s="11"/>
      <c r="C193" s="11"/>
      <c r="D193" s="11"/>
      <c r="E193" s="11"/>
      <c r="F193" s="43"/>
      <c r="G193" s="11"/>
      <c r="H193" s="11"/>
      <c r="I193" s="43"/>
    </row>
    <row r="194" spans="1:10">
      <c r="B194" s="11"/>
      <c r="C194" s="11"/>
      <c r="D194" s="11"/>
      <c r="E194" s="11"/>
      <c r="F194" s="43"/>
      <c r="G194" s="11"/>
      <c r="H194" s="11"/>
      <c r="I194" s="43"/>
    </row>
    <row r="195" spans="1:10">
      <c r="A195" s="11"/>
      <c r="B195" s="11"/>
      <c r="C195" s="11"/>
      <c r="D195" s="11"/>
      <c r="E195" s="11"/>
      <c r="F195" s="43"/>
      <c r="G195" s="11"/>
      <c r="H195" s="11"/>
      <c r="I195" s="43"/>
    </row>
    <row r="196" spans="1:10">
      <c r="A196" s="11"/>
      <c r="B196" s="11"/>
      <c r="C196" s="11"/>
      <c r="D196" s="11"/>
      <c r="E196" s="11"/>
      <c r="F196" s="43"/>
      <c r="G196" s="11"/>
      <c r="H196" s="11"/>
      <c r="I196" s="43"/>
    </row>
    <row r="197" spans="1:10">
      <c r="A197" s="11"/>
      <c r="B197" s="11"/>
      <c r="C197" s="11"/>
      <c r="D197" s="11"/>
      <c r="E197" s="11"/>
      <c r="F197" s="43"/>
      <c r="G197" s="11"/>
      <c r="H197" s="11"/>
      <c r="I197" s="43"/>
    </row>
    <row r="198" spans="1:10">
      <c r="A198" s="11"/>
      <c r="B198" s="11"/>
      <c r="C198" s="11"/>
      <c r="D198" s="11"/>
      <c r="E198" s="11"/>
      <c r="F198" s="43"/>
      <c r="G198" s="11"/>
      <c r="H198" s="11"/>
      <c r="I198" s="43"/>
    </row>
    <row r="199" spans="1:10">
      <c r="A199" s="11"/>
      <c r="B199" s="11"/>
      <c r="C199" s="11"/>
      <c r="D199" s="11"/>
      <c r="E199" s="11"/>
      <c r="F199" s="43"/>
      <c r="G199" s="11"/>
      <c r="H199" s="11"/>
      <c r="I199" s="43"/>
    </row>
    <row r="200" spans="1:10">
      <c r="A200" s="11"/>
      <c r="B200" s="11"/>
      <c r="C200" s="11"/>
      <c r="D200" s="11"/>
      <c r="E200" s="11"/>
      <c r="F200" s="43"/>
      <c r="G200" s="11"/>
      <c r="H200" s="11"/>
      <c r="I200" s="43"/>
    </row>
    <row r="201" spans="1:10" s="11" customFormat="1">
      <c r="F201" s="43"/>
      <c r="I201" s="43"/>
      <c r="J201" s="10"/>
    </row>
    <row r="202" spans="1:10" s="11" customFormat="1">
      <c r="F202" s="43"/>
      <c r="I202" s="43"/>
      <c r="J202" s="10"/>
    </row>
    <row r="203" spans="1:10" s="11" customFormat="1">
      <c r="F203" s="43"/>
      <c r="I203" s="43"/>
    </row>
    <row r="204" spans="1:10" s="11" customFormat="1">
      <c r="F204" s="43"/>
      <c r="I204" s="43"/>
    </row>
    <row r="205" spans="1:10" s="11" customFormat="1">
      <c r="B205" s="10"/>
      <c r="C205" s="10"/>
      <c r="D205" s="10"/>
      <c r="E205" s="10"/>
      <c r="F205" s="34"/>
      <c r="G205" s="10"/>
      <c r="H205" s="10"/>
      <c r="I205" s="34"/>
    </row>
    <row r="206" spans="1:10" s="11" customFormat="1">
      <c r="B206" s="10"/>
      <c r="C206" s="10"/>
      <c r="D206" s="10"/>
      <c r="E206" s="10"/>
      <c r="F206" s="34"/>
      <c r="G206" s="10"/>
      <c r="H206" s="10"/>
      <c r="I206" s="34"/>
    </row>
    <row r="207" spans="1:10" s="11" customFormat="1">
      <c r="B207" s="10"/>
      <c r="C207" s="10"/>
      <c r="D207" s="10"/>
      <c r="E207" s="10"/>
      <c r="F207" s="34"/>
      <c r="G207" s="10"/>
      <c r="H207" s="10"/>
      <c r="I207" s="34"/>
    </row>
    <row r="208" spans="1:10" s="11" customFormat="1">
      <c r="B208" s="10"/>
      <c r="C208" s="10"/>
      <c r="D208" s="10"/>
      <c r="E208" s="10"/>
      <c r="F208" s="34"/>
      <c r="G208" s="10"/>
      <c r="H208" s="10"/>
      <c r="I208" s="34"/>
    </row>
    <row r="209" spans="1:10" s="11" customFormat="1">
      <c r="A209" s="10"/>
      <c r="B209" s="10"/>
      <c r="C209" s="10"/>
      <c r="D209" s="10"/>
      <c r="E209" s="10"/>
      <c r="F209" s="34"/>
      <c r="G209" s="10"/>
      <c r="H209" s="10"/>
      <c r="I209" s="34"/>
    </row>
    <row r="210" spans="1:10" s="11" customFormat="1">
      <c r="A210" s="10"/>
      <c r="B210" s="10"/>
      <c r="C210" s="10"/>
      <c r="D210" s="10"/>
      <c r="E210" s="10"/>
      <c r="F210" s="34"/>
      <c r="G210" s="10"/>
      <c r="H210" s="10"/>
      <c r="I210" s="34"/>
    </row>
    <row r="211" spans="1:10" s="11" customFormat="1">
      <c r="A211" s="10"/>
      <c r="B211" s="10"/>
      <c r="C211" s="10"/>
      <c r="D211" s="10"/>
      <c r="E211" s="10"/>
      <c r="F211" s="34"/>
      <c r="G211" s="10"/>
      <c r="H211" s="10"/>
      <c r="I211" s="34"/>
    </row>
    <row r="212" spans="1:10" s="11" customFormat="1">
      <c r="A212" s="10"/>
      <c r="B212" s="10"/>
      <c r="C212" s="10"/>
      <c r="D212" s="10"/>
      <c r="E212" s="10"/>
      <c r="F212" s="34"/>
      <c r="G212" s="10"/>
      <c r="H212" s="10"/>
      <c r="I212" s="34"/>
    </row>
    <row r="213" spans="1:10" s="11" customFormat="1">
      <c r="A213" s="10"/>
      <c r="B213" s="10"/>
      <c r="C213" s="10"/>
      <c r="D213" s="10"/>
      <c r="E213" s="10"/>
      <c r="F213" s="34"/>
      <c r="G213" s="10"/>
      <c r="H213" s="10"/>
      <c r="I213" s="34"/>
    </row>
    <row r="214" spans="1:10" s="11" customFormat="1">
      <c r="A214" s="10"/>
      <c r="B214" s="10"/>
      <c r="C214" s="10"/>
      <c r="D214" s="10"/>
      <c r="E214" s="10"/>
      <c r="F214" s="34"/>
      <c r="G214" s="10"/>
      <c r="H214" s="10"/>
      <c r="I214" s="34"/>
    </row>
    <row r="215" spans="1:10">
      <c r="J215" s="11"/>
    </row>
    <row r="216" spans="1:10">
      <c r="J216" s="11"/>
    </row>
  </sheetData>
  <mergeCells count="21">
    <mergeCell ref="A3:D3"/>
    <mergeCell ref="F3:I3"/>
    <mergeCell ref="B4:C4"/>
    <mergeCell ref="G4:H4"/>
    <mergeCell ref="A1:I1"/>
    <mergeCell ref="B6:C6"/>
    <mergeCell ref="G6:H6"/>
    <mergeCell ref="A7:A10"/>
    <mergeCell ref="F7:F10"/>
    <mergeCell ref="B11:C11"/>
    <mergeCell ref="G11:H11"/>
    <mergeCell ref="F29:H29"/>
    <mergeCell ref="A12:A14"/>
    <mergeCell ref="F12:F19"/>
    <mergeCell ref="B15:C15"/>
    <mergeCell ref="A16:A24"/>
    <mergeCell ref="F21:F28"/>
    <mergeCell ref="G21:H21"/>
    <mergeCell ref="G24:H24"/>
    <mergeCell ref="B25:C25"/>
    <mergeCell ref="A26:A28"/>
  </mergeCells>
  <printOptions horizontalCentered="1" verticalCentered="1"/>
  <pageMargins left="0.19685039370078741" right="0.19685039370078741" top="0.21" bottom="0.22" header="0.19685039370078741" footer="0.19685039370078741"/>
  <pageSetup paperSize="9" scale="54" orientation="landscape" horizontalDpi="300" verticalDpi="300" r:id="rId1"/>
  <headerFooter alignWithMargins="0"/>
  <rowBreaks count="1" manualBreakCount="1">
    <brk id="30" max="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6:M45"/>
  <sheetViews>
    <sheetView rightToLeft="1" zoomScale="60" zoomScaleNormal="60" workbookViewId="0">
      <pane ySplit="12" topLeftCell="A13" activePane="bottomLeft" state="frozen"/>
      <selection pane="bottomLeft" activeCell="J14" sqref="J14"/>
    </sheetView>
  </sheetViews>
  <sheetFormatPr baseColWidth="10" defaultColWidth="11.42578125" defaultRowHeight="27.75"/>
  <cols>
    <col min="1" max="1" width="4.42578125" style="25" bestFit="1" customWidth="1"/>
    <col min="2" max="2" width="29.28515625" style="91" customWidth="1"/>
    <col min="3" max="4" width="25.140625" style="27" bestFit="1" customWidth="1"/>
    <col min="5" max="5" width="15.140625" style="27" customWidth="1"/>
    <col min="6" max="6" width="25.140625" style="27" customWidth="1"/>
    <col min="7" max="10" width="25.140625" style="27" bestFit="1" customWidth="1"/>
    <col min="11" max="11" width="21.85546875" style="27" bestFit="1" customWidth="1"/>
    <col min="12" max="12" width="24.7109375" style="27" customWidth="1"/>
    <col min="13" max="13" width="13.7109375" style="27" bestFit="1" customWidth="1"/>
    <col min="14" max="16384" width="11.42578125" style="27"/>
  </cols>
  <sheetData>
    <row r="6" spans="1:13">
      <c r="B6" s="465" t="s">
        <v>27</v>
      </c>
      <c r="C6" s="466"/>
      <c r="D6" s="26">
        <f>' Bilan cloture'!I6</f>
        <v>23790375.149999999</v>
      </c>
      <c r="G6" s="89" t="s">
        <v>141</v>
      </c>
      <c r="H6" s="89" t="s">
        <v>186</v>
      </c>
      <c r="I6" s="89" t="s">
        <v>26</v>
      </c>
    </row>
    <row r="7" spans="1:13">
      <c r="B7" s="465" t="s">
        <v>28</v>
      </c>
      <c r="C7" s="466"/>
      <c r="D7" s="26">
        <f>' Bilan cloture'!I24</f>
        <v>19984216.240000002</v>
      </c>
      <c r="F7" s="89" t="s">
        <v>27</v>
      </c>
      <c r="G7" s="26">
        <f>'Nv capital'!H5</f>
        <v>9780625.6699999999</v>
      </c>
      <c r="H7" s="26">
        <f>'Nv capital'!H6</f>
        <v>3334048.2199999997</v>
      </c>
      <c r="I7" s="26">
        <f>D6+G7+H7</f>
        <v>36905049.039999999</v>
      </c>
      <c r="L7" s="357">
        <f>F11/D11</f>
        <v>0.43452993825302472</v>
      </c>
    </row>
    <row r="8" spans="1:13">
      <c r="B8" s="89" t="s">
        <v>29</v>
      </c>
      <c r="C8" s="57">
        <v>0.5</v>
      </c>
      <c r="D8" s="26">
        <f>D$7*$C$8</f>
        <v>9992108.120000001</v>
      </c>
      <c r="F8" s="89" t="s">
        <v>30</v>
      </c>
      <c r="G8" s="340">
        <f>'[7]Repartition globale'!$E$13</f>
        <v>517342.61926618079</v>
      </c>
      <c r="H8" s="26">
        <f>'[8]Repartition globale'!$D$8</f>
        <v>498830.08499999979</v>
      </c>
      <c r="I8" s="26">
        <f>D9+G8+H8</f>
        <v>11008280.82426618</v>
      </c>
      <c r="L8" s="341"/>
    </row>
    <row r="9" spans="1:13">
      <c r="B9" s="89" t="s">
        <v>30</v>
      </c>
      <c r="C9" s="57">
        <f>100%-C8</f>
        <v>0.5</v>
      </c>
      <c r="D9" s="26">
        <f>D$7*$C$9</f>
        <v>9992108.120000001</v>
      </c>
      <c r="E9" s="63"/>
      <c r="F9"/>
      <c r="G9"/>
      <c r="H9"/>
      <c r="L9" s="341"/>
    </row>
    <row r="10" spans="1:13" ht="27" customHeight="1">
      <c r="B10" s="90"/>
      <c r="C10" s="28"/>
      <c r="D10" s="28"/>
      <c r="E10" s="63"/>
    </row>
    <row r="11" spans="1:13" s="67" customFormat="1" ht="40.5" customHeight="1" thickBot="1">
      <c r="A11" s="467" t="s">
        <v>26</v>
      </c>
      <c r="B11" s="468"/>
      <c r="C11" s="65">
        <f>SUM(C13:C61)</f>
        <v>36905049.040000007</v>
      </c>
      <c r="D11" s="65">
        <f t="shared" ref="D11:M11" si="0">SUM(D13:D19)</f>
        <v>22995212.16</v>
      </c>
      <c r="E11" s="66">
        <f t="shared" si="0"/>
        <v>0.99999999999999989</v>
      </c>
      <c r="F11" s="65">
        <f>SUM(F13:F19)</f>
        <v>9992108.1200000029</v>
      </c>
      <c r="G11" s="66">
        <f t="shared" si="0"/>
        <v>1</v>
      </c>
      <c r="H11" s="65">
        <f t="shared" si="0"/>
        <v>9992108.120000001</v>
      </c>
      <c r="I11" s="65">
        <f>SUM(I13:I19)</f>
        <v>20088198.629999999</v>
      </c>
      <c r="J11" s="65">
        <f t="shared" si="0"/>
        <v>22891229.77</v>
      </c>
      <c r="K11" s="65">
        <f t="shared" si="0"/>
        <v>740505.93122400006</v>
      </c>
      <c r="L11" s="65">
        <f>SUM(L13:L19)</f>
        <v>32787320.279999997</v>
      </c>
      <c r="M11" s="66">
        <f t="shared" si="0"/>
        <v>1</v>
      </c>
    </row>
    <row r="12" spans="1:13" s="51" customFormat="1" ht="54" customHeight="1" thickTop="1">
      <c r="A12" s="99" t="s">
        <v>35</v>
      </c>
      <c r="B12" s="99" t="s">
        <v>22</v>
      </c>
      <c r="C12" s="99" t="s">
        <v>74</v>
      </c>
      <c r="D12" s="99" t="s">
        <v>81</v>
      </c>
      <c r="E12" s="99" t="s">
        <v>38</v>
      </c>
      <c r="F12" s="99" t="s">
        <v>23</v>
      </c>
      <c r="G12" s="99" t="s">
        <v>24</v>
      </c>
      <c r="H12" s="99" t="s">
        <v>25</v>
      </c>
      <c r="I12" s="99" t="s">
        <v>37</v>
      </c>
      <c r="J12" s="99" t="s">
        <v>26</v>
      </c>
      <c r="K12" s="99" t="s">
        <v>51</v>
      </c>
      <c r="L12" s="99" t="s">
        <v>75</v>
      </c>
      <c r="M12" s="99" t="s">
        <v>36</v>
      </c>
    </row>
    <row r="13" spans="1:13" ht="33.950000000000003" customHeight="1">
      <c r="A13" s="30">
        <v>1</v>
      </c>
      <c r="B13" s="374" t="str">
        <f>'Nv capital'!B11</f>
        <v>الواهج عمر بن يحي</v>
      </c>
      <c r="C13" s="60">
        <f>'Nv capital'!H11</f>
        <v>0</v>
      </c>
      <c r="D13" s="60">
        <f>'Nv capital'!I11</f>
        <v>0</v>
      </c>
      <c r="E13" s="61">
        <f t="shared" ref="E13:E18" si="1">D13/$D$11</f>
        <v>0</v>
      </c>
      <c r="F13" s="64">
        <f>$D$9*E13</f>
        <v>0</v>
      </c>
      <c r="G13" s="32">
        <v>1</v>
      </c>
      <c r="H13" s="31">
        <f>$D$8*G13</f>
        <v>9992108.120000001</v>
      </c>
      <c r="I13" s="60">
        <f>'Avances asso'!C6</f>
        <v>19888198.629999999</v>
      </c>
      <c r="J13" s="31">
        <f>C13+F13+H13-I13</f>
        <v>-9896090.5099999979</v>
      </c>
      <c r="K13" s="31"/>
      <c r="L13" s="31"/>
      <c r="M13" s="87">
        <f t="shared" ref="M13:M18" si="2">L13/$L$11</f>
        <v>0</v>
      </c>
    </row>
    <row r="14" spans="1:13" ht="33.950000000000003" customHeight="1">
      <c r="A14" s="30">
        <v>2</v>
      </c>
      <c r="B14" s="374" t="str">
        <f>'Nv capital'!B12</f>
        <v>بن عزوز مبخوتة</v>
      </c>
      <c r="C14" s="60">
        <f>'Nv capital'!H12</f>
        <v>10000000</v>
      </c>
      <c r="D14" s="60">
        <f>'Nv capital'!I12</f>
        <v>10000000</v>
      </c>
      <c r="E14" s="61">
        <f t="shared" si="1"/>
        <v>0.43487313491261997</v>
      </c>
      <c r="F14" s="64">
        <f t="shared" ref="F14:F18" si="3">$D$9*E14</f>
        <v>4345299.3825302459</v>
      </c>
      <c r="G14" s="33">
        <v>0</v>
      </c>
      <c r="H14" s="31">
        <f t="shared" ref="H14:H18" si="4">$D$8*G14</f>
        <v>0</v>
      </c>
      <c r="I14" s="31">
        <f>'Avances asso'!C9</f>
        <v>0</v>
      </c>
      <c r="J14" s="31">
        <f t="shared" ref="J14:J18" si="5">C14+F14+H14-I14</f>
        <v>14345299.382530246</v>
      </c>
      <c r="K14" s="31">
        <f>($J14-($E14*' Bilan cloture'!$D$6))*2.58%</f>
        <v>324270.081108919</v>
      </c>
      <c r="L14" s="31">
        <f>J14</f>
        <v>14345299.382530246</v>
      </c>
      <c r="M14" s="87">
        <f t="shared" si="2"/>
        <v>0.43752582583825139</v>
      </c>
    </row>
    <row r="15" spans="1:13" ht="33.950000000000003" customHeight="1">
      <c r="A15" s="30">
        <v>3</v>
      </c>
      <c r="B15" s="374" t="str">
        <f>'Nv capital'!B13</f>
        <v>كروشي الحاج بابهون</v>
      </c>
      <c r="C15" s="60">
        <f>'Nv capital'!H13</f>
        <v>10167921.17</v>
      </c>
      <c r="D15" s="60">
        <f>'Nv capital'!I13</f>
        <v>10167921.17</v>
      </c>
      <c r="E15" s="61">
        <f t="shared" si="1"/>
        <v>0.44217557547422948</v>
      </c>
      <c r="F15" s="64">
        <f t="shared" si="3"/>
        <v>4418266.1581617221</v>
      </c>
      <c r="G15" s="32">
        <v>0</v>
      </c>
      <c r="H15" s="31">
        <f t="shared" si="4"/>
        <v>0</v>
      </c>
      <c r="I15" s="31">
        <f>'Avances asso'!C8</f>
        <v>0</v>
      </c>
      <c r="J15" s="31">
        <f>C15+F15+H15-I15</f>
        <v>14586187.328161722</v>
      </c>
      <c r="K15" s="31">
        <f>($J15-($E15*' Bilan cloture'!$D$6))*2.58%</f>
        <v>329715.26225049945</v>
      </c>
      <c r="L15" s="31">
        <f t="shared" ref="L15:L18" si="6">J15</f>
        <v>14586187.328161722</v>
      </c>
      <c r="M15" s="87">
        <f t="shared" si="2"/>
        <v>0.4448728106962489</v>
      </c>
    </row>
    <row r="16" spans="1:13" ht="33.950000000000003" customHeight="1">
      <c r="A16" s="30">
        <v>4</v>
      </c>
      <c r="B16" s="374" t="str">
        <f>'Nv capital'!B14</f>
        <v>بوسربة ياسمينة</v>
      </c>
      <c r="C16" s="60">
        <f>'Nv capital'!H14</f>
        <v>607993.9</v>
      </c>
      <c r="D16" s="60">
        <f>'Nv capital'!I14</f>
        <v>607993.9</v>
      </c>
      <c r="E16" s="61">
        <f t="shared" si="1"/>
        <v>2.6440021330075E-2</v>
      </c>
      <c r="F16" s="64">
        <f t="shared" si="3"/>
        <v>264191.55182521563</v>
      </c>
      <c r="G16" s="32">
        <v>0</v>
      </c>
      <c r="H16" s="31">
        <f t="shared" si="4"/>
        <v>0</v>
      </c>
      <c r="I16" s="31">
        <f>'Avances asso'!C9</f>
        <v>0</v>
      </c>
      <c r="J16" s="31">
        <f t="shared" si="5"/>
        <v>872185.45182521571</v>
      </c>
      <c r="K16" s="31">
        <f>($J16-($E16*' Bilan cloture'!$D$6))*2.58%</f>
        <v>19715.423126672802</v>
      </c>
      <c r="L16" s="31">
        <f t="shared" si="6"/>
        <v>872185.45182521571</v>
      </c>
      <c r="M16" s="87">
        <f t="shared" si="2"/>
        <v>2.6601303320211926E-2</v>
      </c>
    </row>
    <row r="17" spans="1:13" ht="33.950000000000003" customHeight="1">
      <c r="A17" s="30">
        <v>5</v>
      </c>
      <c r="B17" s="374" t="str">
        <f>'Nv capital'!B15</f>
        <v>بعوشي رسثم</v>
      </c>
      <c r="C17" s="60">
        <f>'Nv capital'!C15</f>
        <v>1000000</v>
      </c>
      <c r="D17" s="60">
        <f>'Nv capital'!I15</f>
        <v>1000000</v>
      </c>
      <c r="E17" s="61">
        <f t="shared" si="1"/>
        <v>4.3487313491262003E-2</v>
      </c>
      <c r="F17" s="64">
        <f t="shared" si="3"/>
        <v>434529.93825302465</v>
      </c>
      <c r="G17" s="32">
        <v>0</v>
      </c>
      <c r="H17" s="31">
        <f t="shared" si="4"/>
        <v>0</v>
      </c>
      <c r="I17" s="31">
        <f>'Avances asso'!C10</f>
        <v>200000</v>
      </c>
      <c r="J17" s="31">
        <f t="shared" si="5"/>
        <v>1234529.9382530246</v>
      </c>
      <c r="K17" s="31">
        <f>($J17-($E17*' Bilan cloture'!$D$6))*2.58%</f>
        <v>27267.008110891897</v>
      </c>
      <c r="L17" s="31">
        <f t="shared" si="6"/>
        <v>1234529.9382530246</v>
      </c>
      <c r="M17" s="87">
        <f t="shared" si="2"/>
        <v>3.7652663520845217E-2</v>
      </c>
    </row>
    <row r="18" spans="1:13" ht="33.950000000000003" customHeight="1">
      <c r="A18" s="30">
        <v>6</v>
      </c>
      <c r="B18" s="374" t="str">
        <f>'Nv capital'!B16</f>
        <v>بوسريح نعيمة</v>
      </c>
      <c r="C18" s="60">
        <f>'Nv capital'!C16</f>
        <v>500000</v>
      </c>
      <c r="D18" s="60">
        <f>'Nv capital'!I16</f>
        <v>500000</v>
      </c>
      <c r="E18" s="61">
        <f t="shared" si="1"/>
        <v>2.1743656745631001E-2</v>
      </c>
      <c r="F18" s="64">
        <f t="shared" si="3"/>
        <v>217264.96912651233</v>
      </c>
      <c r="G18" s="32">
        <v>0</v>
      </c>
      <c r="H18" s="31">
        <f t="shared" si="4"/>
        <v>0</v>
      </c>
      <c r="I18" s="31">
        <f>'Avances asso'!C11</f>
        <v>0</v>
      </c>
      <c r="J18" s="31">
        <f t="shared" si="5"/>
        <v>717264.9691265123</v>
      </c>
      <c r="K18" s="31">
        <f>($J18-($E18*' Bilan cloture'!$D$6))*2.58%</f>
        <v>16213.504055445948</v>
      </c>
      <c r="L18" s="31">
        <f t="shared" si="6"/>
        <v>717264.9691265123</v>
      </c>
      <c r="M18" s="87">
        <f t="shared" si="2"/>
        <v>2.187629129191257E-2</v>
      </c>
    </row>
    <row r="19" spans="1:13" ht="33.950000000000003" customHeight="1">
      <c r="A19" s="30">
        <v>7</v>
      </c>
      <c r="B19" s="374" t="str">
        <f>'Nv capital'!B17</f>
        <v>بكاير حرمية بنت محمد</v>
      </c>
      <c r="C19" s="60">
        <f>'Nv capital'!C17</f>
        <v>719297.09</v>
      </c>
      <c r="D19" s="60">
        <f>'Nv capital'!I17</f>
        <v>719297.09</v>
      </c>
      <c r="E19" s="61">
        <f t="shared" ref="E19" si="7">D19/$D$11</f>
        <v>3.1280298046182493E-2</v>
      </c>
      <c r="F19" s="64">
        <f t="shared" ref="F19" si="8">$D$9*E19</f>
        <v>312556.12010328023</v>
      </c>
      <c r="G19" s="32">
        <v>0</v>
      </c>
      <c r="H19" s="31">
        <f t="shared" ref="H19" si="9">$D$8*G19</f>
        <v>0</v>
      </c>
      <c r="I19" s="31">
        <f>'Avances asso'!C12</f>
        <v>0</v>
      </c>
      <c r="J19" s="31">
        <f t="shared" ref="J19" si="10">C19+F19+H19-I19</f>
        <v>1031853.2101032801</v>
      </c>
      <c r="K19" s="31">
        <f>($J19-($E19*' Bilan cloture'!$D$6))*2.58%</f>
        <v>23324.652571570936</v>
      </c>
      <c r="L19" s="31">
        <f t="shared" ref="L19" si="11">J19</f>
        <v>1031853.2101032801</v>
      </c>
      <c r="M19" s="87">
        <f t="shared" ref="M19" si="12">L19/$L$11</f>
        <v>3.14711053325301E-2</v>
      </c>
    </row>
    <row r="20" spans="1:13" ht="35.25" customHeight="1">
      <c r="A20" s="30">
        <v>8</v>
      </c>
      <c r="B20" s="374" t="s">
        <v>244</v>
      </c>
      <c r="C20" s="60">
        <f>'Nv capital'!C18</f>
        <v>2183503.5299999998</v>
      </c>
      <c r="D20" s="60">
        <f>'Nv capital'!I18</f>
        <v>2183503.5299999998</v>
      </c>
      <c r="E20" s="61">
        <f t="shared" ref="E20" si="13">D20/$D$11</f>
        <v>9.4954702518387196E-2</v>
      </c>
      <c r="F20" s="64">
        <f t="shared" ref="F20" si="14">$D$9*E20</f>
        <v>948797.65406616125</v>
      </c>
      <c r="G20" s="32">
        <v>0</v>
      </c>
      <c r="H20" s="31">
        <f t="shared" ref="H20" si="15">$D$8*G20</f>
        <v>0</v>
      </c>
      <c r="I20" s="31">
        <f>'Avances asso'!C13</f>
        <v>0</v>
      </c>
      <c r="J20" s="31">
        <f t="shared" ref="J20" si="16">C20+F20+H20-I20</f>
        <v>3132301.184066161</v>
      </c>
      <c r="K20" s="31">
        <f>($J20-($E20*' Bilan cloture'!$D$6))*2.58%</f>
        <v>70804.486677471097</v>
      </c>
      <c r="L20" s="31">
        <f t="shared" ref="L20" si="17">J20</f>
        <v>3132301.184066161</v>
      </c>
      <c r="M20" s="87">
        <f t="shared" ref="M20" si="18">L20/$L$11</f>
        <v>9.5533918518398694E-2</v>
      </c>
    </row>
    <row r="21" spans="1:13" ht="33.950000000000003" customHeight="1">
      <c r="A21" s="30">
        <v>9</v>
      </c>
      <c r="B21" s="374" t="str">
        <f>'Nv capital'!B19</f>
        <v>لعساكر عبد الحميد</v>
      </c>
      <c r="C21" s="60">
        <f>'Nv capital'!C19</f>
        <v>1375263.99</v>
      </c>
      <c r="D21" s="60">
        <f>'Nv capital'!I19</f>
        <v>1375263.99</v>
      </c>
      <c r="E21" s="61">
        <f t="shared" ref="E21" si="19">D21/$D$11</f>
        <v>5.9806536266373805E-2</v>
      </c>
      <c r="F21" s="64">
        <f t="shared" ref="F21" si="20">$D$9*E21</f>
        <v>597593.37665630819</v>
      </c>
      <c r="G21" s="32">
        <v>0</v>
      </c>
      <c r="H21" s="31">
        <f t="shared" ref="H21" si="21">$D$8*G21</f>
        <v>0</v>
      </c>
      <c r="I21" s="31">
        <f>'Avances asso'!C14</f>
        <v>70000</v>
      </c>
      <c r="J21" s="31">
        <f t="shared" ref="J21" si="22">C21+F21+H21-I21</f>
        <v>1902857.3666563081</v>
      </c>
      <c r="K21" s="31">
        <f>($J21-($E21*' Bilan cloture'!$D$6))*2.58%</f>
        <v>42789.696558347554</v>
      </c>
      <c r="L21" s="31">
        <f t="shared" ref="L21" si="23">J21</f>
        <v>1902857.3666563081</v>
      </c>
      <c r="M21" s="87">
        <f t="shared" ref="M21" si="24">L21/$L$11</f>
        <v>5.803637962499289E-2</v>
      </c>
    </row>
    <row r="22" spans="1:13" ht="33.950000000000003" customHeight="1">
      <c r="A22" s="30">
        <v>10</v>
      </c>
      <c r="B22" s="374" t="str">
        <f>'Nv capital'!B20</f>
        <v>الواهج احمد</v>
      </c>
      <c r="C22" s="60">
        <f>'Nv capital'!C20</f>
        <v>708995.97</v>
      </c>
      <c r="D22" s="60">
        <f>'Nv capital'!I20</f>
        <v>708995.97</v>
      </c>
      <c r="E22" s="61">
        <f t="shared" ref="E22" si="25">D22/$D$11</f>
        <v>3.0832330011431389E-2</v>
      </c>
      <c r="F22" s="64">
        <f t="shared" ref="F22" si="26">$D$9*E22</f>
        <v>308079.97506574332</v>
      </c>
      <c r="G22" s="32">
        <v>0</v>
      </c>
      <c r="H22" s="31">
        <f t="shared" ref="H22" si="27">$D$8*G22</f>
        <v>0</v>
      </c>
      <c r="I22" s="31">
        <f>'Avances asso'!C15</f>
        <v>0</v>
      </c>
      <c r="J22" s="31">
        <f t="shared" ref="J22" si="28">C22+F22+H22-I22</f>
        <v>1017075.9450657433</v>
      </c>
      <c r="K22" s="31">
        <f>($J22-($E22*' Bilan cloture'!$D$6))*2.58%</f>
        <v>22990.61806977967</v>
      </c>
      <c r="L22" s="31">
        <f t="shared" ref="L22" si="29">J22</f>
        <v>1017075.9450657433</v>
      </c>
      <c r="M22" s="87">
        <f t="shared" ref="M22" si="30">L22/$L$11</f>
        <v>3.102040472902421E-2</v>
      </c>
    </row>
    <row r="23" spans="1:13" ht="33.950000000000003" customHeight="1">
      <c r="A23" s="30">
        <v>11</v>
      </c>
      <c r="B23" s="374" t="str">
        <f>'Nv capital'!B21</f>
        <v>مبروك مبروك طولقة</v>
      </c>
      <c r="C23" s="60">
        <f>'Nv capital'!C21</f>
        <v>3000000</v>
      </c>
      <c r="D23" s="60">
        <f>'Nv capital'!I21</f>
        <v>3000000</v>
      </c>
      <c r="E23" s="61">
        <f t="shared" ref="E23" si="31">D23/$D$11</f>
        <v>0.13046194047378601</v>
      </c>
      <c r="F23" s="64">
        <f t="shared" ref="F23" si="32">$D$9*E23</f>
        <v>1303589.814759074</v>
      </c>
      <c r="G23" s="32">
        <v>0</v>
      </c>
      <c r="H23" s="31">
        <f t="shared" ref="H23" si="33">$D$8*G23</f>
        <v>0</v>
      </c>
      <c r="I23" s="31">
        <f>'Avances asso'!C16</f>
        <v>0</v>
      </c>
      <c r="J23" s="31">
        <f t="shared" ref="J23" si="34">C23+F23+H23-I23</f>
        <v>4303589.8147590738</v>
      </c>
      <c r="K23" s="31">
        <f>($J23-($E23*' Bilan cloture'!$D$6))*2.58%</f>
        <v>97281.02433267569</v>
      </c>
      <c r="L23" s="31">
        <f t="shared" ref="L23" si="35">J23</f>
        <v>4303589.8147590738</v>
      </c>
      <c r="M23" s="87">
        <f t="shared" ref="M23" si="36">L23/$L$11</f>
        <v>0.13125774775147542</v>
      </c>
    </row>
    <row r="24" spans="1:13" ht="33.950000000000003" customHeight="1">
      <c r="A24" s="30">
        <v>12</v>
      </c>
      <c r="B24" s="374" t="str">
        <f>'Nv capital'!B22</f>
        <v>بن يامي فؤاد بن علي</v>
      </c>
      <c r="C24" s="60">
        <f>'Nv capital'!C22</f>
        <v>340739.85</v>
      </c>
      <c r="D24" s="60">
        <f>'Nv capital'!I22</f>
        <v>340739.85</v>
      </c>
      <c r="E24" s="61">
        <f t="shared" ref="E24" si="37">D24/$D$11</f>
        <v>1.481786067591559E-2</v>
      </c>
      <c r="F24" s="64">
        <f t="shared" ref="F24" si="38">$D$9*E24</f>
        <v>148061.66598084487</v>
      </c>
      <c r="G24" s="32">
        <v>0</v>
      </c>
      <c r="H24" s="31">
        <f t="shared" ref="H24" si="39">$D$8*G24</f>
        <v>0</v>
      </c>
      <c r="I24" s="31">
        <f>'Avances asso'!C17</f>
        <v>0</v>
      </c>
      <c r="J24" s="31">
        <f t="shared" ref="J24" si="40">C24+F24+H24-I24</f>
        <v>488801.51598084485</v>
      </c>
      <c r="K24" s="31">
        <f>($J24-($E24*' Bilan cloture'!$D$6))*2.58%</f>
        <v>11049.173879654089</v>
      </c>
      <c r="L24" s="31">
        <f t="shared" ref="L24" si="41">J24</f>
        <v>488801.51598084485</v>
      </c>
      <c r="M24" s="87">
        <f t="shared" ref="M24" si="42">L24/$L$11</f>
        <v>1.4908248426725189E-2</v>
      </c>
    </row>
    <row r="25" spans="1:13" ht="33.950000000000003" customHeight="1">
      <c r="A25" s="30">
        <v>13</v>
      </c>
      <c r="B25" s="374" t="str">
        <f>'Nv capital'!B23</f>
        <v>الواهج اسية</v>
      </c>
      <c r="C25" s="60">
        <f>'Nv capital'!C23</f>
        <v>513448.84</v>
      </c>
      <c r="D25" s="60">
        <f>'Nv capital'!I23</f>
        <v>513448.84</v>
      </c>
      <c r="E25" s="61">
        <f t="shared" ref="E25:E26" si="43">D25/$D$11</f>
        <v>2.2328510666804826E-2</v>
      </c>
      <c r="F25" s="64">
        <f t="shared" ref="F25:F26" si="44">$D$9*E25</f>
        <v>223108.89274128713</v>
      </c>
      <c r="G25" s="32">
        <v>0</v>
      </c>
      <c r="H25" s="31">
        <f t="shared" ref="H25:H26" si="45">$D$8*G25</f>
        <v>0</v>
      </c>
      <c r="I25" s="31">
        <f>'Avances asso'!C18</f>
        <v>150000</v>
      </c>
      <c r="J25" s="31">
        <f t="shared" ref="J25:J27" si="46">C25+F25+H25-I25</f>
        <v>586557.73274128721</v>
      </c>
      <c r="K25" s="31">
        <f>($J25-($E25*' Bilan cloture'!$D$6))*2.58%</f>
        <v>12779.60969920804</v>
      </c>
      <c r="L25" s="31">
        <f t="shared" ref="L25:L26" si="47">J25</f>
        <v>586557.73274128721</v>
      </c>
      <c r="M25" s="87">
        <f t="shared" ref="M25:M26" si="48">L25/$L$11</f>
        <v>1.7889773477434284E-2</v>
      </c>
    </row>
    <row r="26" spans="1:13" ht="33.950000000000003" customHeight="1">
      <c r="A26" s="431">
        <v>14</v>
      </c>
      <c r="B26" s="374" t="str">
        <f>'Nv capital'!B24</f>
        <v>صالح والحاج خوخة</v>
      </c>
      <c r="C26" s="60">
        <f>'Nv capital'!C24</f>
        <v>72123.070000000007</v>
      </c>
      <c r="D26" s="60">
        <f>'Nv capital'!I24</f>
        <v>72123.070000000007</v>
      </c>
      <c r="E26" s="61">
        <f t="shared" si="43"/>
        <v>3.136438555042234E-3</v>
      </c>
      <c r="F26" s="64">
        <f t="shared" si="44"/>
        <v>31339.633153718576</v>
      </c>
      <c r="G26" s="32">
        <v>0</v>
      </c>
      <c r="H26" s="31">
        <f t="shared" si="45"/>
        <v>0</v>
      </c>
      <c r="I26" s="31">
        <f>'Avances asso'!C19</f>
        <v>0</v>
      </c>
      <c r="J26" s="31">
        <f t="shared" si="46"/>
        <v>103462.70315371858</v>
      </c>
      <c r="K26" s="31">
        <f>($J26-($E26*' Bilan cloture'!$D$6))*2.58%</f>
        <v>2338.7353758724244</v>
      </c>
      <c r="L26" s="31">
        <f t="shared" si="47"/>
        <v>103462.70315371858</v>
      </c>
      <c r="M26" s="87">
        <f t="shared" si="48"/>
        <v>3.1555705763740014E-3</v>
      </c>
    </row>
    <row r="27" spans="1:13" ht="33.950000000000003" customHeight="1">
      <c r="A27" s="431">
        <v>15</v>
      </c>
      <c r="B27" s="374" t="str">
        <f>'Nv capital'!B25</f>
        <v>الواهج مامة</v>
      </c>
      <c r="C27" s="60">
        <f>'Nv capital'!E25</f>
        <v>500000</v>
      </c>
      <c r="D27" s="60">
        <f>'Nv capital'!I25</f>
        <v>234693.87755102041</v>
      </c>
      <c r="E27" s="61">
        <f t="shared" ref="E27" si="49">D27/$D$11</f>
        <v>1.0206206227541082E-2</v>
      </c>
      <c r="F27" s="64">
        <f t="shared" ref="F27" si="50">$D$9*E27</f>
        <v>101981.51612060782</v>
      </c>
      <c r="G27" s="32">
        <v>0</v>
      </c>
      <c r="H27" s="31">
        <f t="shared" ref="H27" si="51">$D$8*G27</f>
        <v>0</v>
      </c>
      <c r="I27" s="31">
        <f>'Avances asso'!C20</f>
        <v>0</v>
      </c>
      <c r="J27" s="31">
        <f t="shared" si="46"/>
        <v>601981.51612060785</v>
      </c>
      <c r="K27" s="31">
        <f>($J27-($E27*' Bilan cloture'!$D$6))*2.58%</f>
        <v>14455.318230107283</v>
      </c>
      <c r="L27" s="31">
        <f t="shared" ref="L27" si="52">J27</f>
        <v>601981.51612060785</v>
      </c>
      <c r="M27" s="87">
        <f t="shared" ref="M27" si="53">L27/$L$11</f>
        <v>1.836019262872824E-2</v>
      </c>
    </row>
    <row r="28" spans="1:13" ht="33.950000000000003" customHeight="1">
      <c r="A28" s="430">
        <v>16</v>
      </c>
      <c r="B28" s="374" t="str">
        <f>'Nv capital'!B26</f>
        <v>صالح والحاج فاطمة</v>
      </c>
      <c r="C28" s="60">
        <f>'Nv capital'!C26</f>
        <v>22034.67</v>
      </c>
      <c r="D28" s="60">
        <f>'Nv capital'!I26</f>
        <v>22034.67</v>
      </c>
      <c r="E28" s="61">
        <f t="shared" ref="E28" si="54">D28/$D$11</f>
        <v>9.5822860196650593E-4</v>
      </c>
      <c r="F28" s="64">
        <f t="shared" ref="F28" si="55">$D$9*E28</f>
        <v>9574.723794525773</v>
      </c>
      <c r="G28" s="32">
        <v>0</v>
      </c>
      <c r="H28" s="31">
        <f t="shared" ref="H28" si="56">$D$8*G28</f>
        <v>0</v>
      </c>
      <c r="I28" s="31">
        <f>'Avances asso'!C21</f>
        <v>0</v>
      </c>
      <c r="J28" s="31">
        <f t="shared" ref="J28" si="57">C28+F28+H28-I28</f>
        <v>31609.393794525771</v>
      </c>
      <c r="K28" s="31">
        <f>($J28-($E28*' Bilan cloture'!$D$6))*2.58%</f>
        <v>714.51842281082634</v>
      </c>
      <c r="L28" s="31">
        <f t="shared" ref="L28" si="58">J28</f>
        <v>31609.393794525771</v>
      </c>
      <c r="M28" s="87">
        <f t="shared" ref="M28" si="59">L28/$L$11</f>
        <v>9.6407371888233416E-4</v>
      </c>
    </row>
    <row r="29" spans="1:13" ht="33.950000000000003" customHeight="1">
      <c r="A29" s="430">
        <v>17</v>
      </c>
      <c r="B29" s="374" t="str">
        <f>'Nv capital'!B27</f>
        <v>موسى المال سليمان</v>
      </c>
      <c r="C29" s="60">
        <f>'Nv capital'!C27</f>
        <v>642035.44999999995</v>
      </c>
      <c r="D29" s="60">
        <f>'Nv capital'!I27</f>
        <v>642035.44999999995</v>
      </c>
      <c r="E29" s="61">
        <f t="shared" ref="E29" si="60">D29/$D$11</f>
        <v>2.7920396886653466E-2</v>
      </c>
      <c r="F29" s="64">
        <f t="shared" ref="F29" si="61">$D$9*E29</f>
        <v>278983.62444475287</v>
      </c>
      <c r="G29" s="32">
        <v>0</v>
      </c>
      <c r="H29" s="31">
        <f t="shared" ref="H29" si="62">$D$8*G29</f>
        <v>0</v>
      </c>
      <c r="I29" s="31">
        <f>'Avances asso'!C22</f>
        <v>0</v>
      </c>
      <c r="J29" s="31">
        <f t="shared" ref="J29" si="63">C29+F29+H29-I29</f>
        <v>921019.07444475289</v>
      </c>
      <c r="K29" s="31">
        <f>($J29-($E29*' Bilan cloture'!$D$6))*2.58%</f>
        <v>20819.288744630132</v>
      </c>
      <c r="L29" s="31">
        <f t="shared" ref="L29" si="64">J29</f>
        <v>921019.07444475289</v>
      </c>
      <c r="M29" s="87">
        <f t="shared" ref="M29" si="65">L29/$L$11</f>
        <v>2.8090709047868336E-2</v>
      </c>
    </row>
    <row r="30" spans="1:13" ht="33.950000000000003" customHeight="1">
      <c r="A30" s="430">
        <v>18</v>
      </c>
      <c r="B30" s="374" t="str">
        <f>'Nv capital'!B28</f>
        <v>باسليمان محمد بن صالح</v>
      </c>
      <c r="C30" s="60">
        <f>'Nv capital'!C28</f>
        <v>403492.59</v>
      </c>
      <c r="D30" s="60">
        <f>'Nv capital'!I28</f>
        <v>403492.59</v>
      </c>
      <c r="E30" s="61">
        <f t="shared" ref="E30" si="66">D30/$D$11</f>
        <v>1.7546808752731249E-2</v>
      </c>
      <c r="F30" s="64">
        <f t="shared" ref="F30" si="67">$D$9*E30</f>
        <v>175329.61021825302</v>
      </c>
      <c r="G30" s="32">
        <v>0</v>
      </c>
      <c r="H30" s="31">
        <f t="shared" ref="H30" si="68">$D$8*G30</f>
        <v>0</v>
      </c>
      <c r="I30" s="31">
        <f>'Avances asso'!C23</f>
        <v>0</v>
      </c>
      <c r="J30" s="31">
        <f t="shared" ref="J30" si="69">C30+F30+H30-I30</f>
        <v>578822.20021825307</v>
      </c>
      <c r="K30" s="31">
        <f>($J30-($E30*' Bilan cloture'!$D$6))*2.58%</f>
        <v>13084.057488614781</v>
      </c>
      <c r="L30" s="31">
        <f t="shared" ref="L30" si="70">J30</f>
        <v>578822.20021825307</v>
      </c>
      <c r="M30" s="87">
        <f t="shared" ref="M30" si="71">L30/$L$11</f>
        <v>1.7653842865936499E-2</v>
      </c>
    </row>
    <row r="31" spans="1:13" ht="33.950000000000003" customHeight="1">
      <c r="A31" s="430">
        <v>19</v>
      </c>
      <c r="B31" s="374" t="str">
        <f>'Nv capital'!B29</f>
        <v>بن يامي اسلام بن حمزة</v>
      </c>
      <c r="C31" s="60">
        <f>'Nv capital'!E29</f>
        <v>70000</v>
      </c>
      <c r="D31" s="60">
        <f>'Nv capital'!I29</f>
        <v>54761.904761904763</v>
      </c>
      <c r="E31" s="61">
        <f t="shared" ref="E31" si="72">D31/$D$11</f>
        <v>2.3814481197595859E-3</v>
      </c>
      <c r="F31" s="64">
        <f t="shared" ref="F31" si="73">$D$9*E31</f>
        <v>23795.687094808494</v>
      </c>
      <c r="G31" s="32">
        <v>0</v>
      </c>
      <c r="H31" s="31">
        <f t="shared" ref="H31" si="74">$D$8*G31</f>
        <v>0</v>
      </c>
      <c r="I31" s="31">
        <f>'Avances asso'!C24</f>
        <v>0</v>
      </c>
      <c r="J31" s="31">
        <f t="shared" ref="J31" si="75">C31+F31+H31-I31</f>
        <v>93795.687094808498</v>
      </c>
      <c r="K31" s="31">
        <f>($J31-($E31*' Bilan cloture'!$D$6))*2.58%</f>
        <v>2168.9075870250326</v>
      </c>
      <c r="L31" s="31">
        <f t="shared" ref="L31" si="76">J31</f>
        <v>93795.687094808498</v>
      </c>
      <c r="M31" s="87">
        <f t="shared" ref="M31" si="77">L31/$L$11</f>
        <v>2.8607304986746087E-3</v>
      </c>
    </row>
    <row r="32" spans="1:13" ht="33.950000000000003" customHeight="1">
      <c r="A32" s="430">
        <v>20</v>
      </c>
      <c r="B32" s="374" t="str">
        <f>'Nv capital'!B30</f>
        <v>بن يامي محمد بن حمزة</v>
      </c>
      <c r="C32" s="60">
        <f>'Nv capital'!E30</f>
        <v>100000</v>
      </c>
      <c r="D32" s="60">
        <f>'Nv capital'!I30</f>
        <v>78231.292517006805</v>
      </c>
      <c r="E32" s="61">
        <f t="shared" ref="E32" si="78">D32/$D$11</f>
        <v>3.402068742513694E-3</v>
      </c>
      <c r="F32" s="64">
        <f t="shared" ref="F32" si="79">$D$9*E32</f>
        <v>33993.838706869275</v>
      </c>
      <c r="G32" s="32">
        <v>0</v>
      </c>
      <c r="H32" s="31">
        <f t="shared" ref="H32" si="80">$D$8*G32</f>
        <v>0</v>
      </c>
      <c r="I32" s="31">
        <f>'Avances asso'!C25</f>
        <v>0</v>
      </c>
      <c r="J32" s="31">
        <f t="shared" ref="J32" si="81">C32+F32+H32-I32</f>
        <v>133993.83870686928</v>
      </c>
      <c r="K32" s="31">
        <f>($J32-($E32*' Bilan cloture'!$D$6))*2.58%</f>
        <v>3098.4394100357608</v>
      </c>
      <c r="L32" s="31">
        <f t="shared" ref="L32" si="82">J32</f>
        <v>133993.83870686928</v>
      </c>
      <c r="M32" s="87">
        <f t="shared" ref="M32" si="83">L32/$L$11</f>
        <v>4.0867578552494406E-3</v>
      </c>
    </row>
    <row r="33" spans="1:13" ht="33.950000000000003" customHeight="1">
      <c r="A33" s="430">
        <v>21</v>
      </c>
      <c r="B33" s="374" t="str">
        <f>'Nv capital'!B31</f>
        <v>خن لقمان</v>
      </c>
      <c r="C33" s="60">
        <f>'Nv capital'!E31</f>
        <v>110310</v>
      </c>
      <c r="D33" s="60">
        <f>'Nv capital'!I31</f>
        <v>60282.789115646257</v>
      </c>
      <c r="E33" s="61">
        <f t="shared" ref="E33" si="84">D33/$D$11</f>
        <v>2.6215365483997456E-3</v>
      </c>
      <c r="F33" s="64">
        <f t="shared" ref="F33" si="85">$D$9*E33</f>
        <v>26194.676632141873</v>
      </c>
      <c r="G33" s="32">
        <v>0</v>
      </c>
      <c r="H33" s="31">
        <f t="shared" ref="H33" si="86">$D$8*G33</f>
        <v>0</v>
      </c>
      <c r="I33" s="31">
        <f>'Avances asso'!C26</f>
        <v>0</v>
      </c>
      <c r="J33" s="31">
        <f t="shared" ref="J33" si="87">C33+F33+H33-I33</f>
        <v>136504.67663214187</v>
      </c>
      <c r="K33" s="31">
        <f>($J33-($E33*' Bilan cloture'!$D$6))*2.58%</f>
        <v>3245.4925324165733</v>
      </c>
      <c r="L33" s="31">
        <f t="shared" ref="L33" si="88">J33</f>
        <v>136504.67663214187</v>
      </c>
      <c r="M33" s="87">
        <f t="shared" ref="M33" si="89">L33/$L$11</f>
        <v>4.1633373958715565E-3</v>
      </c>
    </row>
    <row r="34" spans="1:13" ht="33.950000000000003" customHeight="1">
      <c r="A34" s="430">
        <v>22</v>
      </c>
      <c r="B34" s="374" t="str">
        <f>'Nv capital'!B32</f>
        <v>مدرسة فسايل الامل</v>
      </c>
      <c r="C34" s="60">
        <f>'Nv capital'!E32</f>
        <v>1200000</v>
      </c>
      <c r="D34" s="60">
        <f>'Nv capital'!I32</f>
        <v>927891.15646258509</v>
      </c>
      <c r="E34" s="61">
        <f t="shared" ref="E34" si="90">D34/$D$11</f>
        <v>4.0351493606858073E-2</v>
      </c>
      <c r="F34" s="64">
        <f t="shared" ref="F34" si="91">$D$9*E34</f>
        <v>403196.48692321469</v>
      </c>
      <c r="G34" s="32">
        <v>0</v>
      </c>
      <c r="H34" s="31">
        <f t="shared" ref="H34" si="92">$D$8*G34</f>
        <v>0</v>
      </c>
      <c r="I34" s="31">
        <f>'Avances asso'!C27</f>
        <v>0</v>
      </c>
      <c r="J34" s="31">
        <f t="shared" ref="J34" si="93">C34+F34+H34-I34</f>
        <v>1603196.4869232147</v>
      </c>
      <c r="K34" s="31">
        <f>($J34-($E34*' Bilan cloture'!$D$6))*2.58%</f>
        <v>37109.142219902416</v>
      </c>
      <c r="L34" s="31">
        <f t="shared" ref="L34" si="94">J34</f>
        <v>1603196.4869232147</v>
      </c>
      <c r="M34" s="87">
        <f t="shared" ref="M34" si="95">L34/$L$11</f>
        <v>4.8896844061426747E-2</v>
      </c>
    </row>
    <row r="35" spans="1:13" ht="33.950000000000003" customHeight="1">
      <c r="A35" s="430">
        <v>23</v>
      </c>
      <c r="B35" s="374" t="str">
        <f>'Nv capital'!B33</f>
        <v>الواهج فاطمة الزهراء</v>
      </c>
      <c r="C35" s="60">
        <f>'Nv capital'!E33</f>
        <v>100000</v>
      </c>
      <c r="D35" s="60">
        <f>'Nv capital'!I33</f>
        <v>5668.9342403628125</v>
      </c>
      <c r="E35" s="61">
        <f t="shared" ref="E35" si="96">D35/$D$11</f>
        <v>2.4652672047200682E-4</v>
      </c>
      <c r="F35" s="64">
        <f t="shared" ref="F35" si="97">$D$9*E35</f>
        <v>2463.3216454253097</v>
      </c>
      <c r="G35" s="32">
        <v>0</v>
      </c>
      <c r="H35" s="31">
        <f t="shared" ref="H35" si="98">$D$8*G35</f>
        <v>0</v>
      </c>
      <c r="I35" s="31">
        <f>'Avances asso'!C28</f>
        <v>0</v>
      </c>
      <c r="J35" s="31">
        <f t="shared" ref="J35" si="99">C35+F35+H35-I35</f>
        <v>102463.32164542531</v>
      </c>
      <c r="K35" s="31">
        <f>($J35-($E35*' Bilan cloture'!$D$6))*2.58%</f>
        <v>2617.568073190997</v>
      </c>
      <c r="L35" s="31">
        <f t="shared" ref="L35" si="100">J35</f>
        <v>102463.32164542531</v>
      </c>
      <c r="M35" s="87">
        <f t="shared" ref="M35" si="101">L35/$L$11</f>
        <v>3.125089844805863E-3</v>
      </c>
    </row>
    <row r="36" spans="1:13" ht="33.950000000000003" customHeight="1">
      <c r="A36" s="430">
        <v>24</v>
      </c>
      <c r="B36" s="374" t="str">
        <f>'Nv capital'!B34</f>
        <v>الواهج لالة</v>
      </c>
      <c r="C36" s="60">
        <f>'Nv capital'!E34</f>
        <v>180000</v>
      </c>
      <c r="D36" s="60">
        <f>'Nv capital'!I34</f>
        <v>94693.8775510204</v>
      </c>
      <c r="E36" s="61">
        <f t="shared" ref="E36" si="102">D36/$D$11</f>
        <v>4.1179823387644011E-3</v>
      </c>
      <c r="F36" s="64">
        <f t="shared" ref="F36" si="103">$D$9*E36</f>
        <v>41147.32476518437</v>
      </c>
      <c r="G36" s="32">
        <v>0</v>
      </c>
      <c r="H36" s="31">
        <f t="shared" ref="H36" si="104">$D$8*G36</f>
        <v>0</v>
      </c>
      <c r="I36" s="31">
        <f>'Avances asso'!C29</f>
        <v>0</v>
      </c>
      <c r="J36" s="31">
        <f t="shared" ref="J36" si="105">C36+F36+H36-I36</f>
        <v>221147.32476518437</v>
      </c>
      <c r="K36" s="31">
        <f>($J36-($E36*' Bilan cloture'!$D$6))*2.58%</f>
        <v>5271.5370945824161</v>
      </c>
      <c r="L36" s="31">
        <f t="shared" ref="L36" si="106">J36</f>
        <v>221147.32476518437</v>
      </c>
      <c r="M36" s="87">
        <f t="shared" ref="M36" si="107">L36/$L$11</f>
        <v>6.7449039103107938E-3</v>
      </c>
    </row>
    <row r="37" spans="1:13" ht="33.950000000000003" customHeight="1">
      <c r="A37" s="430">
        <v>25</v>
      </c>
      <c r="B37" s="374" t="str">
        <f>'Nv capital'!B35</f>
        <v>صالح والحاج ادريس بن سليمان</v>
      </c>
      <c r="C37" s="60">
        <f>'Nv capital'!E35</f>
        <v>100000</v>
      </c>
      <c r="D37" s="60">
        <f>'Nv capital'!I35</f>
        <v>21768.707482993195</v>
      </c>
      <c r="E37" s="61">
        <f t="shared" ref="E37" si="108">D37/$D$11</f>
        <v>9.4666260661250602E-4</v>
      </c>
      <c r="F37" s="64">
        <f t="shared" ref="F37" si="109">$D$9*E37</f>
        <v>9459.1551184331875</v>
      </c>
      <c r="G37" s="32">
        <v>0</v>
      </c>
      <c r="H37" s="31">
        <f t="shared" ref="H37" si="110">$D$8*G37</f>
        <v>0</v>
      </c>
      <c r="I37" s="31">
        <f>'Avances asso'!C30</f>
        <v>0</v>
      </c>
      <c r="J37" s="31">
        <f t="shared" ref="J37" si="111">C37+F37+H37-I37</f>
        <v>109459.15511843319</v>
      </c>
      <c r="K37" s="31">
        <f>($J37-($E37*' Bilan cloture'!$D$6))*2.58%</f>
        <v>2724.2614010534294</v>
      </c>
      <c r="L37" s="31">
        <f t="shared" ref="L37" si="112">J37</f>
        <v>109459.15511843319</v>
      </c>
      <c r="M37" s="87">
        <f t="shared" ref="M37" si="113">L37/$L$11</f>
        <v>3.3384599346230315E-3</v>
      </c>
    </row>
    <row r="38" spans="1:13" ht="33.950000000000003" customHeight="1">
      <c r="A38" s="430">
        <v>26</v>
      </c>
      <c r="B38" s="374" t="str">
        <f>'Nv capital'!B36</f>
        <v>صالح والحاج  سليمان بن عمر</v>
      </c>
      <c r="C38" s="60">
        <f>'Nv capital'!E36</f>
        <v>100000</v>
      </c>
      <c r="D38" s="60">
        <f>'Nv capital'!I36</f>
        <v>90249.433106575962</v>
      </c>
      <c r="E38" s="61">
        <f t="shared" ref="E38" si="114">D38/$D$11</f>
        <v>3.9247053899143479E-3</v>
      </c>
      <c r="F38" s="64">
        <f t="shared" ref="F38" si="115">$D$9*E38</f>
        <v>39216.080595170926</v>
      </c>
      <c r="G38" s="32">
        <v>0</v>
      </c>
      <c r="H38" s="31">
        <f t="shared" ref="H38" si="116">$D$8*G38</f>
        <v>0</v>
      </c>
      <c r="I38" s="31">
        <f>'Avances asso'!C31</f>
        <v>0</v>
      </c>
      <c r="J38" s="31">
        <f t="shared" ref="J38" si="117">C38+F38+H38-I38</f>
        <v>139216.08059517093</v>
      </c>
      <c r="K38" s="31">
        <f>($J38-($E38*' Bilan cloture'!$D$6))*2.58%</f>
        <v>3178.083725200675</v>
      </c>
      <c r="L38" s="31">
        <f t="shared" ref="L38" si="118">J38</f>
        <v>139216.08059517093</v>
      </c>
      <c r="M38" s="87">
        <f t="shared" ref="M38" si="119">L38/$L$11</f>
        <v>4.2460341194791584E-3</v>
      </c>
    </row>
    <row r="39" spans="1:13" ht="33.950000000000003" customHeight="1">
      <c r="A39" s="430">
        <v>27</v>
      </c>
      <c r="B39" s="374" t="str">
        <f>'Nv capital'!B37</f>
        <v>صالح والحاج سليمان ين عمر</v>
      </c>
      <c r="C39" s="60">
        <f>'Nv capital'!E37</f>
        <v>500000</v>
      </c>
      <c r="D39" s="60">
        <f>'Nv capital'!I37</f>
        <v>157596.37188208615</v>
      </c>
      <c r="E39" s="61">
        <f t="shared" ref="E39" si="120">D39/$D$11</f>
        <v>6.8534428291217881E-3</v>
      </c>
      <c r="F39" s="64">
        <f t="shared" ref="F39" si="121">$D$9*E39</f>
        <v>68480.341742823599</v>
      </c>
      <c r="G39" s="32">
        <v>0</v>
      </c>
      <c r="H39" s="31">
        <f t="shared" ref="H39" si="122">$D$8*G39</f>
        <v>0</v>
      </c>
      <c r="I39" s="31">
        <f>'Avances asso'!C32</f>
        <v>0</v>
      </c>
      <c r="J39" s="31">
        <f t="shared" ref="J39" si="123">C39+F39+H39-I39</f>
        <v>568480.3417428236</v>
      </c>
      <c r="K39" s="31">
        <f>($J39-($E39*' Bilan cloture'!$D$6))*2.58%</f>
        <v>13944.392434709722</v>
      </c>
      <c r="L39" s="31">
        <f t="shared" ref="L39" si="124">J39</f>
        <v>568480.3417428236</v>
      </c>
      <c r="M39" s="87">
        <f t="shared" ref="M39" si="125">L39/$L$11</f>
        <v>1.7338420367631936E-2</v>
      </c>
    </row>
    <row r="40" spans="1:13" ht="33.950000000000003" customHeight="1">
      <c r="A40" s="430">
        <v>28</v>
      </c>
      <c r="B40" s="374" t="str">
        <f>'Nv capital'!B38</f>
        <v>طالب باحمد نانة</v>
      </c>
      <c r="C40" s="60">
        <f>'Nv capital'!E38</f>
        <v>40000</v>
      </c>
      <c r="D40" s="60">
        <f>'Nv capital'!I38</f>
        <v>21859.410430839001</v>
      </c>
      <c r="E40" s="61">
        <f t="shared" ref="E40" si="126">D40/$D$11</f>
        <v>9.506070341400582E-4</v>
      </c>
      <c r="F40" s="64">
        <f t="shared" ref="F40" si="127">$D$9*E40</f>
        <v>9498.5682647599933</v>
      </c>
      <c r="G40" s="32">
        <v>0</v>
      </c>
      <c r="H40" s="31">
        <f t="shared" ref="H40" si="128">$D$8*G40</f>
        <v>0</v>
      </c>
      <c r="I40" s="31">
        <f>'Avances asso'!C33</f>
        <v>0</v>
      </c>
      <c r="J40" s="31">
        <f t="shared" ref="J40" si="129">C40+F40+H40-I40</f>
        <v>49498.56826475999</v>
      </c>
      <c r="K40" s="31">
        <f>($J40-($E40*' Bilan cloture'!$D$6))*2.58%</f>
        <v>1176.8624902244849</v>
      </c>
      <c r="L40" s="31">
        <f t="shared" ref="L40" si="130">J40</f>
        <v>49498.56826475999</v>
      </c>
      <c r="M40" s="87">
        <f t="shared" ref="M40" si="131">L40/$L$11</f>
        <v>1.509686300742111E-3</v>
      </c>
    </row>
    <row r="41" spans="1:13" ht="33.950000000000003" customHeight="1">
      <c r="A41" s="430">
        <v>29</v>
      </c>
      <c r="B41" s="374" t="str">
        <f>'Nv capital'!B39</f>
        <v>النادي الرياضي فسائل الامل</v>
      </c>
      <c r="C41" s="60">
        <f>'Nv capital'!E39</f>
        <v>100000</v>
      </c>
      <c r="D41" s="60">
        <f>'Nv capital'!I39</f>
        <v>73696.145124716553</v>
      </c>
      <c r="E41" s="61">
        <f t="shared" ref="E41" si="132">D41/$D$11</f>
        <v>3.2048473661360883E-3</v>
      </c>
      <c r="F41" s="64">
        <f t="shared" ref="F41" si="133">$D$9*E41</f>
        <v>32023.181390529026</v>
      </c>
      <c r="G41" s="32">
        <v>0</v>
      </c>
      <c r="H41" s="31">
        <f t="shared" ref="H41" si="134">$D$8*G41</f>
        <v>0</v>
      </c>
      <c r="I41" s="31">
        <f>'Avances asso'!C34</f>
        <v>0</v>
      </c>
      <c r="J41" s="31">
        <f t="shared" ref="J41" si="135">C41+F41+H41-I41</f>
        <v>132023.18139052903</v>
      </c>
      <c r="K41" s="31">
        <f>($J41-($E41*' Bilan cloture'!$D$6))*2.58%</f>
        <v>3068.3849514829631</v>
      </c>
      <c r="L41" s="31">
        <f t="shared" ref="L41" si="136">J41</f>
        <v>132023.18139052903</v>
      </c>
      <c r="M41" s="87">
        <f t="shared" ref="M41" si="137">L41/$L$11</f>
        <v>4.0266536045967171E-3</v>
      </c>
    </row>
    <row r="42" spans="1:13" ht="33.950000000000003" customHeight="1">
      <c r="A42" s="430">
        <v>30</v>
      </c>
      <c r="B42" s="374" t="str">
        <f>'Nv capital'!B40</f>
        <v>الواهج عمر بن يحي بن حمو</v>
      </c>
      <c r="C42" s="60">
        <f>'Nv capital'!C40</f>
        <v>1547888.92</v>
      </c>
      <c r="D42" s="60">
        <f>'Nv capital'!I40</f>
        <v>1547888.92</v>
      </c>
      <c r="E42" s="61">
        <f t="shared" ref="E42" si="138">D42/$D$11</f>
        <v>6.7313530713690964E-2</v>
      </c>
      <c r="F42" s="64">
        <f t="shared" ref="F42" si="139">$D$9*E42</f>
        <v>672604.0768301409</v>
      </c>
      <c r="G42" s="32">
        <v>0</v>
      </c>
      <c r="H42" s="31">
        <f t="shared" ref="H42" si="140">$D$8*G42</f>
        <v>0</v>
      </c>
      <c r="I42" s="31">
        <f>'Avances asso'!C35</f>
        <v>0</v>
      </c>
      <c r="J42" s="31">
        <f t="shared" ref="J42" si="141">C42+F42+H42-I42</f>
        <v>2220492.9968301407</v>
      </c>
      <c r="K42" s="31">
        <f>($J42-($E42*' Bilan cloture'!$D$6))*2.58%</f>
        <v>50193.406563599696</v>
      </c>
      <c r="L42" s="31">
        <f t="shared" ref="L42" si="142">J42</f>
        <v>2220492.9968301407</v>
      </c>
      <c r="M42" s="87">
        <f t="shared" ref="M42" si="143">L42/$L$11</f>
        <v>6.7724137802887899E-2</v>
      </c>
    </row>
    <row r="44" spans="1:13">
      <c r="E44" s="63"/>
    </row>
    <row r="45" spans="1:13">
      <c r="B45" s="91" t="s">
        <v>50</v>
      </c>
      <c r="E45" s="62"/>
    </row>
  </sheetData>
  <mergeCells count="3">
    <mergeCell ref="B6:C6"/>
    <mergeCell ref="B7:C7"/>
    <mergeCell ref="A11:B11"/>
  </mergeCells>
  <conditionalFormatting sqref="C13:M42">
    <cfRule type="cellIs" dxfId="65" priority="46" operator="lessThan">
      <formula>0</formula>
    </cfRule>
  </conditionalFormatting>
  <conditionalFormatting sqref="B17">
    <cfRule type="duplicateValues" dxfId="64" priority="42"/>
  </conditionalFormatting>
  <conditionalFormatting sqref="B19">
    <cfRule type="duplicateValues" dxfId="63" priority="41"/>
  </conditionalFormatting>
  <conditionalFormatting sqref="B21">
    <cfRule type="duplicateValues" dxfId="62" priority="39"/>
  </conditionalFormatting>
  <conditionalFormatting sqref="B22">
    <cfRule type="duplicateValues" dxfId="61" priority="38"/>
  </conditionalFormatting>
  <conditionalFormatting sqref="B23">
    <cfRule type="duplicateValues" dxfId="60" priority="37"/>
  </conditionalFormatting>
  <conditionalFormatting sqref="B25">
    <cfRule type="duplicateValues" dxfId="59" priority="35"/>
  </conditionalFormatting>
  <conditionalFormatting sqref="B20">
    <cfRule type="duplicateValues" dxfId="58" priority="33"/>
  </conditionalFormatting>
  <conditionalFormatting sqref="B24">
    <cfRule type="duplicateValues" dxfId="57" priority="30"/>
  </conditionalFormatting>
  <conditionalFormatting sqref="B24">
    <cfRule type="duplicateValues" dxfId="56" priority="29"/>
  </conditionalFormatting>
  <conditionalFormatting sqref="B26">
    <cfRule type="duplicateValues" dxfId="55" priority="25"/>
  </conditionalFormatting>
  <conditionalFormatting sqref="B26">
    <cfRule type="duplicateValues" dxfId="54" priority="24"/>
  </conditionalFormatting>
  <conditionalFormatting sqref="B28">
    <cfRule type="duplicateValues" dxfId="53" priority="23"/>
  </conditionalFormatting>
  <conditionalFormatting sqref="B29">
    <cfRule type="duplicateValues" dxfId="52" priority="22"/>
  </conditionalFormatting>
  <conditionalFormatting sqref="B26">
    <cfRule type="duplicateValues" dxfId="51" priority="20"/>
  </conditionalFormatting>
  <conditionalFormatting sqref="B26">
    <cfRule type="duplicateValues" dxfId="50" priority="19"/>
  </conditionalFormatting>
  <conditionalFormatting sqref="B27">
    <cfRule type="duplicateValues" dxfId="49" priority="13"/>
  </conditionalFormatting>
  <conditionalFormatting sqref="B27">
    <cfRule type="duplicateValues" dxfId="48" priority="17"/>
  </conditionalFormatting>
  <conditionalFormatting sqref="B27">
    <cfRule type="duplicateValues" dxfId="47" priority="16"/>
  </conditionalFormatting>
  <conditionalFormatting sqref="B27">
    <cfRule type="duplicateValues" dxfId="46" priority="15"/>
  </conditionalFormatting>
  <conditionalFormatting sqref="B27">
    <cfRule type="duplicateValues" dxfId="45" priority="14"/>
  </conditionalFormatting>
  <conditionalFormatting sqref="B31:B32">
    <cfRule type="duplicateValues" dxfId="44" priority="12"/>
  </conditionalFormatting>
  <conditionalFormatting sqref="B33">
    <cfRule type="duplicateValues" dxfId="43" priority="11"/>
  </conditionalFormatting>
  <conditionalFormatting sqref="B34">
    <cfRule type="duplicateValues" dxfId="42" priority="10"/>
  </conditionalFormatting>
  <conditionalFormatting sqref="B35">
    <cfRule type="duplicateValues" dxfId="41" priority="9"/>
  </conditionalFormatting>
  <conditionalFormatting sqref="B36">
    <cfRule type="duplicateValues" dxfId="40" priority="8"/>
  </conditionalFormatting>
  <conditionalFormatting sqref="B37:B39">
    <cfRule type="duplicateValues" dxfId="39" priority="7"/>
  </conditionalFormatting>
  <conditionalFormatting sqref="B40:B41">
    <cfRule type="duplicateValues" dxfId="38" priority="6"/>
  </conditionalFormatting>
  <conditionalFormatting sqref="B42">
    <cfRule type="duplicateValues" dxfId="37" priority="4"/>
  </conditionalFormatting>
  <conditionalFormatting sqref="B28:B42 B13:B26">
    <cfRule type="duplicateValues" dxfId="36" priority="61"/>
  </conditionalFormatting>
  <conditionalFormatting sqref="B30:B42">
    <cfRule type="duplicateValues" dxfId="35" priority="64"/>
  </conditionalFormatting>
  <conditionalFormatting sqref="B42">
    <cfRule type="duplicateValues" dxfId="34" priority="2"/>
  </conditionalFormatting>
  <conditionalFormatting sqref="B42">
    <cfRule type="duplicateValues" dxfId="33" priority="1"/>
  </conditionalFormatting>
  <printOptions horizontalCentered="1" verticalCentered="1"/>
  <pageMargins left="0.19685039370078741" right="0.19685039370078741" top="0.19685039370078741" bottom="0.19685039370078741" header="0" footer="0"/>
  <pageSetup paperSize="9" scale="54" orientation="landscape" r:id="rId1"/>
  <colBreaks count="1" manualBreakCount="1">
    <brk id="1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24"/>
  <sheetViews>
    <sheetView rightToLeft="1" workbookViewId="0">
      <selection activeCell="E10" sqref="E10"/>
    </sheetView>
  </sheetViews>
  <sheetFormatPr baseColWidth="10" defaultColWidth="11.42578125" defaultRowHeight="21.75" customHeight="1"/>
  <cols>
    <col min="1" max="1" width="10" style="45" customWidth="1"/>
    <col min="2" max="2" width="36.42578125" style="45" customWidth="1"/>
    <col min="3" max="3" width="36.28515625" style="45" customWidth="1"/>
    <col min="4" max="4" width="11.42578125" style="45"/>
    <col min="5" max="5" width="19" style="45" bestFit="1" customWidth="1"/>
    <col min="6" max="6" width="14.42578125" style="45" bestFit="1" customWidth="1"/>
    <col min="7" max="7" width="11.42578125" style="45"/>
    <col min="8" max="8" width="18.42578125" style="45" bestFit="1" customWidth="1"/>
    <col min="9" max="16384" width="11.42578125" style="45"/>
  </cols>
  <sheetData>
    <row r="2" spans="1:8" ht="29.25">
      <c r="A2" s="469" t="s">
        <v>187</v>
      </c>
      <c r="B2" s="469"/>
      <c r="C2" s="469"/>
    </row>
    <row r="3" spans="1:8" ht="21.75" customHeight="1">
      <c r="A3" s="391"/>
      <c r="B3" s="391"/>
      <c r="C3" s="391"/>
    </row>
    <row r="4" spans="1:8" ht="31.5" customHeight="1">
      <c r="A4" s="470" t="s">
        <v>26</v>
      </c>
      <c r="B4" s="470"/>
      <c r="C4" s="392">
        <f>SUM(C6:C104)</f>
        <v>20808198.629999999</v>
      </c>
    </row>
    <row r="5" spans="1:8" ht="31.5" customHeight="1">
      <c r="A5" s="29" t="s">
        <v>35</v>
      </c>
      <c r="B5" s="29" t="s">
        <v>22</v>
      </c>
      <c r="C5" s="393" t="s">
        <v>37</v>
      </c>
      <c r="D5" s="423"/>
      <c r="E5" s="426"/>
      <c r="F5" s="426"/>
      <c r="G5" s="426"/>
      <c r="H5" s="426"/>
    </row>
    <row r="6" spans="1:8" ht="25.5" customHeight="1">
      <c r="A6" s="58">
        <v>1</v>
      </c>
      <c r="B6" s="6" t="str">
        <f>'Nv capital'!B11</f>
        <v>الواهج عمر بن يحي</v>
      </c>
      <c r="C6" s="394">
        <f>6179240.63+13708958</f>
        <v>19888198.629999999</v>
      </c>
      <c r="D6" s="432"/>
      <c r="E6" s="428"/>
      <c r="F6" s="427"/>
      <c r="G6" s="426"/>
      <c r="H6" s="428"/>
    </row>
    <row r="7" spans="1:8" ht="25.5" customHeight="1">
      <c r="A7" s="58">
        <f>IF(B6&lt;&gt;B7,A6+1,A6)</f>
        <v>2</v>
      </c>
      <c r="B7" s="6" t="str">
        <f>'Nv capital'!B12</f>
        <v>بن عزوز مبخوتة</v>
      </c>
      <c r="C7" s="394">
        <v>500000</v>
      </c>
      <c r="D7" s="423"/>
      <c r="E7" s="428"/>
      <c r="F7" s="424"/>
      <c r="G7" s="426"/>
      <c r="H7" s="428"/>
    </row>
    <row r="8" spans="1:8" ht="25.5" customHeight="1">
      <c r="A8" s="58">
        <f t="shared" ref="A8" si="0">IF(B7&lt;&gt;B8,A7+1,A7)</f>
        <v>3</v>
      </c>
      <c r="B8" s="6" t="str">
        <f>'Nv capital'!B13</f>
        <v>كروشي الحاج بابهون</v>
      </c>
      <c r="C8" s="394">
        <v>0</v>
      </c>
      <c r="D8" s="423"/>
      <c r="E8" s="428"/>
      <c r="F8" s="424"/>
      <c r="G8" s="429"/>
      <c r="H8" s="428"/>
    </row>
    <row r="9" spans="1:8" ht="25.5" customHeight="1">
      <c r="A9" s="58">
        <v>4</v>
      </c>
      <c r="B9" s="6" t="str">
        <f>'Nv capital'!B14</f>
        <v>بوسربة ياسمينة</v>
      </c>
      <c r="C9" s="394">
        <v>0</v>
      </c>
      <c r="D9" s="423"/>
      <c r="E9" s="428"/>
      <c r="F9" s="425"/>
      <c r="G9" s="426"/>
      <c r="H9" s="428"/>
    </row>
    <row r="10" spans="1:8" ht="25.5" customHeight="1">
      <c r="A10" s="58">
        <v>5</v>
      </c>
      <c r="B10" s="6" t="str">
        <f>'Nv capital'!B15</f>
        <v>بعوشي رسثم</v>
      </c>
      <c r="C10" s="394">
        <v>200000</v>
      </c>
      <c r="D10" s="423"/>
      <c r="E10" s="428"/>
      <c r="F10" s="425"/>
      <c r="G10" s="426"/>
      <c r="H10" s="428"/>
    </row>
    <row r="11" spans="1:8" ht="21.75" customHeight="1">
      <c r="A11" s="58">
        <v>6</v>
      </c>
      <c r="B11" s="6" t="str">
        <f>'Nv capital'!B16</f>
        <v>بوسريح نعيمة</v>
      </c>
      <c r="C11" s="394"/>
      <c r="D11" s="423"/>
      <c r="E11" s="428"/>
      <c r="F11" s="425"/>
      <c r="G11" s="426"/>
      <c r="H11" s="428"/>
    </row>
    <row r="12" spans="1:8" ht="21.75" customHeight="1">
      <c r="A12" s="58">
        <v>7</v>
      </c>
      <c r="B12" s="6" t="str">
        <f>'Nv capital'!B17</f>
        <v>بكاير حرمية بنت محمد</v>
      </c>
      <c r="C12" s="394"/>
      <c r="D12" s="423"/>
      <c r="E12" s="428"/>
      <c r="F12" s="425"/>
      <c r="G12" s="426"/>
      <c r="H12" s="428"/>
    </row>
    <row r="13" spans="1:8" ht="21.75" customHeight="1">
      <c r="A13" s="58">
        <v>8</v>
      </c>
      <c r="B13" s="6" t="str">
        <f>'Nv capital'!B18</f>
        <v>بكاير رابح بن محمد</v>
      </c>
      <c r="C13" s="394"/>
      <c r="D13" s="423"/>
      <c r="E13" s="428"/>
      <c r="F13" s="426"/>
      <c r="G13" s="426"/>
      <c r="H13" s="428"/>
    </row>
    <row r="14" spans="1:8" ht="21.75" customHeight="1">
      <c r="A14" s="58">
        <v>9</v>
      </c>
      <c r="B14" s="6" t="str">
        <f>'Nv capital'!B19</f>
        <v>لعساكر عبد الحميد</v>
      </c>
      <c r="C14" s="394">
        <v>70000</v>
      </c>
      <c r="D14" s="423"/>
      <c r="E14" s="428"/>
      <c r="F14" s="426"/>
      <c r="G14" s="426"/>
      <c r="H14" s="428"/>
    </row>
    <row r="15" spans="1:8" ht="21.75" customHeight="1">
      <c r="A15" s="58">
        <v>10</v>
      </c>
      <c r="B15" s="6" t="str">
        <f>'Nv capital'!B20</f>
        <v>الواهج احمد</v>
      </c>
      <c r="C15" s="394"/>
      <c r="D15" s="423"/>
      <c r="E15" s="428"/>
      <c r="F15" s="426"/>
      <c r="G15" s="426"/>
      <c r="H15" s="428"/>
    </row>
    <row r="16" spans="1:8" ht="21.75" customHeight="1">
      <c r="A16" s="58">
        <v>11</v>
      </c>
      <c r="B16" s="6" t="str">
        <f>'Nv capital'!B21</f>
        <v>مبروك مبروك طولقة</v>
      </c>
      <c r="C16" s="394"/>
      <c r="D16" s="423"/>
      <c r="E16" s="428"/>
      <c r="F16" s="426"/>
      <c r="G16" s="426"/>
      <c r="H16" s="428"/>
    </row>
    <row r="17" spans="1:8" ht="21.75" customHeight="1">
      <c r="A17" s="58">
        <v>12</v>
      </c>
      <c r="B17" s="6" t="str">
        <f>'Nv capital'!B22</f>
        <v>بن يامي فؤاد بن علي</v>
      </c>
      <c r="C17" s="394"/>
      <c r="D17" s="423"/>
      <c r="E17" s="428"/>
      <c r="F17" s="426"/>
      <c r="G17" s="426"/>
      <c r="H17" s="428"/>
    </row>
    <row r="18" spans="1:8" ht="21.75" customHeight="1">
      <c r="A18" s="58">
        <v>13</v>
      </c>
      <c r="B18" s="6" t="s">
        <v>251</v>
      </c>
      <c r="C18" s="394">
        <v>150000</v>
      </c>
      <c r="D18" s="423"/>
      <c r="E18" s="428"/>
      <c r="F18" s="426"/>
      <c r="G18" s="426"/>
      <c r="H18" s="428"/>
    </row>
    <row r="19" spans="1:8" ht="21.75" customHeight="1">
      <c r="A19" s="58">
        <v>14</v>
      </c>
      <c r="B19" s="6" t="s">
        <v>307</v>
      </c>
      <c r="C19" s="394"/>
      <c r="D19" s="423"/>
      <c r="E19" s="428"/>
      <c r="F19" s="426"/>
      <c r="G19" s="426"/>
      <c r="H19" s="428"/>
    </row>
    <row r="20" spans="1:8" ht="21.75" customHeight="1">
      <c r="A20" s="58">
        <v>15</v>
      </c>
      <c r="B20" s="6" t="s">
        <v>307</v>
      </c>
      <c r="C20" s="394"/>
      <c r="D20" s="423"/>
      <c r="E20" s="428"/>
      <c r="F20" s="426"/>
      <c r="G20" s="426"/>
      <c r="H20" s="428"/>
    </row>
    <row r="21" spans="1:8" ht="21.75" customHeight="1">
      <c r="A21" s="58">
        <v>16</v>
      </c>
      <c r="B21" s="6" t="s">
        <v>308</v>
      </c>
      <c r="C21" s="394"/>
      <c r="D21" s="423"/>
      <c r="E21" s="428"/>
      <c r="F21" s="426"/>
      <c r="G21" s="426"/>
      <c r="H21" s="428"/>
    </row>
    <row r="22" spans="1:8" ht="21.75" customHeight="1">
      <c r="A22" s="58">
        <v>17</v>
      </c>
      <c r="B22" s="6" t="s">
        <v>309</v>
      </c>
      <c r="C22" s="394"/>
      <c r="D22" s="423"/>
      <c r="E22" s="428"/>
      <c r="F22" s="426"/>
      <c r="G22" s="426"/>
      <c r="H22" s="428"/>
    </row>
    <row r="23" spans="1:8" ht="21.75" customHeight="1">
      <c r="A23" s="58">
        <v>18</v>
      </c>
      <c r="B23" s="6" t="s">
        <v>310</v>
      </c>
      <c r="C23" s="394"/>
      <c r="D23" s="423"/>
      <c r="E23" s="428"/>
      <c r="F23" s="426"/>
      <c r="G23" s="426"/>
      <c r="H23" s="426"/>
    </row>
    <row r="24" spans="1:8" ht="21.75" customHeight="1">
      <c r="A24" s="391"/>
      <c r="B24" s="6"/>
      <c r="C24" s="394"/>
      <c r="E24" s="426"/>
      <c r="F24" s="426"/>
      <c r="G24" s="426"/>
      <c r="H24" s="426"/>
    </row>
  </sheetData>
  <mergeCells count="2">
    <mergeCell ref="A2:C2"/>
    <mergeCell ref="A4:B4"/>
  </mergeCells>
  <conditionalFormatting sqref="B1:B17 B25:B1048576">
    <cfRule type="duplicateValues" dxfId="32" priority="49"/>
  </conditionalFormatting>
  <conditionalFormatting sqref="B7">
    <cfRule type="duplicateValues" dxfId="31" priority="46"/>
  </conditionalFormatting>
  <conditionalFormatting sqref="B9:B10">
    <cfRule type="duplicateValues" dxfId="30" priority="43"/>
  </conditionalFormatting>
  <conditionalFormatting sqref="B11">
    <cfRule type="duplicateValues" dxfId="29" priority="38"/>
  </conditionalFormatting>
  <conditionalFormatting sqref="B8">
    <cfRule type="duplicateValues" dxfId="28" priority="36"/>
  </conditionalFormatting>
  <conditionalFormatting sqref="B12">
    <cfRule type="duplicateValues" dxfId="27" priority="34"/>
  </conditionalFormatting>
  <conditionalFormatting sqref="H6:H8 H10:H12 H14:H16">
    <cfRule type="duplicateValues" dxfId="26" priority="26"/>
  </conditionalFormatting>
  <conditionalFormatting sqref="H9">
    <cfRule type="duplicateValues" dxfId="25" priority="25"/>
  </conditionalFormatting>
  <conditionalFormatting sqref="H17">
    <cfRule type="duplicateValues" dxfId="24" priority="24"/>
  </conditionalFormatting>
  <conditionalFormatting sqref="H18">
    <cfRule type="duplicateValues" dxfId="23" priority="23"/>
  </conditionalFormatting>
  <conditionalFormatting sqref="H13">
    <cfRule type="duplicateValues" dxfId="22" priority="21"/>
  </conditionalFormatting>
  <conditionalFormatting sqref="H19">
    <cfRule type="duplicateValues" dxfId="21" priority="20"/>
  </conditionalFormatting>
  <conditionalFormatting sqref="H21">
    <cfRule type="duplicateValues" dxfId="20" priority="19"/>
  </conditionalFormatting>
  <conditionalFormatting sqref="H22">
    <cfRule type="duplicateValues" dxfId="19" priority="18"/>
  </conditionalFormatting>
  <conditionalFormatting sqref="H20">
    <cfRule type="duplicateValues" dxfId="18" priority="56"/>
  </conditionalFormatting>
  <conditionalFormatting sqref="B18:B24">
    <cfRule type="duplicateValues" dxfId="17" priority="12"/>
  </conditionalFormatting>
  <conditionalFormatting sqref="B23">
    <cfRule type="duplicateValues" dxfId="16" priority="11"/>
  </conditionalFormatting>
  <conditionalFormatting sqref="E6:E8 E10:E12 E14:E16">
    <cfRule type="duplicateValues" dxfId="15" priority="10"/>
  </conditionalFormatting>
  <conditionalFormatting sqref="E9">
    <cfRule type="duplicateValues" dxfId="14" priority="9"/>
  </conditionalFormatting>
  <conditionalFormatting sqref="E17">
    <cfRule type="duplicateValues" dxfId="13" priority="8"/>
  </conditionalFormatting>
  <conditionalFormatting sqref="E18">
    <cfRule type="duplicateValues" dxfId="12" priority="7"/>
  </conditionalFormatting>
  <conditionalFormatting sqref="E20:E21">
    <cfRule type="duplicateValues" dxfId="11" priority="6"/>
  </conditionalFormatting>
  <conditionalFormatting sqref="E13">
    <cfRule type="duplicateValues" dxfId="10" priority="5"/>
  </conditionalFormatting>
  <conditionalFormatting sqref="E19">
    <cfRule type="duplicateValues" dxfId="9" priority="4"/>
  </conditionalFormatting>
  <conditionalFormatting sqref="E22">
    <cfRule type="duplicateValues" dxfId="8" priority="3"/>
  </conditionalFormatting>
  <conditionalFormatting sqref="E23">
    <cfRule type="duplicateValues" dxfId="7" priority="2"/>
  </conditionalFormatting>
  <conditionalFormatting sqref="B22">
    <cfRule type="duplicateValues" dxfId="6" priority="1"/>
  </conditionalFormatting>
  <pageMargins left="0.7" right="0.7" top="0.75" bottom="0.75" header="0.3" footer="0.3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indexed="50"/>
  </sheetPr>
  <dimension ref="A8:E49"/>
  <sheetViews>
    <sheetView topLeftCell="A7" zoomScaleSheetLayoutView="75" workbookViewId="0">
      <selection activeCell="D11" sqref="D11"/>
    </sheetView>
  </sheetViews>
  <sheetFormatPr baseColWidth="10" defaultColWidth="11.42578125" defaultRowHeight="20.25"/>
  <cols>
    <col min="1" max="1" width="38.42578125" style="1" customWidth="1"/>
    <col min="2" max="2" width="26.85546875" style="1" customWidth="1"/>
    <col min="3" max="3" width="37.5703125" style="1" customWidth="1"/>
    <col min="4" max="4" width="11.5703125" style="1" customWidth="1"/>
    <col min="5" max="5" width="23.7109375" style="1" bestFit="1" customWidth="1"/>
    <col min="6" max="16384" width="11.42578125" style="1"/>
  </cols>
  <sheetData>
    <row r="8" spans="1:4" ht="21" thickBot="1"/>
    <row r="9" spans="1:4" ht="25.5">
      <c r="D9" s="52" t="s">
        <v>15</v>
      </c>
    </row>
    <row r="10" spans="1:4" ht="32.25" customHeight="1" thickBot="1">
      <c r="B10" s="20" t="str">
        <f>LOOKUP($D$10,'Repartition globale'!$A$13:$A$44,'Repartition globale'!$B$13:$B$44)</f>
        <v>الواهج عمر بن يحي</v>
      </c>
      <c r="C10" s="2" t="s">
        <v>8</v>
      </c>
      <c r="D10" s="19">
        <v>1</v>
      </c>
    </row>
    <row r="11" spans="1:4" ht="30">
      <c r="B11" s="88" t="s">
        <v>388</v>
      </c>
      <c r="C11" s="2"/>
    </row>
    <row r="13" spans="1:4" s="3" customFormat="1" ht="27.75">
      <c r="A13" s="83" t="s">
        <v>55</v>
      </c>
      <c r="B13" s="86">
        <f>SUMIF('Repartition globale'!$A$13:$A$46,'Fiche associé'!$D$10,'Repartition globale'!$C$13:$D$46)</f>
        <v>0</v>
      </c>
      <c r="C13" s="85" t="s">
        <v>143</v>
      </c>
    </row>
    <row r="14" spans="1:4" s="3" customFormat="1" ht="27.75">
      <c r="A14" s="83" t="s">
        <v>56</v>
      </c>
      <c r="B14" s="86">
        <f>SUMIF('Repartition globale'!$A$13:$A$46,'Fiche associé'!$D$10,'Repartition globale'!$D$13:$D$46)</f>
        <v>0</v>
      </c>
      <c r="C14" s="85" t="s">
        <v>59</v>
      </c>
    </row>
    <row r="15" spans="1:4" s="3" customFormat="1" ht="27.75">
      <c r="A15" s="4" t="s">
        <v>9</v>
      </c>
      <c r="B15" s="5">
        <f>SUMIF('Repartition globale'!$A$13:$A$46,'Fiche associé'!$D$10,'Repartition globale'!$F$13:$F$46)</f>
        <v>0</v>
      </c>
      <c r="C15" s="6" t="s">
        <v>10</v>
      </c>
    </row>
    <row r="16" spans="1:4" s="3" customFormat="1" ht="27.75">
      <c r="A16" s="4" t="s">
        <v>57</v>
      </c>
      <c r="B16" s="82" t="e">
        <f>B15/B14</f>
        <v>#DIV/0!</v>
      </c>
      <c r="C16" s="6" t="s">
        <v>58</v>
      </c>
    </row>
    <row r="17" spans="1:5" s="3" customFormat="1" ht="27" customHeight="1">
      <c r="A17" s="4" t="s">
        <v>11</v>
      </c>
      <c r="B17" s="7">
        <f>SUMIF('Repartition globale'!$A$13:$A$46,'Fiche associé'!$D$10,'Repartition globale'!$H$13:$H$46)</f>
        <v>9992108.120000001</v>
      </c>
      <c r="C17" s="6" t="s">
        <v>12</v>
      </c>
    </row>
    <row r="18" spans="1:5" s="3" customFormat="1" ht="27" customHeight="1">
      <c r="A18" s="4" t="s">
        <v>16</v>
      </c>
      <c r="B18" s="5">
        <f>SUMIF('Repartition globale'!$A$13:$A$46,'Fiche associé'!$D$10,'Repartition globale'!$I$13:$I$46)</f>
        <v>19888198.629999999</v>
      </c>
      <c r="C18" s="6" t="s">
        <v>17</v>
      </c>
    </row>
    <row r="19" spans="1:5" s="3" customFormat="1" ht="27" customHeight="1">
      <c r="A19" s="4" t="s">
        <v>13</v>
      </c>
      <c r="B19" s="5">
        <f>SUMIF('Repartition globale'!$A$13:$A$46,'Fiche associé'!$D$10,'Repartition globale'!$J$13:$J$46)</f>
        <v>-9896090.5099999979</v>
      </c>
      <c r="C19" s="6" t="s">
        <v>14</v>
      </c>
      <c r="E19" s="8"/>
    </row>
    <row r="20" spans="1:5" s="3" customFormat="1" ht="27" customHeight="1">
      <c r="A20" s="4" t="s">
        <v>40</v>
      </c>
      <c r="B20" s="5">
        <f>SUMIF('Repartition globale'!$A$13:$A$46,'Fiche associé'!$D$10,'Repartition globale'!$K$13:$K$46)</f>
        <v>0</v>
      </c>
      <c r="C20" s="6" t="s">
        <v>39</v>
      </c>
    </row>
    <row r="21" spans="1:5" s="3" customFormat="1" ht="27" customHeight="1">
      <c r="A21" s="83" t="s">
        <v>144</v>
      </c>
      <c r="B21" s="84">
        <f>SUMIF('Repartition globale'!$A$13:$A$46,'Fiche associé'!$D$10,'Repartition globale'!$L$13:$L$46)</f>
        <v>0</v>
      </c>
      <c r="C21" s="85" t="s">
        <v>145</v>
      </c>
    </row>
    <row r="22" spans="1:5" s="3" customFormat="1" ht="27" customHeight="1"/>
    <row r="23" spans="1:5">
      <c r="A23" s="9"/>
      <c r="B23" s="9"/>
      <c r="C23" s="9"/>
    </row>
    <row r="35" spans="1:5" ht="30">
      <c r="A35" s="358"/>
      <c r="B35" s="359"/>
      <c r="C35" s="360"/>
      <c r="D35" s="358"/>
      <c r="E35" s="358"/>
    </row>
    <row r="36" spans="1:5" ht="30">
      <c r="A36" s="9"/>
      <c r="B36" s="363"/>
      <c r="C36" s="364"/>
      <c r="D36" s="9"/>
      <c r="E36" s="358"/>
    </row>
    <row r="37" spans="1:5" ht="27.75">
      <c r="A37" s="365"/>
      <c r="B37" s="366"/>
      <c r="C37" s="367"/>
      <c r="D37" s="9"/>
      <c r="E37" s="361"/>
    </row>
    <row r="38" spans="1:5" ht="27.75">
      <c r="A38" s="365"/>
      <c r="B38" s="366"/>
      <c r="C38" s="367"/>
      <c r="D38" s="9"/>
      <c r="E38" s="362"/>
    </row>
    <row r="39" spans="1:5" ht="27.75">
      <c r="A39" s="365"/>
      <c r="B39" s="366"/>
      <c r="C39" s="367"/>
      <c r="D39" s="9"/>
      <c r="E39" s="358"/>
    </row>
    <row r="40" spans="1:5" ht="27.75">
      <c r="A40" s="365"/>
      <c r="B40" s="368"/>
      <c r="C40" s="367"/>
      <c r="D40" s="9"/>
      <c r="E40" s="358"/>
    </row>
    <row r="41" spans="1:5" ht="27.75">
      <c r="A41" s="365"/>
      <c r="B41" s="366"/>
      <c r="C41" s="367"/>
      <c r="D41" s="9"/>
      <c r="E41" s="358"/>
    </row>
    <row r="42" spans="1:5" ht="27.75">
      <c r="A42" s="365"/>
      <c r="B42" s="366"/>
      <c r="C42" s="367"/>
      <c r="D42" s="9"/>
      <c r="E42" s="358"/>
    </row>
    <row r="43" spans="1:5" ht="27.75">
      <c r="A43" s="365"/>
      <c r="B43" s="366"/>
      <c r="C43" s="367"/>
      <c r="D43" s="9"/>
      <c r="E43" s="358"/>
    </row>
    <row r="44" spans="1:5" ht="27.75">
      <c r="A44" s="365"/>
      <c r="B44" s="366"/>
      <c r="C44" s="367"/>
      <c r="D44" s="9"/>
      <c r="E44" s="358"/>
    </row>
    <row r="45" spans="1:5" ht="27.75">
      <c r="A45" s="365"/>
      <c r="B45" s="366"/>
      <c r="C45" s="367"/>
      <c r="D45" s="9"/>
      <c r="E45" s="358"/>
    </row>
    <row r="46" spans="1:5">
      <c r="A46" s="369"/>
      <c r="B46" s="369"/>
      <c r="C46" s="369"/>
      <c r="D46" s="369"/>
    </row>
    <row r="47" spans="1:5">
      <c r="A47" s="369"/>
      <c r="B47" s="369"/>
      <c r="C47" s="369"/>
      <c r="D47" s="369"/>
    </row>
    <row r="48" spans="1:5">
      <c r="A48" s="369"/>
      <c r="B48" s="369"/>
      <c r="C48" s="369"/>
      <c r="D48" s="369"/>
    </row>
    <row r="49" spans="1:4">
      <c r="A49" s="369"/>
      <c r="B49" s="369"/>
      <c r="C49" s="369"/>
      <c r="D49" s="369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"/>
  <sheetViews>
    <sheetView zoomScale="60" zoomScaleNormal="60" zoomScalePageLayoutView="50" workbookViewId="0">
      <selection sqref="A1:I1"/>
    </sheetView>
  </sheetViews>
  <sheetFormatPr baseColWidth="10" defaultColWidth="11.42578125" defaultRowHeight="21"/>
  <cols>
    <col min="1" max="1" width="11.85546875" style="10" bestFit="1" customWidth="1"/>
    <col min="2" max="2" width="40.28515625" style="10" bestFit="1" customWidth="1"/>
    <col min="3" max="3" width="35.5703125" style="10" bestFit="1" customWidth="1"/>
    <col min="4" max="4" width="32.140625" style="10" customWidth="1"/>
    <col min="5" max="5" width="10.42578125" style="10" customWidth="1"/>
    <col min="6" max="6" width="11.85546875" style="34" bestFit="1" customWidth="1"/>
    <col min="7" max="7" width="45.5703125" style="10" bestFit="1" customWidth="1"/>
    <col min="8" max="8" width="42.28515625" style="10" customWidth="1"/>
    <col min="9" max="9" width="32.140625" style="34" customWidth="1"/>
    <col min="10" max="10" width="33" style="10" customWidth="1"/>
    <col min="11" max="11" width="16.140625" style="10" bestFit="1" customWidth="1"/>
    <col min="12" max="12" width="16.85546875" style="10" bestFit="1" customWidth="1"/>
    <col min="13" max="13" width="20.42578125" style="10" bestFit="1" customWidth="1"/>
    <col min="14" max="14" width="16.85546875" style="10" bestFit="1" customWidth="1"/>
    <col min="15" max="15" width="17" style="10" customWidth="1"/>
    <col min="16" max="16384" width="11.42578125" style="10"/>
  </cols>
  <sheetData>
    <row r="1" spans="1:11" ht="58.5" customHeight="1" thickBot="1">
      <c r="A1" s="462" t="str">
        <f>"الميزانية الافتتاحية لمؤسسة  "&amp;Données!B1&amp;"  في  "&amp;DAY(Données!$B$6+1)&amp;"/"&amp;MONTH(Données!$B$6+1)&amp;"/"&amp;YEAR(Données!$B$6+1)</f>
        <v>الميزانية الافتتاحية لمؤسسة  صياغة الفتح  في  19/10/2024</v>
      </c>
      <c r="B1" s="463"/>
      <c r="C1" s="463"/>
      <c r="D1" s="463"/>
      <c r="E1" s="463"/>
      <c r="F1" s="463"/>
      <c r="G1" s="463"/>
      <c r="H1" s="463"/>
      <c r="I1" s="464"/>
    </row>
    <row r="2" spans="1:11" ht="21.75" thickBot="1">
      <c r="A2" s="18"/>
    </row>
    <row r="3" spans="1:11" ht="38.25" customHeight="1" thickBot="1">
      <c r="A3" s="458" t="s">
        <v>41</v>
      </c>
      <c r="B3" s="459"/>
      <c r="C3" s="459"/>
      <c r="D3" s="460"/>
      <c r="E3" s="92"/>
      <c r="F3" s="458" t="s">
        <v>43</v>
      </c>
      <c r="G3" s="459"/>
      <c r="H3" s="459"/>
      <c r="I3" s="460"/>
    </row>
    <row r="4" spans="1:11" ht="38.25" customHeight="1">
      <c r="A4" s="103" t="s">
        <v>0</v>
      </c>
      <c r="B4" s="478" t="s">
        <v>63</v>
      </c>
      <c r="C4" s="486"/>
      <c r="D4" s="103" t="s">
        <v>33</v>
      </c>
      <c r="E4" s="92"/>
      <c r="F4" s="103" t="s">
        <v>0</v>
      </c>
      <c r="G4" s="478" t="s">
        <v>63</v>
      </c>
      <c r="H4" s="486"/>
      <c r="I4" s="103" t="s">
        <v>33</v>
      </c>
      <c r="K4" s="21"/>
    </row>
    <row r="5" spans="1:11" ht="38.25" customHeight="1" thickBot="1">
      <c r="A5" s="105" t="s">
        <v>1</v>
      </c>
      <c r="B5" s="104"/>
      <c r="C5" s="50"/>
      <c r="D5" s="105"/>
      <c r="E5" s="92"/>
      <c r="F5" s="105" t="s">
        <v>1</v>
      </c>
      <c r="G5" s="104"/>
      <c r="H5" s="50"/>
      <c r="I5" s="105"/>
    </row>
    <row r="6" spans="1:11" ht="38.25" customHeight="1" thickBot="1">
      <c r="A6" s="16">
        <f>D6/D27</f>
        <v>6.9112390157163653E-2</v>
      </c>
      <c r="B6" s="482" t="s">
        <v>44</v>
      </c>
      <c r="C6" s="483"/>
      <c r="D6" s="35">
        <f>SUM(D7:D10)</f>
        <v>4085540</v>
      </c>
      <c r="E6" s="92"/>
      <c r="F6" s="16">
        <f>I6/I27</f>
        <v>0.33993723222722172</v>
      </c>
      <c r="G6" s="482" t="s">
        <v>42</v>
      </c>
      <c r="H6" s="483"/>
      <c r="I6" s="36">
        <f>SUM(I7:I10)</f>
        <v>18656473.685733818</v>
      </c>
      <c r="J6" s="93"/>
    </row>
    <row r="7" spans="1:11" ht="38.25" customHeight="1">
      <c r="A7" s="473">
        <v>2</v>
      </c>
      <c r="B7" s="14" t="str">
        <f>IF(' Bilan cloture'!B7="","",' Bilan cloture'!B7)</f>
        <v>Materiels &amp; équipements</v>
      </c>
      <c r="C7" s="53" t="str">
        <f>IF(' Bilan cloture'!C7="","",' Bilan cloture'!C7)</f>
        <v>التجهيزات</v>
      </c>
      <c r="D7" s="94">
        <f>' Bilan cloture'!D7</f>
        <v>569310</v>
      </c>
      <c r="E7" s="92"/>
      <c r="F7" s="473">
        <v>1</v>
      </c>
      <c r="G7" s="17" t="str">
        <f>IF(' Bilan cloture'!G7="","",' Bilan cloture'!G7)</f>
        <v>Capiteaux des associés</v>
      </c>
      <c r="H7" s="55" t="str">
        <f>IF(' Bilan cloture'!H7="","",' Bilan cloture'!H7)</f>
        <v>رؤوس أموال الشركاء</v>
      </c>
      <c r="I7" s="44">
        <f>'Repartition globale'!L11-SUM('Repartition globale'!G7:H8)</f>
        <v>18656473.685733818</v>
      </c>
      <c r="J7" s="49"/>
    </row>
    <row r="8" spans="1:11" ht="38.25" customHeight="1">
      <c r="A8" s="474"/>
      <c r="B8" s="14" t="str">
        <f>IF(' Bilan cloture'!B8="","",' Bilan cloture'!B8)</f>
        <v xml:space="preserve">Matériel Roulant  </v>
      </c>
      <c r="C8" s="53" t="str">
        <f>IF(' Bilan cloture'!C8="","",' Bilan cloture'!C8)</f>
        <v>معدات النقل</v>
      </c>
      <c r="D8" s="37">
        <f>' Bilan cloture'!D8</f>
        <v>2000000</v>
      </c>
      <c r="E8" s="92"/>
      <c r="F8" s="474"/>
      <c r="G8" s="95" t="str">
        <f>IF(' Bilan cloture'!G8="","",' Bilan cloture'!G8)</f>
        <v/>
      </c>
      <c r="H8" s="56" t="str">
        <f>IF(' Bilan cloture'!H8="","",' Bilan cloture'!H8)</f>
        <v/>
      </c>
      <c r="I8" s="44"/>
      <c r="J8" s="49"/>
    </row>
    <row r="9" spans="1:11" ht="38.25" customHeight="1">
      <c r="A9" s="474"/>
      <c r="B9" s="14" t="str">
        <f>IF(' Bilan cloture'!B9="","",' Bilan cloture'!B9)</f>
        <v>Materiels &amp; équipements</v>
      </c>
      <c r="C9" s="53" t="str">
        <f>IF(' Bilan cloture'!C9="","",' Bilan cloture'!C9)</f>
        <v>التجهيزات</v>
      </c>
      <c r="D9" s="37">
        <f>' Bilan cloture'!D9</f>
        <v>1516230</v>
      </c>
      <c r="E9" s="92"/>
      <c r="F9" s="474"/>
      <c r="G9" s="95" t="str">
        <f>IF(' Bilan cloture'!G9="","",' Bilan cloture'!G9)</f>
        <v/>
      </c>
      <c r="H9" s="56" t="str">
        <f>IF(' Bilan cloture'!H9="","",' Bilan cloture'!H9)</f>
        <v/>
      </c>
      <c r="I9" s="38"/>
    </row>
    <row r="10" spans="1:11" ht="38.25" customHeight="1" thickBot="1">
      <c r="A10" s="481"/>
      <c r="B10" s="14" t="str">
        <f>IF(' Bilan cloture'!B10="","",' Bilan cloture'!B10)</f>
        <v>Materiels &amp; équipements</v>
      </c>
      <c r="C10" s="53" t="str">
        <f>IF(' Bilan cloture'!C10="","",' Bilan cloture'!C10)</f>
        <v>التجهيزات</v>
      </c>
      <c r="D10" s="37">
        <f>' Bilan cloture'!D10</f>
        <v>0</v>
      </c>
      <c r="E10" s="92"/>
      <c r="F10" s="481"/>
      <c r="G10" s="15" t="str">
        <f>IF(' Bilan cloture'!G10="","",' Bilan cloture'!G10)</f>
        <v/>
      </c>
      <c r="H10" s="56" t="str">
        <f>IF(' Bilan cloture'!H10="","",' Bilan cloture'!H10)</f>
        <v/>
      </c>
      <c r="I10" s="38"/>
    </row>
    <row r="11" spans="1:11" ht="38.25" customHeight="1" thickBot="1">
      <c r="A11" s="16">
        <f>D11/D27</f>
        <v>0.61981243945041875</v>
      </c>
      <c r="B11" s="482" t="s">
        <v>45</v>
      </c>
      <c r="C11" s="483"/>
      <c r="D11" s="35">
        <f>SUM(D12:D13)</f>
        <v>36639863.100000001</v>
      </c>
      <c r="E11" s="92"/>
      <c r="F11" s="16">
        <f>I11/I27</f>
        <v>0.66006276777277828</v>
      </c>
      <c r="G11" s="484" t="s">
        <v>46</v>
      </c>
      <c r="H11" s="485"/>
      <c r="I11" s="114">
        <f>SUM(I12:I18)</f>
        <v>36225639.590000004</v>
      </c>
    </row>
    <row r="12" spans="1:11" ht="38.25" customHeight="1">
      <c r="A12" s="473">
        <v>3</v>
      </c>
      <c r="B12" s="14" t="str">
        <f>IF(' Bilan cloture'!B12="","",' Bilan cloture'!B12)</f>
        <v>Stocks Marchandises OR</v>
      </c>
      <c r="C12" s="53" t="str">
        <f>IF(' Bilan cloture'!C12="","",' Bilan cloture'!C12)</f>
        <v>مخزون السلع</v>
      </c>
      <c r="D12" s="37">
        <f>' Bilan cloture'!D12</f>
        <v>36489863.100000001</v>
      </c>
      <c r="E12" s="92"/>
      <c r="F12" s="478">
        <v>4</v>
      </c>
      <c r="G12" s="17" t="str">
        <f>IF(' Bilan cloture'!G12="","",' Bilan cloture'!G12)</f>
        <v xml:space="preserve">Dettes Fournisseurs </v>
      </c>
      <c r="H12" s="55" t="str">
        <f>IF(' Bilan cloture'!H12="","",' Bilan cloture'!H12)</f>
        <v>ديون الموردين</v>
      </c>
      <c r="I12" s="97">
        <f>' Bilan cloture'!I12</f>
        <v>2441869.09</v>
      </c>
    </row>
    <row r="13" spans="1:11" ht="38.25" customHeight="1" thickBot="1">
      <c r="A13" s="474"/>
      <c r="B13" s="14" t="str">
        <f>IF(' Bilan cloture'!B14="","",' Bilan cloture'!B14)</f>
        <v>Stocks Marchandises P/O</v>
      </c>
      <c r="C13" s="53" t="str">
        <f>IF(' Bilan cloture'!C14="","",' Bilan cloture'!C14)</f>
        <v/>
      </c>
      <c r="D13" s="37">
        <f>' Bilan cloture'!D14</f>
        <v>150000</v>
      </c>
      <c r="E13" s="92"/>
      <c r="F13" s="479"/>
      <c r="G13" s="95" t="str">
        <f>IF(' Bilan cloture'!G14="","",' Bilan cloture'!G14)</f>
        <v>Dettes Fournisseurs Casse</v>
      </c>
      <c r="H13" s="56" t="str">
        <f>IF(' Bilan cloture'!H14="","",' Bilan cloture'!H14)</f>
        <v>ديون الموردين</v>
      </c>
      <c r="I13" s="38">
        <f>' Bilan cloture'!I14</f>
        <v>11721510</v>
      </c>
    </row>
    <row r="14" spans="1:11" ht="38.25" customHeight="1" thickBot="1">
      <c r="A14" s="16">
        <f>D14/D27</f>
        <v>0.29295164011367142</v>
      </c>
      <c r="B14" s="484" t="s">
        <v>47</v>
      </c>
      <c r="C14" s="485"/>
      <c r="D14" s="48">
        <f>SUM(D15:D22)</f>
        <v>17317671.129999999</v>
      </c>
      <c r="E14" s="92"/>
      <c r="F14" s="479"/>
      <c r="G14" s="95" t="str">
        <f>IF(' Bilan cloture'!G15="","",' Bilan cloture'!G15)</f>
        <v>Avances clients (versements)</v>
      </c>
      <c r="H14" s="56" t="str">
        <f>IF(' Bilan cloture'!H15="","",' Bilan cloture'!H15)</f>
        <v>تسبيقات الزبائن</v>
      </c>
      <c r="I14" s="38">
        <f>' Bilan cloture'!I15</f>
        <v>16543749</v>
      </c>
    </row>
    <row r="15" spans="1:11" ht="38.25" customHeight="1">
      <c r="A15" s="478">
        <v>4</v>
      </c>
      <c r="B15" s="96" t="str">
        <f>IF(' Bilan cloture'!B16="","",' Bilan cloture'!B16)</f>
        <v xml:space="preserve">Créances Clients </v>
      </c>
      <c r="C15" s="54" t="str">
        <f>IF(' Bilan cloture'!C16="","",' Bilan cloture'!C16)</f>
        <v>مستحقات لدى الزبائن</v>
      </c>
      <c r="D15" s="94">
        <f>' Bilan cloture'!D16</f>
        <v>5829108</v>
      </c>
      <c r="E15" s="92"/>
      <c r="F15" s="479"/>
      <c r="G15" s="95" t="str">
        <f>IF(' Bilan cloture'!G16="","",' Bilan cloture'!G16)</f>
        <v>Avances clients Casse</v>
      </c>
      <c r="H15" s="56" t="str">
        <f>IF(' Bilan cloture'!H16="","",' Bilan cloture'!H16)</f>
        <v>تسبيقات الزبائن</v>
      </c>
      <c r="I15" s="38">
        <f>' Bilan cloture'!I16</f>
        <v>5106570</v>
      </c>
    </row>
    <row r="16" spans="1:11" ht="38.25" customHeight="1">
      <c r="A16" s="479"/>
      <c r="B16" s="95" t="str">
        <f>IF(' Bilan cloture'!B17="","",' Bilan cloture'!B17)</f>
        <v>Créances Clients Casse</v>
      </c>
      <c r="C16" s="53" t="str">
        <f>IF(' Bilan cloture'!C17="","",' Bilan cloture'!C17)</f>
        <v>مستحقات لدى الزبائن</v>
      </c>
      <c r="D16" s="37">
        <f>' Bilan cloture'!D17</f>
        <v>9715</v>
      </c>
      <c r="E16" s="92"/>
      <c r="F16" s="479"/>
      <c r="G16" s="15" t="str">
        <f>IF(' Bilan cloture'!G17="","",' Bilan cloture'!G17)</f>
        <v>Dettes Personnel</v>
      </c>
      <c r="H16" s="56" t="str">
        <f>IF(' Bilan cloture'!H17="","",' Bilan cloture'!H17)</f>
        <v/>
      </c>
      <c r="I16" s="38">
        <f>' Bilan cloture'!I17</f>
        <v>411941.5</v>
      </c>
    </row>
    <row r="17" spans="1:10" ht="38.25" customHeight="1">
      <c r="A17" s="479"/>
      <c r="B17" s="95" t="str">
        <f>IF(' Bilan cloture'!B18="","",' Bilan cloture'!B18)</f>
        <v>Avances fournisseurs</v>
      </c>
      <c r="C17" s="53" t="str">
        <f>IF(' Bilan cloture'!C18="","",' Bilan cloture'!C18)</f>
        <v>تسبيقات للموردين</v>
      </c>
      <c r="D17" s="37">
        <f>' Bilan cloture'!D18</f>
        <v>267528.62</v>
      </c>
      <c r="E17" s="92"/>
      <c r="F17" s="479"/>
      <c r="G17" s="95" t="str">
        <f>IF(' Bilan cloture'!G18="","",' Bilan cloture'!G18)</f>
        <v>Dettes Inpot Tripinal Berriane</v>
      </c>
      <c r="H17" s="56" t="str">
        <f>IF(' Bilan cloture'!H18="","",' Bilan cloture'!H18)</f>
        <v/>
      </c>
      <c r="I17" s="38">
        <f>' Bilan cloture'!I18</f>
        <v>0</v>
      </c>
    </row>
    <row r="18" spans="1:10" ht="38.25" customHeight="1">
      <c r="A18" s="479"/>
      <c r="B18" s="95" t="str">
        <f>IF(' Bilan cloture'!B19="","",' Bilan cloture'!B19)</f>
        <v>Avances fournisseurs Casse 18</v>
      </c>
      <c r="C18" s="53" t="str">
        <f>IF(' Bilan cloture'!C19="","",' Bilan cloture'!C19)</f>
        <v>تسبيقات للموردين</v>
      </c>
      <c r="D18" s="37">
        <f>' Bilan cloture'!D19</f>
        <v>1271360</v>
      </c>
      <c r="E18" s="92"/>
      <c r="F18" s="479"/>
      <c r="G18" s="95" t="str">
        <f>IF(' Bilan cloture'!G19="","",' Bilan cloture'!G19)</f>
        <v/>
      </c>
      <c r="H18" s="56" t="str">
        <f>IF(' Bilan cloture'!H19="","",' Bilan cloture'!H19)</f>
        <v/>
      </c>
      <c r="I18" s="38">
        <f>' Bilan cloture'!I19</f>
        <v>0</v>
      </c>
    </row>
    <row r="19" spans="1:10" ht="38.25" customHeight="1">
      <c r="A19" s="479"/>
      <c r="B19" s="95" t="str">
        <f>IF(' Bilan cloture'!B21="","",' Bilan cloture'!B21)</f>
        <v>Avances associers</v>
      </c>
      <c r="C19" s="53" t="str">
        <f>IF(' Bilan cloture'!C21="","",' Bilan cloture'!C21)</f>
        <v>تسبيقات للشركاء</v>
      </c>
      <c r="D19" s="37"/>
      <c r="E19" s="92"/>
      <c r="F19" s="479"/>
      <c r="G19" s="95"/>
      <c r="H19" s="56"/>
      <c r="I19" s="118"/>
    </row>
    <row r="20" spans="1:10" ht="38.25" customHeight="1">
      <c r="A20" s="479"/>
      <c r="B20" s="95" t="str">
        <f>IF(' Bilan cloture'!B22="","",' Bilan cloture'!B22)</f>
        <v>Prêt salariés</v>
      </c>
      <c r="C20" s="53" t="str">
        <f>IF(' Bilan cloture'!C22="","",' Bilan cloture'!C22)</f>
        <v>سلف للعمال</v>
      </c>
      <c r="D20" s="37">
        <f>' Bilan cloture'!D22</f>
        <v>43869</v>
      </c>
      <c r="E20" s="92"/>
      <c r="F20" s="479"/>
      <c r="G20" s="116"/>
      <c r="H20" s="117"/>
      <c r="I20" s="118"/>
      <c r="J20" s="12"/>
    </row>
    <row r="21" spans="1:10" ht="38.25" customHeight="1">
      <c r="A21" s="479"/>
      <c r="B21" s="95" t="s">
        <v>142</v>
      </c>
      <c r="C21" s="53"/>
      <c r="D21" s="37">
        <f>-'Repartition globale'!J13</f>
        <v>9896090.5099999979</v>
      </c>
      <c r="E21" s="92"/>
      <c r="F21" s="479"/>
      <c r="G21" s="116"/>
      <c r="H21" s="117"/>
      <c r="I21" s="118"/>
      <c r="J21" s="12"/>
    </row>
    <row r="22" spans="1:10" ht="38.25" customHeight="1" thickBot="1">
      <c r="A22" s="480"/>
      <c r="B22" s="47"/>
      <c r="C22" s="98"/>
      <c r="D22" s="37"/>
      <c r="E22" s="92"/>
      <c r="F22" s="479"/>
      <c r="G22" s="116"/>
      <c r="H22" s="117"/>
      <c r="I22" s="118"/>
      <c r="J22" s="12"/>
    </row>
    <row r="23" spans="1:10" ht="38.25" customHeight="1" thickBot="1">
      <c r="A23" s="16">
        <f>D23/D27</f>
        <v>1.8123530278746115E-2</v>
      </c>
      <c r="B23" s="471" t="s">
        <v>48</v>
      </c>
      <c r="C23" s="472"/>
      <c r="D23" s="35">
        <f>SUM(D24:D26)</f>
        <v>1071362.28</v>
      </c>
      <c r="E23" s="92"/>
      <c r="F23" s="479"/>
      <c r="G23" s="116"/>
      <c r="H23" s="117"/>
      <c r="I23" s="118"/>
      <c r="J23" s="12"/>
    </row>
    <row r="24" spans="1:10" ht="38.25" customHeight="1">
      <c r="A24" s="473">
        <v>5</v>
      </c>
      <c r="B24" s="14" t="str">
        <f>IF(' Bilan cloture'!B26="","",' Bilan cloture'!B26)</f>
        <v>Trésorie</v>
      </c>
      <c r="C24" s="53" t="str">
        <f>IF(' Bilan cloture'!C26="","",' Bilan cloture'!C26)</f>
        <v>الخزينة</v>
      </c>
      <c r="D24" s="37">
        <f>' Bilan cloture'!D26</f>
        <v>775910</v>
      </c>
      <c r="E24" s="92"/>
      <c r="F24" s="479"/>
      <c r="G24" s="116"/>
      <c r="H24" s="117"/>
      <c r="I24" s="118"/>
      <c r="J24" s="22"/>
    </row>
    <row r="25" spans="1:10" ht="38.25" customHeight="1">
      <c r="A25" s="474"/>
      <c r="B25" s="14" t="str">
        <f>IF(' Bilan cloture'!B27="","",' Bilan cloture'!B27)</f>
        <v>Compte courant Banque BDL</v>
      </c>
      <c r="C25" s="53" t="str">
        <f>IF(' Bilan cloture'!C27="","",' Bilan cloture'!C27)</f>
        <v>الحساب الجاري البنكي</v>
      </c>
      <c r="D25" s="37">
        <f>' Bilan cloture'!D27</f>
        <v>15452.279999999999</v>
      </c>
      <c r="E25" s="92"/>
      <c r="F25" s="479"/>
      <c r="G25" s="116"/>
      <c r="H25" s="117"/>
      <c r="I25" s="118"/>
      <c r="J25" s="12"/>
    </row>
    <row r="26" spans="1:10" ht="38.25" customHeight="1" thickBot="1">
      <c r="A26" s="474"/>
      <c r="B26" s="14" t="str">
        <f>IF(' Bilan cloture'!B28="","",' Bilan cloture'!B28)</f>
        <v>Devise-euro</v>
      </c>
      <c r="C26" s="53">
        <f>IF(' Bilan cloture'!C28="","",' Bilan cloture'!C28)</f>
        <v>1120</v>
      </c>
      <c r="D26" s="37">
        <f>' Bilan cloture'!D28</f>
        <v>280000</v>
      </c>
      <c r="E26" s="92"/>
      <c r="F26" s="480"/>
      <c r="G26" s="47"/>
      <c r="H26" s="119"/>
      <c r="I26" s="46"/>
      <c r="J26" s="12"/>
    </row>
    <row r="27" spans="1:10" ht="38.25" customHeight="1" thickBot="1">
      <c r="A27" s="100"/>
      <c r="B27" s="101" t="s">
        <v>4</v>
      </c>
      <c r="C27" s="102"/>
      <c r="D27" s="39">
        <f>D6+D11+D14+D23</f>
        <v>59114436.510000005</v>
      </c>
      <c r="E27" s="92"/>
      <c r="F27" s="475" t="s">
        <v>5</v>
      </c>
      <c r="G27" s="476"/>
      <c r="H27" s="477"/>
      <c r="I27" s="115">
        <f>I11+I6</f>
        <v>54882113.275733821</v>
      </c>
      <c r="J27" s="49">
        <f>D27-I27</f>
        <v>4232323.2342661843</v>
      </c>
    </row>
    <row r="28" spans="1:10" ht="17.25" customHeight="1">
      <c r="A28" s="13"/>
      <c r="B28" s="24"/>
      <c r="C28" s="13"/>
      <c r="D28" s="40"/>
      <c r="E28" s="92"/>
      <c r="F28" s="41"/>
      <c r="G28" s="12"/>
      <c r="H28" s="12"/>
      <c r="I28" s="23"/>
    </row>
    <row r="29" spans="1:10" ht="15" customHeight="1">
      <c r="D29" s="42"/>
      <c r="E29" s="42"/>
    </row>
    <row r="30" spans="1:10" ht="15.75" customHeight="1"/>
    <row r="33" spans="6:10" s="11" customFormat="1"/>
    <row r="34" spans="6:10">
      <c r="F34" s="10"/>
      <c r="I34" s="10"/>
    </row>
    <row r="35" spans="6:10" ht="22.5" customHeight="1">
      <c r="F35" s="10"/>
      <c r="I35" s="10"/>
    </row>
    <row r="36" spans="6:10">
      <c r="F36" s="10"/>
      <c r="I36" s="10"/>
    </row>
    <row r="37" spans="6:10" ht="22.5" customHeight="1">
      <c r="F37" s="10"/>
      <c r="I37" s="10"/>
    </row>
    <row r="38" spans="6:10" ht="22.5" customHeight="1">
      <c r="F38" s="10"/>
    </row>
    <row r="47" spans="6:10">
      <c r="J47" s="18"/>
    </row>
    <row r="189" spans="2:9">
      <c r="B189" s="11"/>
      <c r="C189" s="11"/>
      <c r="D189" s="11"/>
      <c r="E189" s="11"/>
      <c r="F189" s="43"/>
      <c r="G189" s="11"/>
      <c r="H189" s="11"/>
      <c r="I189" s="43"/>
    </row>
    <row r="190" spans="2:9">
      <c r="B190" s="11"/>
      <c r="C190" s="11"/>
      <c r="D190" s="11"/>
      <c r="E190" s="11"/>
      <c r="F190" s="43"/>
      <c r="G190" s="11"/>
      <c r="H190" s="11"/>
      <c r="I190" s="43"/>
    </row>
    <row r="191" spans="2:9">
      <c r="B191" s="11"/>
      <c r="C191" s="11"/>
      <c r="D191" s="11"/>
      <c r="E191" s="11"/>
      <c r="F191" s="43"/>
      <c r="G191" s="11"/>
      <c r="H191" s="11"/>
      <c r="I191" s="43"/>
    </row>
    <row r="192" spans="2:9">
      <c r="B192" s="11"/>
      <c r="C192" s="11"/>
      <c r="D192" s="11"/>
      <c r="E192" s="11"/>
      <c r="F192" s="43"/>
      <c r="G192" s="11"/>
      <c r="H192" s="11"/>
      <c r="I192" s="43"/>
    </row>
    <row r="193" spans="1:10">
      <c r="A193" s="11"/>
      <c r="B193" s="11"/>
      <c r="C193" s="11"/>
      <c r="D193" s="11"/>
      <c r="E193" s="11"/>
      <c r="F193" s="43"/>
      <c r="G193" s="11"/>
      <c r="H193" s="11"/>
      <c r="I193" s="43"/>
    </row>
    <row r="194" spans="1:10">
      <c r="A194" s="11"/>
      <c r="B194" s="11"/>
      <c r="C194" s="11"/>
      <c r="D194" s="11"/>
      <c r="E194" s="11"/>
      <c r="F194" s="43"/>
      <c r="G194" s="11"/>
      <c r="H194" s="11"/>
      <c r="I194" s="43"/>
    </row>
    <row r="195" spans="1:10">
      <c r="A195" s="11"/>
      <c r="B195" s="11"/>
      <c r="C195" s="11"/>
      <c r="D195" s="11"/>
      <c r="E195" s="11"/>
      <c r="F195" s="43"/>
      <c r="G195" s="11"/>
      <c r="H195" s="11"/>
      <c r="I195" s="43"/>
    </row>
    <row r="196" spans="1:10">
      <c r="A196" s="11"/>
      <c r="B196" s="11"/>
      <c r="C196" s="11"/>
      <c r="D196" s="11"/>
      <c r="E196" s="11"/>
      <c r="F196" s="43"/>
      <c r="G196" s="11"/>
      <c r="H196" s="11"/>
      <c r="I196" s="43"/>
    </row>
    <row r="197" spans="1:10">
      <c r="A197" s="11"/>
      <c r="B197" s="11"/>
      <c r="C197" s="11"/>
      <c r="D197" s="11"/>
      <c r="E197" s="11"/>
      <c r="F197" s="43"/>
      <c r="G197" s="11"/>
      <c r="H197" s="11"/>
      <c r="I197" s="43"/>
    </row>
    <row r="198" spans="1:10">
      <c r="A198" s="11"/>
      <c r="B198" s="11"/>
      <c r="C198" s="11"/>
      <c r="D198" s="11"/>
      <c r="E198" s="11"/>
      <c r="F198" s="43"/>
      <c r="G198" s="11"/>
      <c r="H198" s="11"/>
      <c r="I198" s="43"/>
    </row>
    <row r="199" spans="1:10" s="11" customFormat="1">
      <c r="F199" s="43"/>
      <c r="I199" s="43"/>
      <c r="J199" s="10"/>
    </row>
    <row r="200" spans="1:10" s="11" customFormat="1">
      <c r="F200" s="43"/>
      <c r="I200" s="43"/>
      <c r="J200" s="10"/>
    </row>
    <row r="201" spans="1:10" s="11" customFormat="1">
      <c r="F201" s="43"/>
      <c r="I201" s="43"/>
    </row>
    <row r="202" spans="1:10" s="11" customFormat="1">
      <c r="F202" s="43"/>
      <c r="I202" s="43"/>
    </row>
    <row r="203" spans="1:10" s="11" customFormat="1">
      <c r="B203" s="10"/>
      <c r="C203" s="10"/>
      <c r="D203" s="10"/>
      <c r="E203" s="10"/>
      <c r="F203" s="34"/>
      <c r="G203" s="10"/>
      <c r="H203" s="10"/>
      <c r="I203" s="34"/>
    </row>
    <row r="204" spans="1:10" s="11" customFormat="1">
      <c r="B204" s="10"/>
      <c r="C204" s="10"/>
      <c r="D204" s="10"/>
      <c r="E204" s="10"/>
      <c r="F204" s="34"/>
      <c r="G204" s="10"/>
      <c r="H204" s="10"/>
      <c r="I204" s="34"/>
    </row>
    <row r="205" spans="1:10" s="11" customFormat="1">
      <c r="B205" s="10"/>
      <c r="C205" s="10"/>
      <c r="D205" s="10"/>
      <c r="E205" s="10"/>
      <c r="F205" s="34"/>
      <c r="G205" s="10"/>
      <c r="H205" s="10"/>
      <c r="I205" s="34"/>
    </row>
    <row r="206" spans="1:10" s="11" customFormat="1">
      <c r="B206" s="10"/>
      <c r="C206" s="10"/>
      <c r="D206" s="10"/>
      <c r="E206" s="10"/>
      <c r="F206" s="34"/>
      <c r="G206" s="10"/>
      <c r="H206" s="10"/>
      <c r="I206" s="34"/>
    </row>
    <row r="207" spans="1:10" s="11" customFormat="1">
      <c r="A207" s="10"/>
      <c r="B207" s="10"/>
      <c r="C207" s="10"/>
      <c r="D207" s="10"/>
      <c r="E207" s="10"/>
      <c r="F207" s="34"/>
      <c r="G207" s="10"/>
      <c r="H207" s="10"/>
      <c r="I207" s="34"/>
    </row>
    <row r="208" spans="1:10" s="11" customFormat="1">
      <c r="A208" s="10"/>
      <c r="B208" s="10"/>
      <c r="C208" s="10"/>
      <c r="D208" s="10"/>
      <c r="E208" s="10"/>
      <c r="F208" s="34"/>
      <c r="G208" s="10"/>
      <c r="H208" s="10"/>
      <c r="I208" s="34"/>
    </row>
    <row r="209" spans="1:10" s="11" customFormat="1">
      <c r="A209" s="10"/>
      <c r="B209" s="10"/>
      <c r="C209" s="10"/>
      <c r="D209" s="10"/>
      <c r="E209" s="10"/>
      <c r="F209" s="34"/>
      <c r="G209" s="10"/>
      <c r="H209" s="10"/>
      <c r="I209" s="34"/>
    </row>
    <row r="210" spans="1:10" s="11" customFormat="1">
      <c r="A210" s="10"/>
      <c r="B210" s="10"/>
      <c r="C210" s="10"/>
      <c r="D210" s="10"/>
      <c r="E210" s="10"/>
      <c r="F210" s="34"/>
      <c r="G210" s="10"/>
      <c r="H210" s="10"/>
      <c r="I210" s="34"/>
    </row>
    <row r="211" spans="1:10" s="11" customFormat="1">
      <c r="A211" s="10"/>
      <c r="B211" s="10"/>
      <c r="C211" s="10"/>
      <c r="D211" s="10"/>
      <c r="E211" s="10"/>
      <c r="F211" s="34"/>
      <c r="G211" s="10"/>
      <c r="H211" s="10"/>
      <c r="I211" s="34"/>
    </row>
    <row r="212" spans="1:10" s="11" customFormat="1">
      <c r="A212" s="10"/>
      <c r="B212" s="10"/>
      <c r="C212" s="10"/>
      <c r="D212" s="10"/>
      <c r="E212" s="10"/>
      <c r="F212" s="34"/>
      <c r="G212" s="10"/>
      <c r="H212" s="10"/>
      <c r="I212" s="34"/>
    </row>
    <row r="213" spans="1:10">
      <c r="J213" s="11"/>
    </row>
    <row r="214" spans="1:10">
      <c r="J214" s="11"/>
    </row>
  </sheetData>
  <mergeCells count="18">
    <mergeCell ref="B6:C6"/>
    <mergeCell ref="G6:H6"/>
    <mergeCell ref="A1:I1"/>
    <mergeCell ref="A3:D3"/>
    <mergeCell ref="F3:I3"/>
    <mergeCell ref="B4:C4"/>
    <mergeCell ref="G4:H4"/>
    <mergeCell ref="B23:C23"/>
    <mergeCell ref="A24:A26"/>
    <mergeCell ref="F27:H27"/>
    <mergeCell ref="F12:F26"/>
    <mergeCell ref="A7:A10"/>
    <mergeCell ref="F7:F10"/>
    <mergeCell ref="B11:C11"/>
    <mergeCell ref="G11:H11"/>
    <mergeCell ref="A12:A13"/>
    <mergeCell ref="B14:C14"/>
    <mergeCell ref="A15:A22"/>
  </mergeCells>
  <printOptions horizontalCentered="1" verticalCentered="1"/>
  <pageMargins left="0.19685039370078741" right="0.19685039370078741" top="0.21" bottom="0.22" header="0.19685039370078741" footer="0.19685039370078741"/>
  <pageSetup paperSize="9" scale="54" orientation="landscape" horizontalDpi="300" verticalDpi="300" r:id="rId1"/>
  <headerFooter alignWithMargins="0"/>
  <rowBreaks count="1" manualBreakCount="1">
    <brk id="28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4" topLeftCell="A5" activePane="bottomLeft" state="frozen"/>
      <selection pane="bottomLeft" activeCell="B10" sqref="B10"/>
    </sheetView>
  </sheetViews>
  <sheetFormatPr baseColWidth="10" defaultRowHeight="15"/>
  <cols>
    <col min="1" max="1" width="6" style="397" customWidth="1"/>
    <col min="2" max="2" width="23.7109375" style="354" customWidth="1"/>
    <col min="3" max="3" width="18.42578125" style="377" customWidth="1"/>
    <col min="4" max="5" width="18.42578125" style="205" customWidth="1"/>
    <col min="6" max="6" width="15.28515625" style="205" customWidth="1"/>
    <col min="7" max="7" width="27.7109375" style="205" bestFit="1" customWidth="1"/>
    <col min="8" max="8" width="8.42578125" style="201" customWidth="1"/>
    <col min="9" max="16384" width="11.42578125" style="201"/>
  </cols>
  <sheetData>
    <row r="1" spans="1:9" ht="24">
      <c r="G1" s="200">
        <f>SUM(G5:G38167)</f>
        <v>3044406.8999999994</v>
      </c>
    </row>
    <row r="3" spans="1:9" ht="24">
      <c r="A3" s="398"/>
      <c r="B3" s="355"/>
      <c r="C3" s="378"/>
      <c r="D3" s="197">
        <f>SUBTOTAL(9,D5:D160)</f>
        <v>12910.36</v>
      </c>
      <c r="E3" s="198"/>
      <c r="F3" s="199"/>
      <c r="G3" s="200">
        <f>SUBTOTAL(9,G5:G153)</f>
        <v>3044406.8999999994</v>
      </c>
      <c r="I3" s="202"/>
    </row>
    <row r="4" spans="1:9" ht="18.75">
      <c r="A4" s="351" t="s">
        <v>15</v>
      </c>
      <c r="B4" s="351" t="s">
        <v>101</v>
      </c>
      <c r="C4" s="399" t="s">
        <v>147</v>
      </c>
      <c r="D4" s="353" t="s">
        <v>250</v>
      </c>
      <c r="E4" s="400" t="s">
        <v>102</v>
      </c>
      <c r="F4" s="353" t="s">
        <v>105</v>
      </c>
      <c r="G4" s="352" t="s">
        <v>106</v>
      </c>
    </row>
    <row r="5" spans="1:9">
      <c r="A5" s="243">
        <v>1</v>
      </c>
      <c r="B5" s="371" t="s">
        <v>313</v>
      </c>
      <c r="C5" s="379"/>
      <c r="D5" s="204">
        <f>10+130+107.9+88.5+151.6+30+595.49+2.59+347.15+513.47+280.43+386.7+358.99+561.64+348.8+407.45+195.13+250.19+213.98+287.86</f>
        <v>5267.869999999999</v>
      </c>
      <c r="E5" s="204"/>
      <c r="F5" s="204">
        <v>350</v>
      </c>
      <c r="G5" s="204">
        <f>D5*F5</f>
        <v>1843754.4999999995</v>
      </c>
      <c r="H5" s="205"/>
      <c r="I5" s="202"/>
    </row>
    <row r="6" spans="1:9">
      <c r="A6" s="243">
        <v>1</v>
      </c>
      <c r="B6" s="371" t="s">
        <v>321</v>
      </c>
      <c r="C6" s="379"/>
      <c r="D6" s="204">
        <f>105.26+22.62+54.09+7.3+15.6+40.13+54+218.07+56+40+99+120+85+512.58+299.36+225.15+8+134.78+393.3+79.3+60+49.46+34.77+192.75+354+628.1</f>
        <v>3888.6200000000008</v>
      </c>
      <c r="E6" s="204"/>
      <c r="F6" s="204">
        <v>220</v>
      </c>
      <c r="G6" s="204">
        <f>D6*F6</f>
        <v>855496.40000000014</v>
      </c>
      <c r="H6" s="205"/>
      <c r="I6" s="202"/>
    </row>
    <row r="7" spans="1:9">
      <c r="A7" s="243">
        <v>1</v>
      </c>
      <c r="B7" s="371" t="s">
        <v>322</v>
      </c>
      <c r="C7" s="379"/>
      <c r="D7" s="204">
        <f>156.71+95+109.14+230.7+23.1+26.32+2.97+14.26+543.9+566.48+381.2+477+85.65+80.92+118.5</f>
        <v>2911.85</v>
      </c>
      <c r="E7" s="204"/>
      <c r="F7" s="204">
        <v>100</v>
      </c>
      <c r="G7" s="204">
        <f t="shared" ref="G7:G9" si="0">D7*F7</f>
        <v>291185</v>
      </c>
      <c r="H7" s="205"/>
      <c r="I7" s="202"/>
    </row>
    <row r="8" spans="1:9">
      <c r="A8" s="243">
        <v>1</v>
      </c>
      <c r="B8" s="371" t="s">
        <v>353</v>
      </c>
      <c r="C8" s="379"/>
      <c r="D8" s="204">
        <v>782.67</v>
      </c>
      <c r="E8" s="204"/>
      <c r="F8" s="204">
        <v>50</v>
      </c>
      <c r="G8" s="204">
        <f t="shared" ref="G8" si="1">D8*F8</f>
        <v>39133.5</v>
      </c>
      <c r="H8" s="205"/>
      <c r="I8" s="202"/>
    </row>
    <row r="9" spans="1:9">
      <c r="A9" s="243">
        <v>2</v>
      </c>
      <c r="B9" s="371" t="s">
        <v>373</v>
      </c>
      <c r="C9" s="379"/>
      <c r="D9" s="204">
        <f>27.35+32</f>
        <v>59.35</v>
      </c>
      <c r="E9" s="204"/>
      <c r="F9" s="204">
        <v>250</v>
      </c>
      <c r="G9" s="204">
        <f t="shared" si="0"/>
        <v>14837.5</v>
      </c>
      <c r="H9" s="205"/>
      <c r="I9" s="202"/>
    </row>
    <row r="10" spans="1:9">
      <c r="A10" s="243">
        <v>2</v>
      </c>
      <c r="B10" s="371"/>
      <c r="C10" s="379"/>
      <c r="D10" s="204"/>
      <c r="E10" s="204"/>
      <c r="F10" s="204"/>
      <c r="G10" s="204">
        <f>E10*F10</f>
        <v>0</v>
      </c>
      <c r="H10" s="205"/>
      <c r="I10" s="202"/>
    </row>
    <row r="11" spans="1:9">
      <c r="A11" s="243">
        <v>3</v>
      </c>
      <c r="B11" s="371"/>
      <c r="C11" s="379"/>
      <c r="D11" s="204"/>
      <c r="E11" s="204"/>
      <c r="F11" s="204"/>
      <c r="G11" s="204">
        <f>E11*F11</f>
        <v>0</v>
      </c>
    </row>
    <row r="12" spans="1:9">
      <c r="A12" s="243">
        <v>3</v>
      </c>
      <c r="B12" s="371"/>
      <c r="C12" s="379"/>
      <c r="D12" s="204"/>
      <c r="E12" s="204"/>
      <c r="F12" s="204"/>
      <c r="G12" s="204">
        <f t="shared" ref="G12:G34" si="2">E12*F12</f>
        <v>0</v>
      </c>
    </row>
    <row r="13" spans="1:9">
      <c r="A13" s="243">
        <v>4</v>
      </c>
      <c r="B13" s="371"/>
      <c r="C13" s="379"/>
      <c r="D13" s="204"/>
      <c r="E13" s="204"/>
      <c r="F13" s="204"/>
      <c r="G13" s="204">
        <f t="shared" si="2"/>
        <v>0</v>
      </c>
    </row>
    <row r="14" spans="1:9">
      <c r="A14" s="243">
        <v>5</v>
      </c>
      <c r="B14" s="371"/>
      <c r="C14" s="379"/>
      <c r="D14" s="204"/>
      <c r="E14" s="204"/>
      <c r="F14" s="204"/>
      <c r="G14" s="204">
        <f t="shared" si="2"/>
        <v>0</v>
      </c>
    </row>
    <row r="15" spans="1:9">
      <c r="A15" s="243">
        <v>6</v>
      </c>
      <c r="B15" s="371"/>
      <c r="C15" s="379"/>
      <c r="D15" s="204"/>
      <c r="E15" s="204"/>
      <c r="F15" s="204"/>
      <c r="G15" s="204">
        <f t="shared" si="2"/>
        <v>0</v>
      </c>
    </row>
    <row r="16" spans="1:9">
      <c r="A16" s="243">
        <v>7</v>
      </c>
      <c r="B16" s="371"/>
      <c r="C16" s="379"/>
      <c r="D16" s="204"/>
      <c r="E16" s="204"/>
      <c r="F16" s="204"/>
      <c r="G16" s="204">
        <f t="shared" si="2"/>
        <v>0</v>
      </c>
    </row>
    <row r="17" spans="1:7">
      <c r="A17" s="243">
        <v>8</v>
      </c>
      <c r="B17" s="371"/>
      <c r="C17" s="379"/>
      <c r="D17" s="204"/>
      <c r="E17" s="204"/>
      <c r="F17" s="204"/>
      <c r="G17" s="204">
        <f t="shared" si="2"/>
        <v>0</v>
      </c>
    </row>
    <row r="18" spans="1:7">
      <c r="A18" s="243">
        <v>9</v>
      </c>
      <c r="B18" s="371"/>
      <c r="C18" s="379"/>
      <c r="D18" s="204"/>
      <c r="E18" s="204"/>
      <c r="F18" s="204"/>
      <c r="G18" s="204">
        <f t="shared" si="2"/>
        <v>0</v>
      </c>
    </row>
    <row r="19" spans="1:7">
      <c r="A19" s="243">
        <v>10</v>
      </c>
      <c r="B19" s="371"/>
      <c r="C19" s="379"/>
      <c r="D19" s="204"/>
      <c r="E19" s="204"/>
      <c r="F19" s="204"/>
      <c r="G19" s="204">
        <f t="shared" si="2"/>
        <v>0</v>
      </c>
    </row>
    <row r="20" spans="1:7">
      <c r="A20" s="243">
        <v>11</v>
      </c>
      <c r="B20" s="371"/>
      <c r="C20" s="379"/>
      <c r="D20" s="204"/>
      <c r="E20" s="204"/>
      <c r="F20" s="204"/>
      <c r="G20" s="204">
        <f t="shared" si="2"/>
        <v>0</v>
      </c>
    </row>
    <row r="21" spans="1:7">
      <c r="A21" s="243">
        <v>12</v>
      </c>
      <c r="B21" s="371"/>
      <c r="C21" s="379"/>
      <c r="D21" s="204"/>
      <c r="E21" s="204"/>
      <c r="F21" s="204"/>
      <c r="G21" s="204">
        <f t="shared" si="2"/>
        <v>0</v>
      </c>
    </row>
    <row r="22" spans="1:7">
      <c r="A22" s="243">
        <v>12</v>
      </c>
      <c r="B22" s="371"/>
      <c r="C22" s="379"/>
      <c r="D22" s="204"/>
      <c r="E22" s="204"/>
      <c r="F22" s="204"/>
      <c r="G22" s="204">
        <f t="shared" ref="G22" si="3">E22*F22</f>
        <v>0</v>
      </c>
    </row>
    <row r="23" spans="1:7">
      <c r="A23" s="243">
        <v>13</v>
      </c>
      <c r="B23" s="371"/>
      <c r="C23" s="203"/>
      <c r="D23" s="204"/>
      <c r="E23" s="204"/>
      <c r="F23" s="204"/>
      <c r="G23" s="204">
        <f t="shared" si="2"/>
        <v>0</v>
      </c>
    </row>
    <row r="24" spans="1:7">
      <c r="A24" s="243">
        <v>14</v>
      </c>
      <c r="B24" s="371"/>
      <c r="C24" s="203"/>
      <c r="D24" s="204"/>
      <c r="E24" s="204"/>
      <c r="F24" s="204"/>
      <c r="G24" s="204">
        <f t="shared" si="2"/>
        <v>0</v>
      </c>
    </row>
    <row r="25" spans="1:7">
      <c r="A25" s="243">
        <v>14</v>
      </c>
      <c r="B25" s="371"/>
      <c r="C25" s="379"/>
      <c r="D25" s="204"/>
      <c r="E25" s="204"/>
      <c r="F25" s="204"/>
      <c r="G25" s="204">
        <f t="shared" si="2"/>
        <v>0</v>
      </c>
    </row>
    <row r="26" spans="1:7">
      <c r="A26" s="243">
        <v>15</v>
      </c>
      <c r="B26" s="371"/>
      <c r="C26" s="379"/>
      <c r="D26" s="204"/>
      <c r="E26" s="204"/>
      <c r="F26" s="204"/>
      <c r="G26" s="204">
        <f t="shared" si="2"/>
        <v>0</v>
      </c>
    </row>
    <row r="27" spans="1:7">
      <c r="A27" s="243">
        <v>16</v>
      </c>
      <c r="B27" s="371"/>
      <c r="C27" s="379"/>
      <c r="D27" s="204"/>
      <c r="E27" s="204"/>
      <c r="F27" s="204"/>
      <c r="G27" s="204">
        <f t="shared" si="2"/>
        <v>0</v>
      </c>
    </row>
    <row r="28" spans="1:7">
      <c r="A28" s="243">
        <v>17</v>
      </c>
      <c r="B28" s="371"/>
      <c r="C28" s="379"/>
      <c r="D28" s="204"/>
      <c r="E28" s="204"/>
      <c r="F28" s="204"/>
      <c r="G28" s="204">
        <f t="shared" si="2"/>
        <v>0</v>
      </c>
    </row>
    <row r="29" spans="1:7">
      <c r="A29" s="243">
        <v>18</v>
      </c>
      <c r="B29" s="371"/>
      <c r="C29" s="379"/>
      <c r="D29" s="204"/>
      <c r="E29" s="204"/>
      <c r="F29" s="204"/>
      <c r="G29" s="204">
        <f t="shared" si="2"/>
        <v>0</v>
      </c>
    </row>
    <row r="30" spans="1:7">
      <c r="A30" s="243">
        <v>18</v>
      </c>
      <c r="B30" s="371"/>
      <c r="C30" s="379"/>
      <c r="D30" s="204"/>
      <c r="E30" s="204"/>
      <c r="F30" s="204"/>
      <c r="G30" s="204">
        <f t="shared" si="2"/>
        <v>0</v>
      </c>
    </row>
    <row r="31" spans="1:7">
      <c r="A31" s="243">
        <v>18</v>
      </c>
      <c r="B31" s="371"/>
      <c r="C31" s="379"/>
      <c r="D31" s="204"/>
      <c r="E31" s="204"/>
      <c r="F31" s="204"/>
      <c r="G31" s="204">
        <f t="shared" si="2"/>
        <v>0</v>
      </c>
    </row>
    <row r="32" spans="1:7">
      <c r="A32" s="243">
        <v>18</v>
      </c>
      <c r="B32" s="371"/>
      <c r="C32" s="379"/>
      <c r="D32" s="204"/>
      <c r="E32" s="204"/>
      <c r="F32" s="204"/>
      <c r="G32" s="204">
        <f t="shared" si="2"/>
        <v>0</v>
      </c>
    </row>
    <row r="33" spans="1:7">
      <c r="A33" s="243">
        <v>19</v>
      </c>
      <c r="B33" s="371"/>
      <c r="C33" s="379"/>
      <c r="D33" s="204"/>
      <c r="E33" s="204"/>
      <c r="F33" s="204"/>
      <c r="G33" s="204">
        <f t="shared" si="2"/>
        <v>0</v>
      </c>
    </row>
    <row r="34" spans="1:7">
      <c r="A34" s="243">
        <v>20</v>
      </c>
      <c r="B34" s="371"/>
      <c r="C34" s="379"/>
      <c r="D34" s="204"/>
      <c r="E34" s="204"/>
      <c r="F34" s="204"/>
      <c r="G34" s="204">
        <f t="shared" si="2"/>
        <v>0</v>
      </c>
    </row>
    <row r="35" spans="1:7">
      <c r="A35" s="243">
        <v>21</v>
      </c>
      <c r="B35" s="371"/>
      <c r="C35" s="379"/>
      <c r="D35" s="204"/>
      <c r="E35" s="204"/>
      <c r="F35" s="204"/>
      <c r="G35" s="204"/>
    </row>
    <row r="36" spans="1:7">
      <c r="A36" s="243">
        <v>22</v>
      </c>
      <c r="B36" s="371"/>
      <c r="C36" s="379"/>
      <c r="D36" s="204"/>
      <c r="E36" s="204"/>
      <c r="F36" s="204"/>
      <c r="G36" s="204"/>
    </row>
    <row r="37" spans="1:7">
      <c r="A37" s="243">
        <v>23</v>
      </c>
      <c r="B37" s="371"/>
      <c r="C37" s="379"/>
      <c r="D37" s="204"/>
      <c r="E37" s="204"/>
      <c r="F37" s="204"/>
      <c r="G37" s="204"/>
    </row>
    <row r="38" spans="1:7">
      <c r="A38" s="243">
        <v>24</v>
      </c>
      <c r="B38" s="371"/>
      <c r="C38" s="379"/>
      <c r="D38" s="204"/>
      <c r="E38" s="204"/>
      <c r="F38" s="204"/>
      <c r="G38" s="204"/>
    </row>
    <row r="39" spans="1:7">
      <c r="A39" s="243">
        <v>25</v>
      </c>
      <c r="B39" s="371"/>
      <c r="C39" s="379"/>
      <c r="D39" s="204"/>
      <c r="E39" s="204"/>
      <c r="F39" s="204"/>
      <c r="G39" s="204"/>
    </row>
    <row r="40" spans="1:7">
      <c r="A40" s="243">
        <v>26</v>
      </c>
      <c r="B40" s="371"/>
      <c r="C40" s="379"/>
      <c r="D40" s="204"/>
      <c r="E40" s="204"/>
      <c r="F40" s="204"/>
      <c r="G40" s="204"/>
    </row>
    <row r="41" spans="1:7">
      <c r="A41" s="243">
        <v>27</v>
      </c>
      <c r="B41" s="371"/>
      <c r="C41" s="379"/>
      <c r="D41" s="204"/>
      <c r="E41" s="204"/>
      <c r="F41" s="204"/>
      <c r="G41" s="204"/>
    </row>
    <row r="42" spans="1:7">
      <c r="A42" s="243">
        <v>28</v>
      </c>
      <c r="B42" s="371"/>
      <c r="C42" s="379"/>
      <c r="D42" s="204"/>
      <c r="E42" s="204"/>
      <c r="F42" s="204"/>
      <c r="G42" s="204"/>
    </row>
    <row r="43" spans="1:7">
      <c r="A43" s="243">
        <v>29</v>
      </c>
      <c r="B43" s="371"/>
      <c r="C43" s="379"/>
      <c r="D43" s="204"/>
      <c r="E43" s="204"/>
      <c r="F43" s="204"/>
      <c r="G43" s="204"/>
    </row>
    <row r="44" spans="1:7">
      <c r="A44" s="243">
        <v>29</v>
      </c>
      <c r="B44" s="371"/>
      <c r="C44" s="379"/>
      <c r="D44" s="204"/>
      <c r="E44" s="204"/>
      <c r="F44" s="204"/>
      <c r="G44" s="204"/>
    </row>
    <row r="45" spans="1:7">
      <c r="A45" s="243"/>
      <c r="B45" s="371"/>
      <c r="C45" s="379"/>
      <c r="D45" s="204"/>
      <c r="E45" s="204"/>
      <c r="F45" s="204"/>
      <c r="G45" s="204"/>
    </row>
    <row r="46" spans="1:7">
      <c r="A46" s="243"/>
      <c r="B46" s="371"/>
      <c r="C46" s="379"/>
      <c r="D46" s="204"/>
      <c r="E46" s="204"/>
      <c r="F46" s="204"/>
      <c r="G46" s="204"/>
    </row>
    <row r="47" spans="1:7">
      <c r="A47" s="243"/>
      <c r="B47" s="371"/>
      <c r="C47" s="379"/>
      <c r="D47" s="204"/>
      <c r="E47" s="204"/>
      <c r="F47" s="204"/>
      <c r="G47" s="204"/>
    </row>
    <row r="48" spans="1:7">
      <c r="A48" s="243"/>
      <c r="B48" s="371"/>
      <c r="C48" s="379"/>
      <c r="D48" s="204"/>
      <c r="E48" s="204"/>
      <c r="F48" s="204"/>
      <c r="G48" s="204"/>
    </row>
    <row r="49" spans="1:7">
      <c r="A49" s="243"/>
      <c r="B49" s="371"/>
      <c r="C49" s="379"/>
      <c r="D49" s="204"/>
      <c r="E49" s="204"/>
      <c r="F49" s="204"/>
      <c r="G49" s="204"/>
    </row>
    <row r="50" spans="1:7">
      <c r="A50" s="243"/>
      <c r="B50" s="371"/>
      <c r="C50" s="379"/>
      <c r="D50" s="204"/>
      <c r="E50" s="204"/>
      <c r="F50" s="204"/>
      <c r="G50" s="204"/>
    </row>
    <row r="51" spans="1:7">
      <c r="A51" s="243"/>
      <c r="B51" s="370"/>
      <c r="C51" s="379"/>
      <c r="D51" s="204"/>
      <c r="E51" s="204"/>
      <c r="F51" s="204"/>
      <c r="G51" s="204"/>
    </row>
    <row r="52" spans="1:7">
      <c r="A52" s="243"/>
      <c r="B52" s="370"/>
      <c r="C52" s="379"/>
      <c r="D52" s="204"/>
      <c r="E52" s="204"/>
      <c r="F52" s="204"/>
      <c r="G52" s="204"/>
    </row>
    <row r="53" spans="1:7">
      <c r="A53" s="243"/>
      <c r="B53" s="370"/>
      <c r="C53" s="379"/>
      <c r="D53" s="204"/>
      <c r="E53" s="204"/>
      <c r="F53" s="204"/>
      <c r="G53" s="204"/>
    </row>
  </sheetData>
  <autoFilter ref="B4:G4">
    <sortState ref="B5:F34">
      <sortCondition ref="B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G11" sqref="G11"/>
    </sheetView>
  </sheetViews>
  <sheetFormatPr baseColWidth="10" defaultRowHeight="15"/>
  <cols>
    <col min="1" max="1" width="6" style="397" customWidth="1"/>
    <col min="2" max="2" width="23.7109375" style="354" customWidth="1"/>
    <col min="3" max="3" width="18.42578125" style="377" customWidth="1"/>
    <col min="4" max="5" width="18.42578125" style="205" customWidth="1"/>
    <col min="6" max="6" width="15.28515625" style="205" customWidth="1"/>
    <col min="7" max="7" width="27.7109375" style="205" bestFit="1" customWidth="1"/>
    <col min="8" max="8" width="8.42578125" style="201" customWidth="1"/>
    <col min="9" max="16384" width="11.42578125" style="201"/>
  </cols>
  <sheetData>
    <row r="1" spans="1:9" ht="24">
      <c r="G1" s="200">
        <f>SUM(G5:G38166)</f>
        <v>150000</v>
      </c>
    </row>
    <row r="3" spans="1:9" ht="24">
      <c r="A3" s="398"/>
      <c r="B3" s="355"/>
      <c r="C3" s="378"/>
      <c r="D3" s="197">
        <f>SUBTOTAL(9,D5:D159)</f>
        <v>0</v>
      </c>
      <c r="E3" s="198"/>
      <c r="F3" s="199"/>
      <c r="G3" s="200">
        <f>SUBTOTAL(9,G5:G152)</f>
        <v>150000</v>
      </c>
      <c r="I3" s="202"/>
    </row>
    <row r="4" spans="1:9" ht="18.75">
      <c r="A4" s="351" t="s">
        <v>15</v>
      </c>
      <c r="B4" s="351" t="s">
        <v>101</v>
      </c>
      <c r="C4" s="399" t="s">
        <v>147</v>
      </c>
      <c r="D4" s="353" t="s">
        <v>250</v>
      </c>
      <c r="E4" s="400" t="s">
        <v>102</v>
      </c>
      <c r="F4" s="353" t="s">
        <v>105</v>
      </c>
      <c r="G4" s="352" t="s">
        <v>106</v>
      </c>
    </row>
    <row r="5" spans="1:9">
      <c r="A5" s="243">
        <v>1</v>
      </c>
      <c r="B5" s="371" t="s">
        <v>311</v>
      </c>
      <c r="C5" s="379"/>
      <c r="D5" s="204"/>
      <c r="E5" s="204"/>
      <c r="F5" s="204"/>
      <c r="G5" s="204">
        <f>E5*F5</f>
        <v>0</v>
      </c>
      <c r="H5" s="205"/>
      <c r="I5" s="202"/>
    </row>
    <row r="6" spans="1:9">
      <c r="A6" s="243">
        <v>1</v>
      </c>
      <c r="B6" s="371" t="s">
        <v>344</v>
      </c>
      <c r="C6" s="379" t="s">
        <v>345</v>
      </c>
      <c r="D6" s="204"/>
      <c r="E6" s="204"/>
      <c r="F6" s="204"/>
      <c r="G6" s="204">
        <f>E6*F6</f>
        <v>0</v>
      </c>
      <c r="H6" s="205"/>
      <c r="I6" s="202"/>
    </row>
    <row r="7" spans="1:9">
      <c r="A7" s="243">
        <v>1</v>
      </c>
      <c r="B7" s="371" t="s">
        <v>344</v>
      </c>
      <c r="C7" s="379" t="s">
        <v>346</v>
      </c>
      <c r="D7" s="204"/>
      <c r="E7" s="204"/>
      <c r="F7" s="204"/>
      <c r="G7" s="204">
        <f>E7*F7</f>
        <v>0</v>
      </c>
      <c r="H7" s="205"/>
      <c r="I7" s="202"/>
    </row>
    <row r="8" spans="1:9">
      <c r="A8" s="243">
        <v>1</v>
      </c>
      <c r="B8" s="371" t="s">
        <v>344</v>
      </c>
      <c r="C8" s="379" t="s">
        <v>347</v>
      </c>
      <c r="D8" s="204"/>
      <c r="E8" s="204"/>
      <c r="F8" s="204"/>
      <c r="G8" s="204">
        <f>E8*F8</f>
        <v>0</v>
      </c>
      <c r="H8" s="205"/>
      <c r="I8" s="202"/>
    </row>
    <row r="9" spans="1:9">
      <c r="A9" s="243">
        <v>2</v>
      </c>
      <c r="B9" s="371" t="s">
        <v>344</v>
      </c>
      <c r="C9" s="379" t="s">
        <v>348</v>
      </c>
      <c r="D9" s="204"/>
      <c r="E9" s="204"/>
      <c r="F9" s="204"/>
      <c r="G9" s="204">
        <f>E9*F9</f>
        <v>0</v>
      </c>
      <c r="H9" s="205"/>
      <c r="I9" s="202"/>
    </row>
    <row r="10" spans="1:9">
      <c r="A10" s="243">
        <v>2</v>
      </c>
      <c r="B10" s="371" t="s">
        <v>349</v>
      </c>
      <c r="C10" s="379" t="s">
        <v>350</v>
      </c>
      <c r="D10" s="204"/>
      <c r="E10" s="204"/>
      <c r="F10" s="204"/>
      <c r="G10" s="204"/>
      <c r="H10" s="205"/>
      <c r="I10" s="202"/>
    </row>
    <row r="11" spans="1:9">
      <c r="A11" s="243">
        <v>3</v>
      </c>
      <c r="B11" s="371" t="s">
        <v>351</v>
      </c>
      <c r="C11" s="379" t="s">
        <v>352</v>
      </c>
      <c r="D11" s="204"/>
      <c r="E11" s="204"/>
      <c r="F11" s="204"/>
      <c r="G11" s="204">
        <v>150000</v>
      </c>
    </row>
    <row r="12" spans="1:9">
      <c r="A12" s="243">
        <v>3</v>
      </c>
      <c r="B12" s="371"/>
      <c r="C12" s="379"/>
      <c r="D12" s="204"/>
      <c r="E12" s="204"/>
      <c r="F12" s="204"/>
      <c r="G12" s="204"/>
    </row>
    <row r="13" spans="1:9">
      <c r="A13" s="243">
        <v>4</v>
      </c>
      <c r="B13" s="371"/>
      <c r="C13" s="379"/>
      <c r="D13" s="204"/>
      <c r="E13" s="204"/>
      <c r="F13" s="204"/>
      <c r="G13" s="204"/>
    </row>
    <row r="14" spans="1:9">
      <c r="A14" s="243">
        <v>5</v>
      </c>
      <c r="B14" s="371"/>
      <c r="C14" s="379"/>
      <c r="D14" s="204"/>
      <c r="E14" s="204"/>
      <c r="F14" s="204"/>
      <c r="G14" s="204"/>
    </row>
    <row r="15" spans="1:9">
      <c r="A15" s="243">
        <v>6</v>
      </c>
      <c r="B15" s="371"/>
      <c r="C15" s="379"/>
      <c r="D15" s="204"/>
      <c r="E15" s="204"/>
      <c r="F15" s="204"/>
      <c r="G15" s="204"/>
    </row>
    <row r="16" spans="1:9">
      <c r="A16" s="243">
        <v>7</v>
      </c>
      <c r="B16" s="371"/>
      <c r="C16" s="379"/>
      <c r="D16" s="204"/>
      <c r="E16" s="204"/>
      <c r="F16" s="204"/>
      <c r="G16" s="204"/>
    </row>
    <row r="17" spans="1:7">
      <c r="A17" s="243">
        <v>8</v>
      </c>
      <c r="B17" s="371"/>
      <c r="C17" s="379"/>
      <c r="D17" s="204"/>
      <c r="E17" s="204"/>
      <c r="F17" s="204"/>
      <c r="G17" s="204"/>
    </row>
    <row r="18" spans="1:7">
      <c r="A18" s="243">
        <v>9</v>
      </c>
      <c r="B18" s="371"/>
      <c r="C18" s="379"/>
      <c r="D18" s="204"/>
      <c r="E18" s="204"/>
      <c r="F18" s="204"/>
      <c r="G18" s="204"/>
    </row>
    <row r="19" spans="1:7">
      <c r="A19" s="243">
        <v>10</v>
      </c>
      <c r="B19" s="371"/>
      <c r="C19" s="379"/>
      <c r="D19" s="204"/>
      <c r="E19" s="204"/>
      <c r="F19" s="204"/>
      <c r="G19" s="204"/>
    </row>
    <row r="20" spans="1:7">
      <c r="A20" s="243">
        <v>11</v>
      </c>
      <c r="B20" s="371"/>
      <c r="C20" s="379"/>
      <c r="D20" s="204"/>
      <c r="E20" s="204"/>
      <c r="F20" s="204"/>
      <c r="G20" s="204"/>
    </row>
    <row r="21" spans="1:7">
      <c r="A21" s="243">
        <v>12</v>
      </c>
      <c r="B21" s="371"/>
      <c r="C21" s="379"/>
      <c r="D21" s="204"/>
      <c r="E21" s="204"/>
      <c r="F21" s="204"/>
      <c r="G21" s="204"/>
    </row>
    <row r="22" spans="1:7">
      <c r="A22" s="243">
        <v>13</v>
      </c>
      <c r="B22" s="371"/>
      <c r="C22" s="203"/>
      <c r="D22" s="204"/>
      <c r="E22" s="204"/>
      <c r="F22" s="204"/>
      <c r="G22" s="204"/>
    </row>
    <row r="23" spans="1:7">
      <c r="A23" s="243">
        <v>14</v>
      </c>
      <c r="B23" s="371"/>
      <c r="C23" s="379"/>
      <c r="D23" s="204"/>
      <c r="E23" s="204"/>
      <c r="F23" s="204"/>
      <c r="G23" s="204"/>
    </row>
    <row r="24" spans="1:7">
      <c r="A24" s="243">
        <v>14</v>
      </c>
      <c r="B24" s="371"/>
      <c r="C24" s="379"/>
      <c r="D24" s="204"/>
      <c r="E24" s="204"/>
      <c r="F24" s="204"/>
      <c r="G24" s="204"/>
    </row>
    <row r="25" spans="1:7">
      <c r="A25" s="243">
        <v>15</v>
      </c>
      <c r="B25" s="371"/>
      <c r="C25" s="379"/>
      <c r="D25" s="204"/>
      <c r="E25" s="204"/>
      <c r="F25" s="204"/>
      <c r="G25" s="204"/>
    </row>
    <row r="26" spans="1:7">
      <c r="A26" s="243">
        <v>16</v>
      </c>
      <c r="B26" s="371"/>
      <c r="C26" s="379"/>
      <c r="D26" s="204"/>
      <c r="E26" s="204"/>
      <c r="F26" s="204"/>
      <c r="G26" s="204"/>
    </row>
    <row r="27" spans="1:7">
      <c r="A27" s="243">
        <v>17</v>
      </c>
      <c r="B27" s="371"/>
      <c r="C27" s="379"/>
      <c r="D27" s="204"/>
      <c r="E27" s="204"/>
      <c r="F27" s="204"/>
      <c r="G27" s="204"/>
    </row>
    <row r="28" spans="1:7">
      <c r="A28" s="243">
        <v>18</v>
      </c>
      <c r="B28" s="371"/>
      <c r="C28" s="379"/>
      <c r="D28" s="204"/>
      <c r="E28" s="204"/>
      <c r="F28" s="204"/>
      <c r="G28" s="204"/>
    </row>
    <row r="29" spans="1:7">
      <c r="A29" s="243">
        <v>18</v>
      </c>
      <c r="B29" s="371"/>
      <c r="C29" s="379"/>
      <c r="D29" s="204"/>
      <c r="E29" s="204"/>
      <c r="F29" s="204"/>
      <c r="G29" s="204"/>
    </row>
    <row r="30" spans="1:7">
      <c r="A30" s="243">
        <v>18</v>
      </c>
      <c r="B30" s="371"/>
      <c r="C30" s="379"/>
      <c r="D30" s="204"/>
      <c r="E30" s="204"/>
      <c r="F30" s="204"/>
      <c r="G30" s="204"/>
    </row>
    <row r="31" spans="1:7">
      <c r="A31" s="243">
        <v>18</v>
      </c>
      <c r="B31" s="371"/>
      <c r="C31" s="379"/>
      <c r="D31" s="204"/>
      <c r="E31" s="204"/>
      <c r="F31" s="204"/>
      <c r="G31" s="204"/>
    </row>
    <row r="32" spans="1:7">
      <c r="A32" s="243">
        <v>19</v>
      </c>
      <c r="B32" s="371"/>
      <c r="C32" s="379"/>
      <c r="D32" s="204"/>
      <c r="E32" s="204"/>
      <c r="F32" s="204"/>
      <c r="G32" s="204"/>
    </row>
    <row r="33" spans="1:7">
      <c r="A33" s="243">
        <v>20</v>
      </c>
      <c r="B33" s="371"/>
      <c r="C33" s="379"/>
      <c r="D33" s="204"/>
      <c r="E33" s="204"/>
      <c r="F33" s="204"/>
      <c r="G33" s="204"/>
    </row>
    <row r="34" spans="1:7">
      <c r="A34" s="243">
        <v>21</v>
      </c>
      <c r="B34" s="371"/>
      <c r="C34" s="379"/>
      <c r="D34" s="204"/>
      <c r="E34" s="204"/>
      <c r="F34" s="204"/>
      <c r="G34" s="204"/>
    </row>
    <row r="35" spans="1:7">
      <c r="A35" s="243">
        <v>22</v>
      </c>
      <c r="B35" s="371"/>
      <c r="C35" s="379"/>
      <c r="D35" s="204"/>
      <c r="E35" s="204"/>
      <c r="F35" s="204"/>
      <c r="G35" s="204"/>
    </row>
    <row r="36" spans="1:7">
      <c r="A36" s="243">
        <v>23</v>
      </c>
      <c r="B36" s="371"/>
      <c r="C36" s="379"/>
      <c r="D36" s="204"/>
      <c r="E36" s="204"/>
      <c r="F36" s="204"/>
      <c r="G36" s="204"/>
    </row>
    <row r="37" spans="1:7">
      <c r="A37" s="243">
        <v>24</v>
      </c>
      <c r="B37" s="371"/>
      <c r="C37" s="379"/>
      <c r="D37" s="204"/>
      <c r="E37" s="204"/>
      <c r="F37" s="204"/>
      <c r="G37" s="204"/>
    </row>
    <row r="38" spans="1:7">
      <c r="A38" s="243">
        <v>25</v>
      </c>
      <c r="B38" s="371"/>
      <c r="C38" s="379"/>
      <c r="D38" s="204"/>
      <c r="E38" s="204"/>
      <c r="F38" s="204"/>
      <c r="G38" s="204"/>
    </row>
    <row r="39" spans="1:7">
      <c r="A39" s="243">
        <v>26</v>
      </c>
      <c r="B39" s="371"/>
      <c r="C39" s="379"/>
      <c r="D39" s="204"/>
      <c r="E39" s="204"/>
      <c r="F39" s="204"/>
      <c r="G39" s="204"/>
    </row>
    <row r="40" spans="1:7">
      <c r="A40" s="243">
        <v>27</v>
      </c>
      <c r="B40" s="371"/>
      <c r="C40" s="379"/>
      <c r="D40" s="204"/>
      <c r="E40" s="204"/>
      <c r="F40" s="204"/>
      <c r="G40" s="204"/>
    </row>
    <row r="41" spans="1:7">
      <c r="A41" s="243">
        <v>28</v>
      </c>
      <c r="B41" s="371"/>
      <c r="C41" s="379"/>
      <c r="D41" s="204"/>
      <c r="E41" s="204"/>
      <c r="F41" s="204"/>
      <c r="G41" s="204"/>
    </row>
    <row r="42" spans="1:7">
      <c r="A42" s="243">
        <v>29</v>
      </c>
      <c r="B42" s="371"/>
      <c r="C42" s="379"/>
      <c r="D42" s="204"/>
      <c r="E42" s="204"/>
      <c r="F42" s="204"/>
      <c r="G42" s="204"/>
    </row>
    <row r="43" spans="1:7">
      <c r="A43" s="243">
        <v>29</v>
      </c>
      <c r="B43" s="371"/>
      <c r="C43" s="379"/>
      <c r="D43" s="204"/>
      <c r="E43" s="204"/>
      <c r="F43" s="204"/>
      <c r="G43" s="204"/>
    </row>
    <row r="44" spans="1:7">
      <c r="A44" s="243"/>
      <c r="B44" s="371"/>
      <c r="C44" s="379"/>
      <c r="D44" s="204"/>
      <c r="E44" s="204"/>
      <c r="F44" s="204"/>
      <c r="G44" s="204"/>
    </row>
    <row r="45" spans="1:7">
      <c r="A45" s="243"/>
      <c r="B45" s="371"/>
      <c r="C45" s="379"/>
      <c r="D45" s="204"/>
      <c r="E45" s="204"/>
      <c r="F45" s="204"/>
      <c r="G45" s="204"/>
    </row>
    <row r="46" spans="1:7">
      <c r="A46" s="243"/>
      <c r="B46" s="371"/>
      <c r="C46" s="379"/>
      <c r="D46" s="204"/>
      <c r="E46" s="204"/>
      <c r="F46" s="204"/>
      <c r="G46" s="204"/>
    </row>
    <row r="47" spans="1:7">
      <c r="A47" s="243"/>
      <c r="B47" s="371"/>
      <c r="C47" s="379"/>
      <c r="D47" s="204"/>
      <c r="E47" s="204"/>
      <c r="F47" s="204"/>
      <c r="G47" s="204"/>
    </row>
    <row r="48" spans="1:7">
      <c r="A48" s="243"/>
      <c r="B48" s="371"/>
      <c r="C48" s="379"/>
      <c r="D48" s="204"/>
      <c r="E48" s="204"/>
      <c r="F48" s="204"/>
      <c r="G48" s="204"/>
    </row>
    <row r="49" spans="1:7">
      <c r="A49" s="243"/>
      <c r="B49" s="371"/>
      <c r="C49" s="379"/>
      <c r="D49" s="204"/>
      <c r="E49" s="204"/>
      <c r="F49" s="204"/>
      <c r="G49" s="204"/>
    </row>
    <row r="50" spans="1:7">
      <c r="A50" s="243"/>
      <c r="B50" s="370"/>
      <c r="C50" s="379"/>
      <c r="D50" s="204"/>
      <c r="E50" s="204"/>
      <c r="F50" s="204"/>
      <c r="G50" s="204"/>
    </row>
    <row r="51" spans="1:7">
      <c r="A51" s="243"/>
      <c r="B51" s="370"/>
      <c r="C51" s="379"/>
      <c r="D51" s="204"/>
      <c r="E51" s="204"/>
      <c r="F51" s="204"/>
      <c r="G51" s="204"/>
    </row>
    <row r="52" spans="1:7">
      <c r="A52" s="243"/>
      <c r="B52" s="370"/>
      <c r="C52" s="379"/>
      <c r="D52" s="204"/>
      <c r="E52" s="204"/>
      <c r="F52" s="204"/>
      <c r="G52" s="20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K46"/>
  <sheetViews>
    <sheetView workbookViewId="0">
      <pane ySplit="4" topLeftCell="A5" activePane="bottomLeft" state="frozen"/>
      <selection pane="bottomLeft" activeCell="D9" sqref="D9"/>
    </sheetView>
  </sheetViews>
  <sheetFormatPr baseColWidth="10" defaultRowHeight="15"/>
  <cols>
    <col min="1" max="1" width="6" style="201" customWidth="1"/>
    <col min="2" max="2" width="23.7109375" style="354" customWidth="1"/>
    <col min="3" max="4" width="18.42578125" style="205" customWidth="1"/>
    <col min="5" max="5" width="13.5703125" style="377" customWidth="1"/>
    <col min="6" max="6" width="18.42578125" style="205" customWidth="1"/>
    <col min="7" max="7" width="15.28515625" style="205" customWidth="1"/>
    <col min="8" max="8" width="13.85546875" style="205" customWidth="1"/>
    <col min="9" max="9" width="27.7109375" style="205" bestFit="1" customWidth="1"/>
    <col min="10" max="10" width="8.42578125" style="201" customWidth="1"/>
    <col min="11" max="11" width="11.85546875" style="201" bestFit="1" customWidth="1"/>
    <col min="12" max="16384" width="11.42578125" style="201"/>
  </cols>
  <sheetData>
    <row r="1" spans="1:11" ht="24">
      <c r="I1" s="200">
        <f>SUM(I5:I38156)</f>
        <v>36489863.100000001</v>
      </c>
    </row>
    <row r="3" spans="1:11" ht="24">
      <c r="A3" s="196"/>
      <c r="B3" s="355"/>
      <c r="C3" s="197">
        <f>SUBTOTAL(9,C5:C148)</f>
        <v>1995.6899999999998</v>
      </c>
      <c r="D3" s="197">
        <f>SUBTOTAL(9,D5:D148)</f>
        <v>267.88</v>
      </c>
      <c r="E3" s="378"/>
      <c r="F3" s="198"/>
      <c r="G3" s="199"/>
      <c r="H3" s="199"/>
      <c r="I3" s="200">
        <f>SUBTOTAL(9,I5:I142)</f>
        <v>36489863.100000001</v>
      </c>
      <c r="K3" s="202"/>
    </row>
    <row r="4" spans="1:11" ht="18.75">
      <c r="A4" s="351" t="s">
        <v>15</v>
      </c>
      <c r="B4" s="351" t="s">
        <v>101</v>
      </c>
      <c r="C4" s="352" t="s">
        <v>170</v>
      </c>
      <c r="D4" s="352" t="s">
        <v>170</v>
      </c>
      <c r="E4" s="352" t="s">
        <v>147</v>
      </c>
      <c r="F4" s="352" t="s">
        <v>102</v>
      </c>
      <c r="G4" s="353" t="s">
        <v>103</v>
      </c>
      <c r="H4" s="353" t="s">
        <v>104</v>
      </c>
      <c r="I4" s="352" t="s">
        <v>106</v>
      </c>
    </row>
    <row r="5" spans="1:11">
      <c r="A5" s="242">
        <v>1</v>
      </c>
      <c r="B5" s="415" t="s">
        <v>304</v>
      </c>
      <c r="C5" s="204"/>
      <c r="D5" s="204">
        <v>75</v>
      </c>
      <c r="E5" s="379"/>
      <c r="F5" s="204"/>
      <c r="G5" s="204">
        <v>14500</v>
      </c>
      <c r="H5" s="204"/>
      <c r="I5" s="204">
        <f>D5*G5</f>
        <v>1087500</v>
      </c>
    </row>
    <row r="6" spans="1:11">
      <c r="A6" s="242">
        <v>2</v>
      </c>
      <c r="B6" s="371" t="s">
        <v>188</v>
      </c>
      <c r="C6" s="204"/>
      <c r="D6" s="204"/>
      <c r="E6" s="379"/>
      <c r="F6" s="204"/>
      <c r="G6" s="204"/>
      <c r="H6" s="204"/>
      <c r="I6" s="204">
        <f>D6*G6</f>
        <v>0</v>
      </c>
    </row>
    <row r="7" spans="1:11">
      <c r="A7" s="242">
        <v>3</v>
      </c>
      <c r="B7" s="371" t="s">
        <v>188</v>
      </c>
      <c r="C7" s="204"/>
      <c r="D7" s="204">
        <f>5.02+28.56+69+1.31+5.63+3.5+1.82+4.08+5.08+6.19+5.24</f>
        <v>135.43</v>
      </c>
      <c r="E7" s="379"/>
      <c r="F7" s="204"/>
      <c r="G7" s="204">
        <v>14500</v>
      </c>
      <c r="H7" s="204"/>
      <c r="I7" s="204">
        <f>D7*G7</f>
        <v>1963735</v>
      </c>
    </row>
    <row r="8" spans="1:11">
      <c r="A8" s="242">
        <v>4</v>
      </c>
      <c r="B8" s="371" t="s">
        <v>189</v>
      </c>
      <c r="C8" s="204"/>
      <c r="D8" s="204">
        <f>0.53+3.84+21.78</f>
        <v>26.150000000000002</v>
      </c>
      <c r="E8" s="379"/>
      <c r="F8" s="204"/>
      <c r="G8" s="204">
        <v>16500</v>
      </c>
      <c r="H8" s="204"/>
      <c r="I8" s="204">
        <f>D8*G8</f>
        <v>431475.00000000006</v>
      </c>
    </row>
    <row r="9" spans="1:11">
      <c r="A9" s="242">
        <v>5</v>
      </c>
      <c r="B9" s="371" t="s">
        <v>192</v>
      </c>
      <c r="C9" s="204">
        <f>4.57+2.85+2.94+3.18+2.58+2.47+1.23+42.72+2.3+1.82+1.8+34.37+45.02</f>
        <v>147.85</v>
      </c>
      <c r="D9" s="204"/>
      <c r="E9" s="379" t="s">
        <v>317</v>
      </c>
      <c r="F9" s="204"/>
      <c r="G9" s="204">
        <v>15000</v>
      </c>
      <c r="H9" s="204">
        <v>3000</v>
      </c>
      <c r="I9" s="204">
        <f t="shared" ref="I9:I15" si="0">C9*(G9+H9)</f>
        <v>2661300</v>
      </c>
    </row>
    <row r="10" spans="1:11">
      <c r="A10" s="242">
        <v>5</v>
      </c>
      <c r="B10" s="371" t="s">
        <v>192</v>
      </c>
      <c r="C10" s="204">
        <f>31.03+27.27+20.29+29.53+10.63+3.28+8.11+10.65+3.95+6.79+9.77+9.43+3.83+8.18+2.14+40.83+72.9+25.52</f>
        <v>324.13</v>
      </c>
      <c r="D10" s="204"/>
      <c r="E10" s="379" t="s">
        <v>317</v>
      </c>
      <c r="F10" s="204"/>
      <c r="G10" s="204">
        <v>15000</v>
      </c>
      <c r="H10" s="204">
        <v>3500</v>
      </c>
      <c r="I10" s="204">
        <f t="shared" si="0"/>
        <v>5996405</v>
      </c>
    </row>
    <row r="11" spans="1:11">
      <c r="A11" s="242">
        <v>6</v>
      </c>
      <c r="B11" s="371" t="s">
        <v>192</v>
      </c>
      <c r="C11" s="204">
        <f>31.59+16.09</f>
        <v>47.68</v>
      </c>
      <c r="D11" s="204"/>
      <c r="E11" s="379" t="s">
        <v>318</v>
      </c>
      <c r="F11" s="204"/>
      <c r="G11" s="204">
        <v>15000</v>
      </c>
      <c r="H11" s="204">
        <v>1500</v>
      </c>
      <c r="I11" s="204">
        <f t="shared" si="0"/>
        <v>786720</v>
      </c>
    </row>
    <row r="12" spans="1:11">
      <c r="A12" s="242">
        <v>7</v>
      </c>
      <c r="B12" s="371" t="s">
        <v>192</v>
      </c>
      <c r="C12" s="204">
        <f>19.03+11.03</f>
        <v>30.060000000000002</v>
      </c>
      <c r="D12" s="204"/>
      <c r="E12" s="379" t="s">
        <v>319</v>
      </c>
      <c r="F12" s="204"/>
      <c r="G12" s="204">
        <v>15000</v>
      </c>
      <c r="H12" s="204">
        <v>1150</v>
      </c>
      <c r="I12" s="204">
        <f t="shared" si="0"/>
        <v>485469.00000000006</v>
      </c>
    </row>
    <row r="13" spans="1:11">
      <c r="A13" s="242">
        <v>8</v>
      </c>
      <c r="B13" s="371" t="s">
        <v>312</v>
      </c>
      <c r="C13" s="204">
        <f>1.24+2.15+1.32+3.41+1.41+12.33+3.09+2.06+3.43+2.56+1.25+2.93+2.28+1.54+2.15+14.28+2.3+4.58+7.35+7.56+53.43+17.67+21.82+2.12+8.03+8.84+12.16+2.25+7.8+11.7+8+3.39+6.16+38.04+24.79+47.56+12.22+30.4+53.78+56.87+53.61+30.05+26.32+15.79+21.49+20.35+14.32+4.92+14.16+75.14+48.7+21.36+5.58+39.02</f>
        <v>897.06000000000006</v>
      </c>
      <c r="D13" s="204"/>
      <c r="E13" s="379" t="s">
        <v>315</v>
      </c>
      <c r="F13" s="204"/>
      <c r="G13" s="204">
        <v>14500</v>
      </c>
      <c r="H13" s="204">
        <v>1200</v>
      </c>
      <c r="I13" s="204">
        <f t="shared" si="0"/>
        <v>14083842</v>
      </c>
    </row>
    <row r="14" spans="1:11">
      <c r="A14" s="242">
        <v>9</v>
      </c>
      <c r="B14" s="371" t="s">
        <v>312</v>
      </c>
      <c r="C14" s="204">
        <f>16.05+30+30+17.13+30.18</f>
        <v>123.35999999999999</v>
      </c>
      <c r="D14" s="204"/>
      <c r="E14" s="379" t="s">
        <v>314</v>
      </c>
      <c r="F14" s="204"/>
      <c r="G14" s="204">
        <v>14500</v>
      </c>
      <c r="H14" s="204">
        <v>650</v>
      </c>
      <c r="I14" s="204">
        <f t="shared" si="0"/>
        <v>1868903.9999999998</v>
      </c>
    </row>
    <row r="15" spans="1:11">
      <c r="A15" s="242">
        <v>10</v>
      </c>
      <c r="B15" s="371" t="s">
        <v>312</v>
      </c>
      <c r="C15" s="204">
        <f>22.14+30+30.14+11.12</f>
        <v>93.4</v>
      </c>
      <c r="D15" s="204"/>
      <c r="E15" s="379" t="s">
        <v>314</v>
      </c>
      <c r="F15" s="204"/>
      <c r="G15" s="204">
        <v>14500</v>
      </c>
      <c r="H15" s="204">
        <v>750</v>
      </c>
      <c r="I15" s="204">
        <f t="shared" si="0"/>
        <v>1424350</v>
      </c>
      <c r="K15" s="202"/>
    </row>
    <row r="16" spans="1:11">
      <c r="A16" s="242"/>
      <c r="B16" s="371" t="s">
        <v>312</v>
      </c>
      <c r="C16" s="204">
        <v>60.09</v>
      </c>
      <c r="D16" s="204"/>
      <c r="E16" s="379" t="s">
        <v>374</v>
      </c>
      <c r="F16" s="204"/>
      <c r="G16" s="204">
        <v>15300</v>
      </c>
      <c r="H16" s="204">
        <v>750</v>
      </c>
      <c r="I16" s="204">
        <f t="shared" ref="I16:I17" si="1">C16*(G16+H16)</f>
        <v>964444.5</v>
      </c>
    </row>
    <row r="17" spans="1:11">
      <c r="A17" s="242"/>
      <c r="B17" s="371" t="s">
        <v>312</v>
      </c>
      <c r="C17" s="204">
        <v>20</v>
      </c>
      <c r="D17" s="204"/>
      <c r="E17" s="379" t="s">
        <v>374</v>
      </c>
      <c r="F17" s="204"/>
      <c r="G17" s="204">
        <v>15300</v>
      </c>
      <c r="H17" s="204">
        <v>850</v>
      </c>
      <c r="I17" s="204">
        <f t="shared" si="1"/>
        <v>323000</v>
      </c>
    </row>
    <row r="18" spans="1:11">
      <c r="A18" s="242">
        <v>11</v>
      </c>
      <c r="B18" s="371" t="s">
        <v>312</v>
      </c>
      <c r="C18" s="204">
        <f>1.4+5.35+2.24+2.62+3.83+0.85+3.47+22.94+1.32+4.83+5.69+4.23+2.4+12.9</f>
        <v>74.069999999999993</v>
      </c>
      <c r="D18" s="204"/>
      <c r="E18" s="379" t="s">
        <v>371</v>
      </c>
      <c r="F18" s="204"/>
      <c r="G18" s="204">
        <v>14500</v>
      </c>
      <c r="H18" s="204">
        <v>800</v>
      </c>
      <c r="I18" s="204">
        <f>C18*(G18+H18)</f>
        <v>1133271</v>
      </c>
    </row>
    <row r="19" spans="1:11">
      <c r="A19" s="242">
        <v>12</v>
      </c>
      <c r="B19" s="371" t="s">
        <v>312</v>
      </c>
      <c r="C19" s="204"/>
      <c r="D19" s="204"/>
      <c r="E19" s="379" t="s">
        <v>316</v>
      </c>
      <c r="F19" s="204"/>
      <c r="G19" s="204"/>
      <c r="H19" s="204"/>
      <c r="I19" s="204">
        <f t="shared" ref="I19" si="2">(G19+H19)*D19</f>
        <v>0</v>
      </c>
    </row>
    <row r="20" spans="1:11">
      <c r="A20" s="242">
        <v>13</v>
      </c>
      <c r="B20" s="371" t="s">
        <v>312</v>
      </c>
      <c r="C20" s="204">
        <f>2+4+3+27.77+32.87+3.96</f>
        <v>73.59999999999998</v>
      </c>
      <c r="D20" s="204"/>
      <c r="E20" s="379" t="s">
        <v>320</v>
      </c>
      <c r="F20" s="204"/>
      <c r="G20" s="204">
        <v>14500</v>
      </c>
      <c r="H20" s="204">
        <v>500</v>
      </c>
      <c r="I20" s="204">
        <f>C20*(G20+H20)</f>
        <v>1103999.9999999998</v>
      </c>
    </row>
    <row r="21" spans="1:11">
      <c r="A21" s="242">
        <v>14</v>
      </c>
      <c r="B21" s="371" t="s">
        <v>312</v>
      </c>
      <c r="C21" s="204">
        <v>47.52</v>
      </c>
      <c r="D21" s="204"/>
      <c r="E21" s="379" t="s">
        <v>314</v>
      </c>
      <c r="F21" s="204"/>
      <c r="G21" s="204">
        <v>14700</v>
      </c>
      <c r="H21" s="204">
        <v>680</v>
      </c>
      <c r="I21" s="204">
        <f t="shared" ref="I21" si="3">C21*(G21+H21)</f>
        <v>730857.60000000009</v>
      </c>
    </row>
    <row r="22" spans="1:11">
      <c r="A22" s="242">
        <v>15</v>
      </c>
      <c r="B22" s="371" t="s">
        <v>191</v>
      </c>
      <c r="C22" s="204"/>
      <c r="D22" s="204">
        <v>6.32</v>
      </c>
      <c r="E22" s="379"/>
      <c r="F22" s="204"/>
      <c r="G22" s="204">
        <v>18500</v>
      </c>
      <c r="H22" s="204"/>
      <c r="I22" s="204">
        <f>D22*G22</f>
        <v>116920</v>
      </c>
    </row>
    <row r="23" spans="1:11">
      <c r="A23" s="242">
        <v>16</v>
      </c>
      <c r="B23" s="371" t="s">
        <v>343</v>
      </c>
      <c r="C23" s="204"/>
      <c r="D23" s="204">
        <f>4.21+4.5+7.25+9.02</f>
        <v>24.98</v>
      </c>
      <c r="E23" s="379"/>
      <c r="F23" s="204"/>
      <c r="G23" s="204">
        <v>19000</v>
      </c>
      <c r="H23" s="204"/>
      <c r="I23" s="204">
        <f>D23*G23</f>
        <v>474620</v>
      </c>
      <c r="K23" s="422"/>
    </row>
    <row r="24" spans="1:11">
      <c r="A24" s="242"/>
      <c r="B24" s="371" t="s">
        <v>312</v>
      </c>
      <c r="C24" s="204">
        <v>56.87</v>
      </c>
      <c r="D24" s="204"/>
      <c r="E24" s="379" t="s">
        <v>375</v>
      </c>
      <c r="F24" s="204"/>
      <c r="G24" s="204">
        <v>14500</v>
      </c>
      <c r="H24" s="204">
        <v>500</v>
      </c>
      <c r="I24" s="204">
        <f t="shared" ref="I24" si="4">C24*(G24+H24)</f>
        <v>853050</v>
      </c>
    </row>
    <row r="25" spans="1:11">
      <c r="A25" s="242"/>
      <c r="B25" s="371"/>
      <c r="C25" s="204"/>
      <c r="D25" s="204"/>
      <c r="E25" s="379"/>
      <c r="F25" s="204"/>
      <c r="G25" s="204"/>
      <c r="H25" s="204"/>
      <c r="I25" s="204"/>
    </row>
    <row r="26" spans="1:11">
      <c r="A26" s="242"/>
      <c r="B26" s="371"/>
      <c r="C26" s="204"/>
      <c r="D26" s="204"/>
      <c r="E26" s="379"/>
      <c r="F26" s="204"/>
      <c r="G26" s="204"/>
      <c r="H26" s="204"/>
      <c r="I26" s="204"/>
    </row>
    <row r="27" spans="1:11">
      <c r="A27" s="242"/>
      <c r="B27" s="371"/>
      <c r="C27" s="204"/>
      <c r="D27" s="204"/>
      <c r="E27" s="379"/>
      <c r="F27" s="204"/>
      <c r="G27" s="204"/>
      <c r="H27" s="204"/>
      <c r="I27" s="204"/>
    </row>
    <row r="28" spans="1:11">
      <c r="A28" s="242"/>
      <c r="B28" s="371"/>
      <c r="C28" s="204"/>
      <c r="D28" s="204"/>
      <c r="E28" s="379"/>
      <c r="F28" s="204"/>
      <c r="G28" s="204"/>
      <c r="H28" s="204"/>
      <c r="I28" s="204"/>
    </row>
    <row r="29" spans="1:11">
      <c r="A29" s="242"/>
      <c r="B29" s="371"/>
      <c r="C29" s="204"/>
      <c r="D29" s="204"/>
      <c r="E29" s="379"/>
      <c r="F29" s="204"/>
      <c r="G29" s="204"/>
      <c r="H29" s="204"/>
      <c r="I29" s="204"/>
    </row>
    <row r="30" spans="1:11">
      <c r="A30" s="242"/>
      <c r="B30" s="371"/>
      <c r="C30" s="204"/>
      <c r="D30" s="204"/>
      <c r="E30" s="379"/>
      <c r="F30" s="204"/>
      <c r="G30" s="204"/>
      <c r="H30" s="204"/>
      <c r="I30" s="204"/>
    </row>
    <row r="31" spans="1:11">
      <c r="A31" s="242"/>
      <c r="B31" s="371"/>
      <c r="C31" s="204"/>
      <c r="D31" s="204"/>
      <c r="E31" s="379"/>
      <c r="F31" s="204"/>
      <c r="G31" s="204"/>
      <c r="H31" s="204"/>
      <c r="I31" s="204"/>
    </row>
    <row r="32" spans="1:11">
      <c r="A32" s="242"/>
      <c r="B32" s="371"/>
      <c r="C32" s="204"/>
      <c r="D32" s="204"/>
      <c r="E32" s="379"/>
      <c r="F32" s="204"/>
      <c r="G32" s="204"/>
      <c r="H32" s="204"/>
      <c r="I32" s="204"/>
    </row>
    <row r="33" spans="1:9">
      <c r="A33" s="242"/>
      <c r="B33" s="371"/>
      <c r="C33" s="204"/>
      <c r="D33" s="204"/>
      <c r="E33" s="379"/>
      <c r="F33" s="204"/>
      <c r="G33" s="204"/>
      <c r="H33" s="204"/>
      <c r="I33" s="204"/>
    </row>
    <row r="34" spans="1:9">
      <c r="A34" s="242"/>
      <c r="B34" s="371"/>
      <c r="C34" s="204"/>
      <c r="D34" s="204"/>
      <c r="E34" s="379"/>
      <c r="F34" s="204"/>
      <c r="G34" s="204"/>
      <c r="H34" s="204"/>
      <c r="I34" s="204"/>
    </row>
    <row r="35" spans="1:9">
      <c r="A35" s="242"/>
      <c r="B35" s="371"/>
      <c r="C35" s="204"/>
      <c r="D35" s="204"/>
      <c r="E35" s="379"/>
      <c r="F35" s="204"/>
      <c r="G35" s="204"/>
      <c r="H35" s="204"/>
      <c r="I35" s="204"/>
    </row>
    <row r="36" spans="1:9">
      <c r="A36" s="242"/>
      <c r="B36" s="371"/>
      <c r="C36" s="204"/>
      <c r="D36" s="204"/>
      <c r="E36" s="379"/>
      <c r="F36" s="204"/>
      <c r="G36" s="204"/>
      <c r="H36" s="204"/>
      <c r="I36" s="204"/>
    </row>
    <row r="37" spans="1:9">
      <c r="A37" s="242"/>
      <c r="B37" s="371"/>
      <c r="C37" s="204"/>
      <c r="D37" s="204"/>
      <c r="E37" s="379"/>
      <c r="F37" s="204"/>
      <c r="G37" s="204"/>
      <c r="H37" s="204"/>
      <c r="I37" s="204"/>
    </row>
    <row r="38" spans="1:9">
      <c r="A38" s="242"/>
      <c r="B38" s="371"/>
      <c r="C38" s="204"/>
      <c r="D38" s="204"/>
      <c r="E38" s="379"/>
      <c r="F38" s="204"/>
      <c r="G38" s="204"/>
      <c r="H38" s="204"/>
      <c r="I38" s="204"/>
    </row>
    <row r="39" spans="1:9">
      <c r="A39" s="242"/>
      <c r="B39" s="371"/>
      <c r="C39" s="204"/>
      <c r="D39" s="204"/>
      <c r="E39" s="379"/>
      <c r="F39" s="204"/>
      <c r="G39" s="204"/>
      <c r="H39" s="204"/>
      <c r="I39" s="204"/>
    </row>
    <row r="40" spans="1:9">
      <c r="A40" s="242"/>
      <c r="B40" s="371"/>
      <c r="C40" s="204"/>
      <c r="D40" s="204"/>
      <c r="E40" s="379"/>
      <c r="F40" s="204"/>
      <c r="G40" s="204"/>
      <c r="H40" s="204"/>
      <c r="I40" s="204"/>
    </row>
    <row r="41" spans="1:9">
      <c r="A41" s="242"/>
      <c r="B41" s="371"/>
      <c r="C41" s="204"/>
      <c r="D41" s="204"/>
      <c r="E41" s="379"/>
      <c r="F41" s="204"/>
      <c r="G41" s="204"/>
      <c r="H41" s="204"/>
      <c r="I41" s="204"/>
    </row>
    <row r="42" spans="1:9">
      <c r="A42" s="242"/>
      <c r="B42" s="371"/>
      <c r="C42" s="204"/>
      <c r="D42" s="204"/>
      <c r="E42" s="379"/>
      <c r="F42" s="204"/>
      <c r="G42" s="204"/>
      <c r="H42" s="204"/>
      <c r="I42" s="204"/>
    </row>
    <row r="43" spans="1:9">
      <c r="A43" s="242"/>
      <c r="B43" s="371"/>
      <c r="C43" s="204"/>
      <c r="D43" s="204"/>
      <c r="E43" s="379"/>
      <c r="F43" s="204"/>
      <c r="G43" s="204"/>
      <c r="H43" s="204"/>
      <c r="I43" s="204"/>
    </row>
    <row r="44" spans="1:9">
      <c r="A44" s="242"/>
      <c r="B44" s="371"/>
      <c r="C44" s="204"/>
      <c r="D44" s="204"/>
      <c r="E44" s="379"/>
      <c r="F44" s="204"/>
      <c r="G44" s="204"/>
      <c r="H44" s="204"/>
      <c r="I44" s="204"/>
    </row>
    <row r="45" spans="1:9">
      <c r="A45" s="242"/>
      <c r="B45" s="370"/>
      <c r="C45" s="204"/>
      <c r="D45" s="204"/>
      <c r="E45" s="379"/>
      <c r="F45" s="204"/>
      <c r="G45" s="204"/>
      <c r="H45" s="204"/>
      <c r="I45" s="204"/>
    </row>
    <row r="46" spans="1:9">
      <c r="A46" s="242"/>
      <c r="B46" s="370"/>
      <c r="C46" s="204"/>
      <c r="D46" s="204"/>
      <c r="E46" s="379"/>
      <c r="F46" s="204"/>
      <c r="G46" s="204"/>
      <c r="H46" s="204"/>
      <c r="I46" s="204"/>
    </row>
  </sheetData>
  <autoFilter ref="A4:I44">
    <sortState ref="A5:I41">
      <sortCondition ref="B4:B41"/>
    </sortState>
  </autoFilter>
  <dataValidations count="1">
    <dataValidation type="list" allowBlank="1" showInputMessage="1" showErrorMessage="1" sqref="B9:B21 B23:B25">
      <formula1>INDIRECT(A9)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XFD190"/>
  <sheetViews>
    <sheetView workbookViewId="0">
      <pane ySplit="5" topLeftCell="A6" activePane="bottomLeft" state="frozen"/>
      <selection activeCell="B1" sqref="B1"/>
      <selection pane="bottomLeft" activeCell="I11" sqref="I11"/>
    </sheetView>
  </sheetViews>
  <sheetFormatPr baseColWidth="10" defaultRowHeight="16.5"/>
  <cols>
    <col min="1" max="1" width="6.28515625" style="206" customWidth="1"/>
    <col min="2" max="2" width="24.140625" style="236" customWidth="1"/>
    <col min="3" max="3" width="16.42578125" style="207" customWidth="1"/>
    <col min="4" max="4" width="13.140625" style="210" customWidth="1"/>
    <col min="5" max="5" width="19.7109375" style="237" customWidth="1"/>
    <col min="6" max="6" width="21.5703125" style="238" customWidth="1"/>
    <col min="7" max="7" width="19.7109375" style="239" customWidth="1"/>
    <col min="8" max="8" width="16.42578125" style="239" customWidth="1"/>
    <col min="9" max="9" width="23.28515625" style="240" bestFit="1" customWidth="1"/>
    <col min="10" max="10" width="22.5703125" style="241" customWidth="1"/>
    <col min="11" max="11" width="18.140625" style="206" bestFit="1" customWidth="1"/>
    <col min="12" max="16384" width="11.42578125" style="206"/>
  </cols>
  <sheetData>
    <row r="1" spans="1:11" ht="27.75" customHeight="1">
      <c r="A1"/>
      <c r="B1" s="435" t="s">
        <v>132</v>
      </c>
      <c r="C1" s="294">
        <v>14500</v>
      </c>
      <c r="D1"/>
      <c r="E1"/>
      <c r="F1" s="211">
        <f>SUM(F6:F359)*C1</f>
        <v>9715</v>
      </c>
      <c r="G1" s="212">
        <f>SUM(G6:G359)*C1+H3</f>
        <v>5106570</v>
      </c>
      <c r="H1"/>
      <c r="I1" s="211">
        <f>SUM(I6:I359)</f>
        <v>5829108</v>
      </c>
      <c r="J1" s="212">
        <f>SUM(J6:J359)</f>
        <v>16543749</v>
      </c>
    </row>
    <row r="2" spans="1:11" ht="27.75" customHeight="1">
      <c r="B2" s="435" t="s">
        <v>133</v>
      </c>
      <c r="C2" s="294">
        <v>16500</v>
      </c>
      <c r="D2"/>
      <c r="E2"/>
      <c r="F2"/>
      <c r="G2"/>
      <c r="H2"/>
      <c r="I2" s="347"/>
      <c r="J2"/>
    </row>
    <row r="3" spans="1:11">
      <c r="B3" s="436"/>
      <c r="C3"/>
      <c r="D3"/>
      <c r="E3" s="211">
        <f>E4*C2</f>
        <v>0</v>
      </c>
      <c r="F3" s="211">
        <f>F4*C1</f>
        <v>9715</v>
      </c>
      <c r="G3" s="212">
        <f>G4*C1</f>
        <v>4350870</v>
      </c>
      <c r="H3" s="213">
        <f>H4*C2</f>
        <v>755700</v>
      </c>
      <c r="I3" s="211">
        <f>SUBTOTAL(9,I6:I360)</f>
        <v>5829108</v>
      </c>
      <c r="J3" s="211">
        <f>SUBTOTAL(9,J6:J360)</f>
        <v>16543749</v>
      </c>
    </row>
    <row r="4" spans="1:11">
      <c r="B4" s="436"/>
      <c r="C4"/>
      <c r="D4"/>
      <c r="E4" s="211">
        <f>SUBTOTAL(9,E6:E361)</f>
        <v>0</v>
      </c>
      <c r="F4" s="211">
        <f>SUBTOTAL(9,F6:F361)</f>
        <v>0.67</v>
      </c>
      <c r="G4" s="212">
        <f>SUBTOTAL(9,G6:G361)</f>
        <v>300.06</v>
      </c>
      <c r="H4" s="213">
        <f>SUBTOTAL(9,H6:H361)</f>
        <v>45.8</v>
      </c>
      <c r="I4" s="211"/>
      <c r="J4" s="212"/>
    </row>
    <row r="5" spans="1:11">
      <c r="A5" s="214" t="s">
        <v>15</v>
      </c>
      <c r="B5" s="215" t="s">
        <v>107</v>
      </c>
      <c r="C5" s="214" t="s">
        <v>108</v>
      </c>
      <c r="D5" s="214" t="s">
        <v>109</v>
      </c>
      <c r="E5" s="216" t="s">
        <v>110</v>
      </c>
      <c r="F5" s="216" t="s">
        <v>111</v>
      </c>
      <c r="G5" s="217" t="s">
        <v>112</v>
      </c>
      <c r="H5" s="218" t="s">
        <v>113</v>
      </c>
      <c r="I5" s="217" t="s">
        <v>114</v>
      </c>
      <c r="J5" s="217" t="s">
        <v>115</v>
      </c>
    </row>
    <row r="6" spans="1:11">
      <c r="A6" s="219">
        <v>1</v>
      </c>
      <c r="B6" s="221" t="s">
        <v>369</v>
      </c>
      <c r="C6" s="220"/>
      <c r="D6" s="220"/>
      <c r="E6" s="222"/>
      <c r="F6" s="223">
        <v>0.67</v>
      </c>
      <c r="G6" s="224">
        <v>300.06</v>
      </c>
      <c r="H6" s="224">
        <v>45.8</v>
      </c>
      <c r="I6" s="59"/>
      <c r="J6" s="59"/>
    </row>
    <row r="7" spans="1:11">
      <c r="A7" s="219">
        <v>2</v>
      </c>
      <c r="B7" s="221" t="s">
        <v>369</v>
      </c>
      <c r="C7" s="220"/>
      <c r="D7" s="221"/>
      <c r="E7" s="222"/>
      <c r="F7" s="223"/>
      <c r="G7" s="224"/>
      <c r="H7" s="224"/>
      <c r="I7" s="59">
        <v>5441263</v>
      </c>
      <c r="J7" s="59">
        <v>16543749</v>
      </c>
    </row>
    <row r="8" spans="1:11">
      <c r="A8" s="219">
        <v>3</v>
      </c>
      <c r="B8" s="221" t="s">
        <v>376</v>
      </c>
      <c r="C8" s="220"/>
      <c r="D8" s="221"/>
      <c r="E8" s="222"/>
      <c r="F8" s="228"/>
      <c r="G8" s="224"/>
      <c r="H8" s="224"/>
      <c r="I8" s="59">
        <v>68845</v>
      </c>
      <c r="J8" s="59"/>
      <c r="K8" s="206">
        <v>257.02</v>
      </c>
    </row>
    <row r="9" spans="1:11">
      <c r="A9" s="219">
        <v>4</v>
      </c>
      <c r="B9" s="221" t="s">
        <v>377</v>
      </c>
      <c r="C9" s="220"/>
      <c r="D9" s="221"/>
      <c r="E9" s="222"/>
      <c r="F9" s="223"/>
      <c r="G9" s="224"/>
      <c r="H9" s="224"/>
      <c r="I9" s="59">
        <v>19000</v>
      </c>
      <c r="J9" s="59"/>
    </row>
    <row r="10" spans="1:11">
      <c r="A10" s="219">
        <v>4</v>
      </c>
      <c r="B10" s="221" t="s">
        <v>387</v>
      </c>
      <c r="C10" s="220"/>
      <c r="D10" s="221"/>
      <c r="E10" s="222"/>
      <c r="F10" s="223"/>
      <c r="G10" s="224"/>
      <c r="H10" s="224"/>
      <c r="I10" s="59">
        <v>300000</v>
      </c>
      <c r="J10" s="375"/>
    </row>
    <row r="11" spans="1:11">
      <c r="A11" s="219">
        <v>5</v>
      </c>
      <c r="B11" s="235"/>
      <c r="C11" s="220"/>
      <c r="D11" s="221"/>
      <c r="E11" s="222"/>
      <c r="F11" s="223"/>
      <c r="G11" s="224"/>
      <c r="H11" s="224"/>
      <c r="I11" s="59"/>
      <c r="J11" s="375"/>
    </row>
    <row r="12" spans="1:11">
      <c r="A12" s="219">
        <v>6</v>
      </c>
      <c r="B12" s="235"/>
      <c r="C12" s="220"/>
      <c r="D12" s="221"/>
      <c r="E12" s="349"/>
      <c r="F12" s="223"/>
      <c r="G12" s="224"/>
      <c r="H12" s="224"/>
      <c r="I12" s="375"/>
      <c r="J12" s="375"/>
    </row>
    <row r="13" spans="1:11">
      <c r="A13" s="219">
        <v>7</v>
      </c>
      <c r="B13" s="235"/>
      <c r="C13" s="220"/>
      <c r="D13" s="226"/>
      <c r="E13" s="349"/>
      <c r="F13" s="223"/>
      <c r="G13" s="224"/>
      <c r="H13" s="224"/>
      <c r="I13" s="375"/>
      <c r="J13" s="375"/>
    </row>
    <row r="14" spans="1:11">
      <c r="A14" s="219">
        <v>8</v>
      </c>
      <c r="B14" s="235"/>
      <c r="C14" s="220"/>
      <c r="D14" s="221"/>
      <c r="E14" s="349"/>
      <c r="F14" s="223"/>
      <c r="G14" s="224"/>
      <c r="H14" s="224"/>
      <c r="I14" s="375"/>
      <c r="J14" s="375"/>
    </row>
    <row r="15" spans="1:11">
      <c r="A15" s="219">
        <v>9</v>
      </c>
      <c r="B15" s="235"/>
      <c r="C15" s="220"/>
      <c r="D15" s="221"/>
      <c r="E15" s="349"/>
      <c r="F15" s="223"/>
      <c r="G15" s="224"/>
      <c r="H15" s="224"/>
      <c r="I15" s="59"/>
      <c r="J15" s="375"/>
    </row>
    <row r="16" spans="1:11">
      <c r="A16" s="219">
        <v>10</v>
      </c>
      <c r="B16" s="235"/>
      <c r="C16" s="225"/>
      <c r="D16" s="232"/>
      <c r="E16" s="231"/>
      <c r="F16" s="228"/>
      <c r="G16" s="229"/>
      <c r="H16" s="229"/>
      <c r="I16" s="375"/>
      <c r="J16" s="375"/>
    </row>
    <row r="17" spans="1:10">
      <c r="A17" s="219">
        <v>11</v>
      </c>
      <c r="B17" s="235"/>
      <c r="C17" s="220"/>
      <c r="D17" s="356"/>
      <c r="E17" s="349"/>
      <c r="F17" s="223"/>
      <c r="G17" s="224"/>
      <c r="H17" s="224"/>
      <c r="I17" s="375"/>
      <c r="J17" s="375"/>
    </row>
    <row r="18" spans="1:10">
      <c r="A18" s="219">
        <v>13</v>
      </c>
      <c r="B18" s="235"/>
      <c r="C18" s="220"/>
      <c r="D18" s="221"/>
      <c r="E18" s="349"/>
      <c r="F18" s="223"/>
      <c r="G18" s="224"/>
      <c r="H18" s="224"/>
      <c r="I18" s="375"/>
      <c r="J18" s="375"/>
    </row>
    <row r="19" spans="1:10">
      <c r="A19" s="219">
        <v>14</v>
      </c>
      <c r="B19" s="235"/>
      <c r="C19" s="220"/>
      <c r="D19" s="356"/>
      <c r="E19" s="349"/>
      <c r="F19" s="223"/>
      <c r="G19" s="224"/>
      <c r="H19" s="224"/>
      <c r="I19" s="375"/>
      <c r="J19" s="375"/>
    </row>
    <row r="20" spans="1:10">
      <c r="A20" s="219">
        <v>15</v>
      </c>
      <c r="B20" s="235"/>
      <c r="C20" s="220"/>
      <c r="D20" s="356"/>
      <c r="E20" s="222"/>
      <c r="F20" s="223"/>
      <c r="G20" s="224"/>
      <c r="H20" s="224"/>
      <c r="I20" s="375"/>
      <c r="J20" s="375"/>
    </row>
    <row r="21" spans="1:10">
      <c r="A21" s="219">
        <v>16</v>
      </c>
      <c r="B21" s="235"/>
      <c r="C21" s="220"/>
      <c r="D21" s="356"/>
      <c r="E21" s="222"/>
      <c r="F21" s="223"/>
      <c r="G21" s="224"/>
      <c r="H21" s="224"/>
      <c r="I21" s="375"/>
      <c r="J21" s="375"/>
    </row>
    <row r="22" spans="1:10">
      <c r="A22" s="219">
        <v>17</v>
      </c>
      <c r="B22" s="235"/>
      <c r="C22" s="225"/>
      <c r="D22" s="232"/>
      <c r="E22" s="227"/>
      <c r="F22" s="228"/>
      <c r="G22" s="229"/>
      <c r="H22" s="229"/>
      <c r="I22" s="375"/>
      <c r="J22" s="375"/>
    </row>
    <row r="23" spans="1:10">
      <c r="A23" s="219">
        <v>18</v>
      </c>
      <c r="B23" s="235"/>
      <c r="C23" s="220"/>
      <c r="D23" s="221"/>
      <c r="E23" s="222"/>
      <c r="F23" s="223"/>
      <c r="G23" s="224"/>
      <c r="H23" s="224"/>
      <c r="I23" s="375"/>
      <c r="J23" s="375"/>
    </row>
    <row r="24" spans="1:10">
      <c r="A24" s="219">
        <v>19</v>
      </c>
      <c r="B24" s="235"/>
      <c r="C24" s="225"/>
      <c r="D24" s="232"/>
      <c r="E24" s="227"/>
      <c r="F24" s="228"/>
      <c r="G24" s="229"/>
      <c r="H24" s="229"/>
      <c r="I24" s="375"/>
      <c r="J24" s="375"/>
    </row>
    <row r="25" spans="1:10">
      <c r="A25" s="219">
        <v>20</v>
      </c>
      <c r="B25" s="235"/>
      <c r="C25" s="220"/>
      <c r="D25" s="356"/>
      <c r="E25" s="222"/>
      <c r="F25" s="223"/>
      <c r="G25" s="224"/>
      <c r="H25" s="224"/>
      <c r="I25" s="375"/>
      <c r="J25" s="375"/>
    </row>
    <row r="26" spans="1:10">
      <c r="A26" s="219">
        <v>21</v>
      </c>
      <c r="B26" s="235"/>
      <c r="C26" s="225"/>
      <c r="D26" s="226"/>
      <c r="E26" s="227"/>
      <c r="F26" s="228"/>
      <c r="G26" s="229"/>
      <c r="H26" s="229"/>
      <c r="I26" s="375"/>
      <c r="J26" s="375"/>
    </row>
    <row r="27" spans="1:10">
      <c r="A27" s="219">
        <v>22</v>
      </c>
      <c r="B27" s="235"/>
      <c r="C27" s="225"/>
      <c r="D27" s="226"/>
      <c r="E27" s="227"/>
      <c r="F27" s="228"/>
      <c r="G27" s="229"/>
      <c r="H27" s="229"/>
      <c r="I27" s="375"/>
      <c r="J27" s="375"/>
    </row>
    <row r="28" spans="1:10">
      <c r="A28" s="219">
        <v>23</v>
      </c>
      <c r="B28" s="235"/>
      <c r="C28" s="220"/>
      <c r="D28" s="221"/>
      <c r="E28" s="222"/>
      <c r="F28" s="223"/>
      <c r="G28" s="224"/>
      <c r="H28" s="224"/>
      <c r="I28" s="375"/>
      <c r="J28" s="375"/>
    </row>
    <row r="29" spans="1:10">
      <c r="A29" s="219">
        <v>24</v>
      </c>
      <c r="B29" s="235"/>
      <c r="C29" s="220"/>
      <c r="D29" s="221"/>
      <c r="E29" s="222"/>
      <c r="F29" s="223"/>
      <c r="G29" s="224"/>
      <c r="H29" s="224"/>
      <c r="I29" s="375"/>
      <c r="J29" s="375"/>
    </row>
    <row r="30" spans="1:10">
      <c r="A30" s="219">
        <v>25</v>
      </c>
      <c r="B30" s="235"/>
      <c r="C30" s="225"/>
      <c r="D30" s="226"/>
      <c r="E30" s="227"/>
      <c r="F30" s="228"/>
      <c r="G30" s="229"/>
      <c r="H30" s="229"/>
      <c r="I30" s="375"/>
      <c r="J30" s="375"/>
    </row>
    <row r="31" spans="1:10">
      <c r="A31" s="219">
        <v>26</v>
      </c>
      <c r="B31" s="235"/>
      <c r="C31" s="220"/>
      <c r="D31" s="221"/>
      <c r="E31" s="222"/>
      <c r="F31" s="223"/>
      <c r="G31" s="224"/>
      <c r="H31" s="224"/>
      <c r="I31" s="375"/>
      <c r="J31" s="375"/>
    </row>
    <row r="32" spans="1:10">
      <c r="A32" s="219">
        <v>27</v>
      </c>
      <c r="B32" s="235"/>
      <c r="C32" s="220"/>
      <c r="D32" s="221"/>
      <c r="E32" s="222"/>
      <c r="F32" s="223"/>
      <c r="G32" s="224"/>
      <c r="H32" s="224"/>
      <c r="I32" s="375"/>
      <c r="J32" s="375"/>
    </row>
    <row r="33" spans="1:10">
      <c r="A33" s="219">
        <v>28</v>
      </c>
      <c r="B33" s="235"/>
      <c r="C33" s="225"/>
      <c r="D33" s="226"/>
      <c r="E33" s="227"/>
      <c r="F33" s="228"/>
      <c r="G33" s="229"/>
      <c r="H33" s="229"/>
      <c r="I33" s="375"/>
      <c r="J33" s="375"/>
    </row>
    <row r="34" spans="1:10">
      <c r="A34" s="219">
        <v>29</v>
      </c>
      <c r="B34" s="235"/>
      <c r="C34" s="220"/>
      <c r="D34" s="221"/>
      <c r="E34" s="222"/>
      <c r="F34" s="223"/>
      <c r="G34" s="224"/>
      <c r="H34" s="224"/>
      <c r="I34" s="375"/>
      <c r="J34" s="375"/>
    </row>
    <row r="35" spans="1:10">
      <c r="A35" s="219">
        <v>30</v>
      </c>
      <c r="B35" s="235"/>
      <c r="C35" s="220"/>
      <c r="D35" s="221"/>
      <c r="E35" s="222"/>
      <c r="F35" s="223"/>
      <c r="G35" s="224"/>
      <c r="H35" s="224"/>
      <c r="I35" s="375"/>
      <c r="J35" s="375"/>
    </row>
    <row r="36" spans="1:10">
      <c r="A36" s="219">
        <v>31</v>
      </c>
      <c r="B36" s="235"/>
      <c r="C36" s="225"/>
      <c r="D36" s="226"/>
      <c r="E36" s="227"/>
      <c r="F36" s="228"/>
      <c r="G36" s="229"/>
      <c r="H36" s="229"/>
      <c r="I36" s="375"/>
      <c r="J36" s="375"/>
    </row>
    <row r="37" spans="1:10">
      <c r="A37" s="219">
        <v>32</v>
      </c>
      <c r="B37" s="235"/>
      <c r="C37" s="220"/>
      <c r="D37" s="221"/>
      <c r="E37" s="222"/>
      <c r="F37" s="223"/>
      <c r="G37" s="224"/>
      <c r="H37" s="224"/>
      <c r="I37" s="375"/>
      <c r="J37" s="375"/>
    </row>
    <row r="38" spans="1:10">
      <c r="A38" s="219">
        <v>33</v>
      </c>
      <c r="B38" s="235"/>
      <c r="C38" s="220"/>
      <c r="D38" s="221"/>
      <c r="E38" s="222"/>
      <c r="F38" s="223"/>
      <c r="G38" s="224"/>
      <c r="H38" s="224"/>
      <c r="I38" s="375"/>
      <c r="J38" s="375"/>
    </row>
    <row r="39" spans="1:10">
      <c r="A39" s="219">
        <v>34</v>
      </c>
      <c r="B39" s="235"/>
      <c r="C39" s="225"/>
      <c r="D39" s="226"/>
      <c r="E39" s="227"/>
      <c r="F39" s="228"/>
      <c r="G39" s="229"/>
      <c r="H39" s="229"/>
      <c r="I39" s="59"/>
      <c r="J39" s="375"/>
    </row>
    <row r="40" spans="1:10">
      <c r="A40" s="219">
        <v>35</v>
      </c>
      <c r="B40" s="235"/>
      <c r="C40" s="220"/>
      <c r="D40" s="221"/>
      <c r="E40" s="222"/>
      <c r="F40" s="223"/>
      <c r="G40" s="224"/>
      <c r="H40" s="224"/>
      <c r="I40" s="375"/>
      <c r="J40" s="375"/>
    </row>
    <row r="41" spans="1:10">
      <c r="A41" s="219">
        <v>36</v>
      </c>
      <c r="B41" s="235"/>
      <c r="C41" s="225"/>
      <c r="D41" s="226"/>
      <c r="E41" s="227"/>
      <c r="F41" s="228"/>
      <c r="G41" s="229"/>
      <c r="H41" s="229"/>
      <c r="I41" s="375"/>
      <c r="J41" s="375"/>
    </row>
    <row r="42" spans="1:10">
      <c r="A42" s="219">
        <v>37</v>
      </c>
      <c r="B42" s="235"/>
      <c r="C42" s="225"/>
      <c r="D42" s="226"/>
      <c r="E42" s="227"/>
      <c r="F42" s="228"/>
      <c r="G42" s="229"/>
      <c r="H42" s="229"/>
      <c r="I42" s="375"/>
      <c r="J42" s="375"/>
    </row>
    <row r="43" spans="1:10">
      <c r="A43" s="219">
        <v>38</v>
      </c>
      <c r="B43" s="235"/>
      <c r="C43" s="220"/>
      <c r="D43" s="226"/>
      <c r="E43" s="222"/>
      <c r="F43" s="228"/>
      <c r="G43" s="229"/>
      <c r="H43" s="229"/>
      <c r="I43" s="59"/>
      <c r="J43" s="59"/>
    </row>
    <row r="44" spans="1:10">
      <c r="A44" s="219">
        <v>39</v>
      </c>
      <c r="B44" s="235"/>
      <c r="C44" s="220"/>
      <c r="D44" s="221"/>
      <c r="E44" s="222"/>
      <c r="F44" s="223"/>
      <c r="G44" s="224"/>
      <c r="H44" s="224"/>
      <c r="I44" s="59"/>
      <c r="J44" s="59"/>
    </row>
    <row r="45" spans="1:10">
      <c r="A45" s="219">
        <v>40</v>
      </c>
      <c r="B45" s="235"/>
      <c r="C45" s="220"/>
      <c r="D45" s="221"/>
      <c r="E45" s="222"/>
      <c r="F45" s="223"/>
      <c r="G45" s="224"/>
      <c r="H45" s="224"/>
      <c r="I45" s="59"/>
      <c r="J45" s="59"/>
    </row>
    <row r="46" spans="1:10">
      <c r="A46" s="219">
        <v>41</v>
      </c>
      <c r="B46" s="235"/>
      <c r="C46" s="220"/>
      <c r="D46" s="221"/>
      <c r="E46" s="222"/>
      <c r="F46" s="223"/>
      <c r="G46" s="224"/>
      <c r="H46" s="224"/>
      <c r="I46" s="375"/>
      <c r="J46" s="375"/>
    </row>
    <row r="47" spans="1:10">
      <c r="A47" s="219">
        <v>42</v>
      </c>
      <c r="B47" s="235"/>
      <c r="C47" s="220"/>
      <c r="D47" s="221"/>
      <c r="E47" s="222"/>
      <c r="F47" s="223"/>
      <c r="G47" s="224"/>
      <c r="H47" s="224"/>
      <c r="I47" s="59"/>
      <c r="J47" s="375"/>
    </row>
    <row r="48" spans="1:10">
      <c r="A48" s="219">
        <v>43</v>
      </c>
      <c r="B48" s="235"/>
      <c r="C48" s="220"/>
      <c r="D48" s="221"/>
      <c r="E48" s="222"/>
      <c r="F48" s="223"/>
      <c r="G48" s="224"/>
      <c r="H48" s="224"/>
      <c r="I48" s="59"/>
      <c r="J48" s="375"/>
    </row>
    <row r="49" spans="1:10">
      <c r="A49" s="219">
        <v>44</v>
      </c>
      <c r="B49" s="235"/>
      <c r="C49" s="220"/>
      <c r="D49" s="221"/>
      <c r="E49" s="222"/>
      <c r="F49" s="223"/>
      <c r="G49" s="224"/>
      <c r="H49" s="224"/>
      <c r="I49" s="375"/>
      <c r="J49" s="375"/>
    </row>
    <row r="50" spans="1:10">
      <c r="A50" s="219">
        <v>45</v>
      </c>
      <c r="B50" s="235"/>
      <c r="C50" s="220"/>
      <c r="D50" s="221"/>
      <c r="E50" s="222"/>
      <c r="F50" s="223"/>
      <c r="G50" s="224"/>
      <c r="H50" s="224"/>
      <c r="I50" s="375"/>
      <c r="J50" s="375"/>
    </row>
    <row r="51" spans="1:10">
      <c r="A51" s="219">
        <v>46</v>
      </c>
      <c r="B51" s="235"/>
      <c r="C51" s="220"/>
      <c r="D51" s="226"/>
      <c r="E51" s="222"/>
      <c r="F51" s="223"/>
      <c r="G51" s="224"/>
      <c r="H51" s="224"/>
      <c r="I51" s="375"/>
      <c r="J51" s="375"/>
    </row>
    <row r="52" spans="1:10">
      <c r="A52" s="219">
        <v>47</v>
      </c>
      <c r="B52" s="235"/>
      <c r="C52" s="220"/>
      <c r="D52" s="226"/>
      <c r="E52" s="222"/>
      <c r="F52" s="223"/>
      <c r="G52" s="224"/>
      <c r="H52" s="224"/>
      <c r="I52" s="59"/>
      <c r="J52" s="375"/>
    </row>
    <row r="53" spans="1:10">
      <c r="A53" s="219">
        <v>48</v>
      </c>
      <c r="B53" s="235"/>
      <c r="C53" s="220"/>
      <c r="D53" s="226"/>
      <c r="E53" s="222"/>
      <c r="F53" s="223"/>
      <c r="G53" s="224"/>
      <c r="H53" s="224"/>
      <c r="I53" s="375"/>
      <c r="J53" s="375"/>
    </row>
    <row r="54" spans="1:10">
      <c r="A54" s="219">
        <v>49</v>
      </c>
      <c r="B54" s="235"/>
      <c r="C54" s="220"/>
      <c r="D54" s="226"/>
      <c r="E54" s="222"/>
      <c r="F54" s="223"/>
      <c r="G54" s="224"/>
      <c r="H54" s="224"/>
      <c r="I54" s="375"/>
      <c r="J54" s="375"/>
    </row>
    <row r="55" spans="1:10">
      <c r="A55" s="219">
        <v>50</v>
      </c>
      <c r="B55" s="235"/>
      <c r="C55" s="220"/>
      <c r="D55" s="221"/>
      <c r="E55" s="222"/>
      <c r="F55" s="223"/>
      <c r="G55" s="224"/>
      <c r="H55" s="224"/>
      <c r="I55" s="375"/>
      <c r="J55" s="375"/>
    </row>
    <row r="56" spans="1:10">
      <c r="A56" s="219">
        <v>51</v>
      </c>
      <c r="B56" s="235"/>
      <c r="C56" s="220"/>
      <c r="D56" s="221"/>
      <c r="E56" s="222"/>
      <c r="F56" s="223"/>
      <c r="G56" s="224"/>
      <c r="H56" s="224"/>
      <c r="I56" s="59"/>
      <c r="J56" s="375"/>
    </row>
    <row r="57" spans="1:10">
      <c r="A57" s="219">
        <v>52</v>
      </c>
      <c r="B57" s="235"/>
      <c r="C57" s="220"/>
      <c r="D57" s="226"/>
      <c r="E57" s="222"/>
      <c r="F57" s="223"/>
      <c r="G57" s="224"/>
      <c r="H57" s="224"/>
      <c r="I57" s="59"/>
      <c r="J57" s="375"/>
    </row>
    <row r="58" spans="1:10">
      <c r="A58" s="219">
        <v>53</v>
      </c>
      <c r="B58" s="235"/>
      <c r="C58" s="220"/>
      <c r="D58" s="221"/>
      <c r="E58" s="222"/>
      <c r="F58" s="223"/>
      <c r="G58" s="224"/>
      <c r="H58" s="224"/>
      <c r="I58" s="375"/>
      <c r="J58" s="375"/>
    </row>
    <row r="59" spans="1:10">
      <c r="A59" s="219">
        <v>54</v>
      </c>
      <c r="B59" s="235"/>
      <c r="C59" s="220"/>
      <c r="D59" s="221"/>
      <c r="E59" s="222"/>
      <c r="F59" s="223"/>
      <c r="G59" s="224"/>
      <c r="H59" s="224"/>
      <c r="I59" s="375"/>
      <c r="J59" s="375"/>
    </row>
    <row r="60" spans="1:10">
      <c r="A60" s="219">
        <v>55</v>
      </c>
      <c r="B60" s="235"/>
      <c r="C60" s="220"/>
      <c r="D60" s="221"/>
      <c r="E60" s="222"/>
      <c r="F60" s="223"/>
      <c r="G60" s="224"/>
      <c r="H60" s="224"/>
      <c r="I60" s="375"/>
      <c r="J60" s="375"/>
    </row>
    <row r="61" spans="1:10">
      <c r="A61" s="219">
        <v>56</v>
      </c>
      <c r="B61" s="235"/>
      <c r="C61" s="220"/>
      <c r="D61" s="226"/>
      <c r="E61" s="222"/>
      <c r="F61" s="228"/>
      <c r="G61" s="229"/>
      <c r="H61" s="229"/>
      <c r="I61" s="375"/>
      <c r="J61" s="375"/>
    </row>
    <row r="62" spans="1:10" s="233" customFormat="1">
      <c r="A62" s="219">
        <v>57</v>
      </c>
      <c r="B62" s="235"/>
      <c r="C62" s="220"/>
      <c r="D62" s="221"/>
      <c r="E62" s="222"/>
      <c r="F62" s="223"/>
      <c r="G62" s="224"/>
      <c r="H62" s="224"/>
      <c r="I62" s="375"/>
      <c r="J62" s="375"/>
    </row>
    <row r="63" spans="1:10" s="233" customFormat="1">
      <c r="A63" s="219">
        <v>58</v>
      </c>
      <c r="B63" s="235"/>
      <c r="C63" s="220"/>
      <c r="D63" s="221"/>
      <c r="E63" s="222"/>
      <c r="F63" s="223"/>
      <c r="G63" s="224"/>
      <c r="H63" s="224"/>
      <c r="I63" s="375"/>
      <c r="J63" s="375"/>
    </row>
    <row r="64" spans="1:10" s="233" customFormat="1">
      <c r="A64" s="219">
        <v>59</v>
      </c>
      <c r="B64" s="235"/>
      <c r="C64" s="220"/>
      <c r="D64" s="226"/>
      <c r="E64" s="222"/>
      <c r="F64" s="223"/>
      <c r="G64" s="224"/>
      <c r="H64" s="224"/>
      <c r="I64" s="375"/>
      <c r="J64" s="375"/>
    </row>
    <row r="65" spans="1:10" s="233" customFormat="1">
      <c r="A65" s="219">
        <v>60</v>
      </c>
      <c r="B65" s="235"/>
      <c r="C65" s="220"/>
      <c r="D65" s="226"/>
      <c r="E65" s="222"/>
      <c r="F65" s="223"/>
      <c r="G65" s="224"/>
      <c r="H65" s="224"/>
      <c r="I65" s="59"/>
      <c r="J65" s="59"/>
    </row>
    <row r="66" spans="1:10" s="233" customFormat="1">
      <c r="A66" s="219">
        <v>61</v>
      </c>
      <c r="B66" s="235"/>
      <c r="C66" s="220"/>
      <c r="D66" s="226"/>
      <c r="E66" s="222"/>
      <c r="F66" s="223"/>
      <c r="G66" s="224"/>
      <c r="H66" s="224"/>
      <c r="I66" s="375"/>
      <c r="J66" s="375"/>
    </row>
    <row r="67" spans="1:10" s="233" customFormat="1">
      <c r="A67" s="219">
        <v>62</v>
      </c>
      <c r="B67" s="235"/>
      <c r="C67" s="220"/>
      <c r="D67" s="221"/>
      <c r="E67" s="222"/>
      <c r="F67" s="223"/>
      <c r="G67" s="224"/>
      <c r="H67" s="224"/>
      <c r="I67" s="59"/>
      <c r="J67" s="59"/>
    </row>
    <row r="68" spans="1:10" s="233" customFormat="1">
      <c r="A68" s="219">
        <v>63</v>
      </c>
      <c r="B68" s="235"/>
      <c r="C68" s="220"/>
      <c r="D68" s="221"/>
      <c r="E68" s="222"/>
      <c r="F68" s="223"/>
      <c r="G68" s="224"/>
      <c r="H68" s="224"/>
      <c r="I68" s="375"/>
      <c r="J68" s="375"/>
    </row>
    <row r="69" spans="1:10" s="233" customFormat="1">
      <c r="A69" s="219">
        <v>64</v>
      </c>
      <c r="B69" s="235"/>
      <c r="C69" s="220"/>
      <c r="D69" s="221"/>
      <c r="E69" s="222"/>
      <c r="F69" s="228"/>
      <c r="G69" s="224"/>
      <c r="H69" s="224"/>
      <c r="I69" s="375"/>
      <c r="J69" s="375"/>
    </row>
    <row r="70" spans="1:10" s="233" customFormat="1">
      <c r="A70" s="219">
        <v>65</v>
      </c>
      <c r="B70" s="235"/>
      <c r="C70" s="220"/>
      <c r="D70" s="226"/>
      <c r="E70" s="222"/>
      <c r="F70" s="223"/>
      <c r="G70" s="224"/>
      <c r="H70" s="224"/>
      <c r="I70" s="59"/>
      <c r="J70" s="59"/>
    </row>
    <row r="71" spans="1:10" s="233" customFormat="1">
      <c r="A71" s="219">
        <v>66</v>
      </c>
      <c r="B71" s="235"/>
      <c r="C71" s="220"/>
      <c r="D71" s="221"/>
      <c r="E71" s="222"/>
      <c r="F71" s="223"/>
      <c r="G71" s="224"/>
      <c r="H71" s="224"/>
      <c r="I71" s="59"/>
      <c r="J71" s="375"/>
    </row>
    <row r="72" spans="1:10" s="233" customFormat="1">
      <c r="A72" s="219">
        <v>67</v>
      </c>
      <c r="B72" s="235"/>
      <c r="C72" s="220"/>
      <c r="D72" s="221"/>
      <c r="E72" s="222"/>
      <c r="F72" s="223"/>
      <c r="G72" s="224"/>
      <c r="H72" s="224"/>
      <c r="I72" s="59"/>
      <c r="J72" s="59"/>
    </row>
    <row r="73" spans="1:10" s="233" customFormat="1">
      <c r="A73" s="219">
        <v>68</v>
      </c>
      <c r="B73" s="235"/>
      <c r="C73" s="220"/>
      <c r="D73" s="226"/>
      <c r="E73" s="222"/>
      <c r="F73" s="223"/>
      <c r="G73" s="224"/>
      <c r="H73" s="224"/>
      <c r="I73" s="375"/>
      <c r="J73" s="375"/>
    </row>
    <row r="74" spans="1:10" s="233" customFormat="1">
      <c r="A74" s="219">
        <v>69</v>
      </c>
      <c r="B74" s="235"/>
      <c r="C74" s="220"/>
      <c r="D74" s="221"/>
      <c r="E74" s="222"/>
      <c r="F74" s="223"/>
      <c r="G74" s="224"/>
      <c r="H74" s="224"/>
      <c r="I74" s="59"/>
      <c r="J74" s="375"/>
    </row>
    <row r="75" spans="1:10" s="233" customFormat="1">
      <c r="A75" s="219">
        <v>70</v>
      </c>
      <c r="B75" s="235"/>
      <c r="C75" s="220"/>
      <c r="D75" s="221"/>
      <c r="E75" s="222"/>
      <c r="F75" s="223"/>
      <c r="G75" s="224"/>
      <c r="H75" s="224"/>
      <c r="I75" s="59"/>
      <c r="J75" s="375"/>
    </row>
    <row r="76" spans="1:10" s="233" customFormat="1">
      <c r="A76" s="219">
        <v>71</v>
      </c>
      <c r="B76" s="235"/>
      <c r="C76" s="220"/>
      <c r="D76" s="221"/>
      <c r="E76" s="222"/>
      <c r="F76" s="223"/>
      <c r="G76" s="224"/>
      <c r="H76" s="224"/>
      <c r="I76" s="375"/>
      <c r="J76" s="375"/>
    </row>
    <row r="77" spans="1:10" s="233" customFormat="1">
      <c r="A77" s="219">
        <v>72</v>
      </c>
      <c r="B77" s="235"/>
      <c r="C77" s="220"/>
      <c r="D77" s="221"/>
      <c r="E77" s="222"/>
      <c r="F77" s="223"/>
      <c r="G77" s="224"/>
      <c r="H77" s="224"/>
      <c r="I77" s="59"/>
      <c r="J77" s="375"/>
    </row>
    <row r="78" spans="1:10" s="233" customFormat="1">
      <c r="A78" s="219">
        <v>73</v>
      </c>
      <c r="B78" s="235"/>
      <c r="C78" s="220"/>
      <c r="D78" s="226"/>
      <c r="E78" s="222"/>
      <c r="F78" s="223"/>
      <c r="G78" s="224"/>
      <c r="H78" s="224"/>
      <c r="I78" s="375"/>
      <c r="J78" s="375"/>
    </row>
    <row r="79" spans="1:10" s="233" customFormat="1">
      <c r="A79" s="219">
        <v>74</v>
      </c>
      <c r="B79" s="235"/>
      <c r="C79" s="220"/>
      <c r="D79" s="221"/>
      <c r="E79" s="222"/>
      <c r="F79" s="223"/>
      <c r="G79" s="224"/>
      <c r="H79" s="224"/>
      <c r="I79" s="375"/>
      <c r="J79" s="375"/>
    </row>
    <row r="80" spans="1:10" s="233" customFormat="1">
      <c r="A80" s="219">
        <v>75</v>
      </c>
      <c r="B80" s="235"/>
      <c r="C80" s="220"/>
      <c r="D80" s="226"/>
      <c r="E80" s="222"/>
      <c r="F80" s="223"/>
      <c r="G80" s="224"/>
      <c r="H80" s="224"/>
      <c r="I80" s="375"/>
      <c r="J80" s="375"/>
    </row>
    <row r="81" spans="1:16384" s="233" customFormat="1">
      <c r="A81" s="219">
        <v>76</v>
      </c>
      <c r="B81" s="235"/>
      <c r="C81" s="220"/>
      <c r="D81" s="221"/>
      <c r="E81" s="222"/>
      <c r="F81" s="223"/>
      <c r="G81" s="224"/>
      <c r="H81" s="224"/>
      <c r="I81" s="375"/>
      <c r="J81" s="375"/>
    </row>
    <row r="82" spans="1:16384" s="233" customFormat="1">
      <c r="A82" s="219">
        <v>77</v>
      </c>
      <c r="B82" s="235"/>
      <c r="C82" s="220"/>
      <c r="D82" s="221"/>
      <c r="E82" s="222"/>
      <c r="F82" s="223"/>
      <c r="G82" s="224"/>
      <c r="H82" s="224"/>
      <c r="I82" s="375"/>
      <c r="J82" s="375"/>
    </row>
    <row r="83" spans="1:16384" s="233" customFormat="1">
      <c r="A83" s="219">
        <v>78</v>
      </c>
      <c r="B83" s="235"/>
      <c r="C83" s="220"/>
      <c r="D83" s="221"/>
      <c r="E83" s="222"/>
      <c r="F83" s="223"/>
      <c r="G83" s="224"/>
      <c r="H83" s="224"/>
      <c r="I83" s="375"/>
      <c r="J83" s="375"/>
    </row>
    <row r="84" spans="1:16384" s="233" customFormat="1">
      <c r="A84" s="219">
        <v>79</v>
      </c>
      <c r="B84" s="235"/>
      <c r="C84" s="220"/>
      <c r="D84" s="221"/>
      <c r="E84" s="222"/>
      <c r="F84" s="223"/>
      <c r="G84" s="224"/>
      <c r="H84" s="224"/>
      <c r="I84" s="375"/>
      <c r="J84" s="375"/>
    </row>
    <row r="85" spans="1:16384" s="233" customFormat="1">
      <c r="A85" s="219">
        <v>80</v>
      </c>
      <c r="B85" s="235"/>
      <c r="C85" s="220"/>
      <c r="D85" s="221"/>
      <c r="E85" s="222"/>
      <c r="F85" s="223"/>
      <c r="G85" s="224"/>
      <c r="H85" s="224"/>
      <c r="I85" s="59"/>
      <c r="J85" s="375"/>
    </row>
    <row r="86" spans="1:16384" s="233" customFormat="1">
      <c r="A86" s="219">
        <v>81</v>
      </c>
      <c r="B86" s="235"/>
      <c r="C86" s="220"/>
      <c r="D86" s="221"/>
      <c r="E86" s="222"/>
      <c r="F86" s="223"/>
      <c r="G86" s="224"/>
      <c r="H86" s="224"/>
      <c r="I86" s="59"/>
      <c r="J86" s="59"/>
    </row>
    <row r="87" spans="1:16384" s="233" customFormat="1">
      <c r="A87" s="219">
        <v>82</v>
      </c>
      <c r="B87" s="235"/>
      <c r="C87" s="220"/>
      <c r="D87" s="221"/>
      <c r="E87" s="222"/>
      <c r="F87" s="223"/>
      <c r="G87" s="224"/>
      <c r="H87" s="224"/>
      <c r="I87" s="59"/>
      <c r="J87" s="59"/>
    </row>
    <row r="88" spans="1:16384" s="233" customFormat="1">
      <c r="A88" s="219">
        <v>83</v>
      </c>
      <c r="B88" s="235"/>
      <c r="C88" s="220"/>
      <c r="D88" s="221"/>
      <c r="E88" s="222"/>
      <c r="F88" s="223"/>
      <c r="G88" s="224"/>
      <c r="H88" s="224"/>
      <c r="I88" s="375"/>
      <c r="J88" s="375"/>
    </row>
    <row r="89" spans="1:16384" s="233" customFormat="1">
      <c r="A89" s="219">
        <v>84</v>
      </c>
      <c r="B89" s="235"/>
      <c r="C89" s="220"/>
      <c r="D89" s="221"/>
      <c r="E89" s="222"/>
      <c r="F89" s="223"/>
      <c r="G89" s="224"/>
      <c r="H89" s="224"/>
      <c r="I89" s="375"/>
      <c r="J89" s="375"/>
    </row>
    <row r="90" spans="1:16384" s="233" customFormat="1">
      <c r="A90" s="219">
        <v>85</v>
      </c>
      <c r="B90" s="235"/>
      <c r="C90" s="220"/>
      <c r="D90" s="221"/>
      <c r="E90" s="222"/>
      <c r="F90" s="223"/>
      <c r="G90" s="224"/>
      <c r="H90" s="224"/>
      <c r="I90" s="59"/>
      <c r="J90" s="375"/>
    </row>
    <row r="91" spans="1:16384" s="233" customFormat="1">
      <c r="A91" s="219">
        <v>86</v>
      </c>
      <c r="B91" s="235"/>
      <c r="C91" s="220"/>
      <c r="D91" s="221"/>
      <c r="E91" s="222"/>
      <c r="F91" s="223"/>
      <c r="G91" s="224"/>
      <c r="H91" s="224"/>
      <c r="I91" s="375"/>
      <c r="J91" s="375"/>
    </row>
    <row r="92" spans="1:16384" s="233" customFormat="1">
      <c r="A92" s="219">
        <v>87</v>
      </c>
      <c r="B92" s="235"/>
      <c r="C92" s="220"/>
      <c r="D92" s="221"/>
      <c r="E92" s="222"/>
      <c r="F92" s="223"/>
      <c r="G92" s="224"/>
      <c r="H92" s="224"/>
      <c r="I92" s="59"/>
      <c r="J92" s="375"/>
    </row>
    <row r="93" spans="1:16384" s="233" customFormat="1">
      <c r="A93" s="219">
        <v>88</v>
      </c>
      <c r="B93" s="235"/>
      <c r="C93" s="220"/>
      <c r="D93" s="221"/>
      <c r="E93" s="222"/>
      <c r="F93" s="223"/>
      <c r="G93" s="224"/>
      <c r="H93" s="224"/>
      <c r="I93" s="375"/>
      <c r="J93" s="375"/>
    </row>
    <row r="94" spans="1:16384" s="233" customFormat="1">
      <c r="A94" s="219">
        <v>89</v>
      </c>
      <c r="B94" s="235"/>
      <c r="C94" s="220"/>
      <c r="D94" s="221"/>
      <c r="E94" s="222"/>
      <c r="F94" s="223"/>
      <c r="G94" s="224"/>
      <c r="H94" s="224"/>
      <c r="I94" s="59"/>
      <c r="J94" s="375"/>
    </row>
    <row r="95" spans="1:16384" s="233" customFormat="1">
      <c r="A95" s="219">
        <v>90</v>
      </c>
      <c r="B95" s="235"/>
      <c r="C95" s="220"/>
      <c r="D95" s="221"/>
      <c r="E95" s="222"/>
      <c r="F95" s="223"/>
      <c r="G95" s="224"/>
      <c r="H95" s="224"/>
      <c r="I95" s="59"/>
      <c r="J95" s="375"/>
    </row>
    <row r="96" spans="1:16384" s="233" customFormat="1">
      <c r="A96" s="219">
        <v>91</v>
      </c>
      <c r="B96" s="235"/>
      <c r="C96" s="220"/>
      <c r="D96" s="221"/>
      <c r="E96" s="222"/>
      <c r="F96" s="223"/>
      <c r="G96" s="224"/>
      <c r="H96" s="224"/>
      <c r="I96" s="375"/>
      <c r="J96" s="375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  <c r="AX96" s="350"/>
      <c r="AY96" s="350"/>
      <c r="AZ96" s="350"/>
      <c r="BA96" s="35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  <c r="BM96" s="350"/>
      <c r="BN96" s="350"/>
      <c r="BO96" s="350"/>
      <c r="BP96" s="350"/>
      <c r="BQ96" s="350"/>
      <c r="BR96" s="350"/>
      <c r="BS96" s="350"/>
      <c r="BT96" s="350"/>
      <c r="BU96" s="350"/>
      <c r="BV96" s="350"/>
      <c r="BW96" s="350"/>
      <c r="BX96" s="350"/>
      <c r="BY96" s="350"/>
      <c r="BZ96" s="350"/>
      <c r="CA96" s="350"/>
      <c r="CB96" s="350"/>
      <c r="CC96" s="350"/>
      <c r="CD96" s="350"/>
      <c r="CE96" s="350"/>
      <c r="CF96" s="350"/>
      <c r="CG96" s="350"/>
      <c r="CH96" s="350"/>
      <c r="CI96" s="350"/>
      <c r="CJ96" s="350"/>
      <c r="CK96" s="350"/>
      <c r="CL96" s="350"/>
      <c r="CM96" s="350"/>
      <c r="CN96" s="350"/>
      <c r="CO96" s="350"/>
      <c r="CP96" s="350"/>
      <c r="CQ96" s="350"/>
      <c r="CR96" s="350"/>
      <c r="CS96" s="350"/>
      <c r="CT96" s="350"/>
      <c r="CU96" s="350"/>
      <c r="CV96" s="350"/>
      <c r="CW96" s="350"/>
      <c r="CX96" s="350"/>
      <c r="CY96" s="350"/>
      <c r="CZ96" s="350"/>
      <c r="DA96" s="350"/>
      <c r="DB96" s="350"/>
      <c r="DC96" s="350"/>
      <c r="DD96" s="350"/>
      <c r="DE96" s="350"/>
      <c r="DF96" s="350"/>
      <c r="DG96" s="350"/>
      <c r="DH96" s="350"/>
      <c r="DI96" s="350"/>
      <c r="DJ96" s="350"/>
      <c r="DK96" s="350"/>
      <c r="DL96" s="350"/>
      <c r="DM96" s="350"/>
      <c r="DN96" s="350"/>
      <c r="DO96" s="350"/>
      <c r="DP96" s="350"/>
      <c r="DQ96" s="350"/>
      <c r="DR96" s="350"/>
      <c r="DS96" s="350"/>
      <c r="DT96" s="350"/>
      <c r="DU96" s="350"/>
      <c r="DV96" s="350"/>
      <c r="DW96" s="350"/>
      <c r="DX96" s="350"/>
      <c r="DY96" s="350"/>
      <c r="DZ96" s="350"/>
      <c r="EA96" s="350"/>
      <c r="EB96" s="350"/>
      <c r="EC96" s="350"/>
      <c r="ED96" s="350"/>
      <c r="EE96" s="350"/>
      <c r="EF96" s="350"/>
      <c r="EG96" s="350"/>
      <c r="EH96" s="350"/>
      <c r="EI96" s="350"/>
      <c r="EJ96" s="350"/>
      <c r="EK96" s="350"/>
      <c r="EL96" s="350"/>
      <c r="EM96" s="350"/>
      <c r="EN96" s="350"/>
      <c r="EO96" s="350"/>
      <c r="EP96" s="350"/>
      <c r="EQ96" s="350"/>
      <c r="ER96" s="350"/>
      <c r="ES96" s="350"/>
      <c r="ET96" s="350"/>
      <c r="EU96" s="350"/>
      <c r="EV96" s="350"/>
      <c r="EW96" s="350"/>
      <c r="EX96" s="350"/>
      <c r="EY96" s="350"/>
      <c r="EZ96" s="350"/>
      <c r="FA96" s="350"/>
      <c r="FB96" s="350"/>
      <c r="FC96" s="350"/>
      <c r="FD96" s="350"/>
      <c r="FE96" s="350"/>
      <c r="FF96" s="350"/>
      <c r="FG96" s="350"/>
      <c r="FH96" s="350"/>
      <c r="FI96" s="350"/>
      <c r="FJ96" s="350"/>
      <c r="FK96" s="350"/>
      <c r="FL96" s="350"/>
      <c r="FM96" s="350"/>
      <c r="FN96" s="350"/>
      <c r="FO96" s="350"/>
      <c r="FP96" s="350"/>
      <c r="FQ96" s="350"/>
      <c r="FR96" s="350"/>
      <c r="FS96" s="350"/>
      <c r="FT96" s="350"/>
      <c r="FU96" s="350"/>
      <c r="FV96" s="350"/>
      <c r="FW96" s="350"/>
      <c r="FX96" s="350"/>
      <c r="FY96" s="350"/>
      <c r="FZ96" s="350"/>
      <c r="GA96" s="350"/>
      <c r="GB96" s="350"/>
      <c r="GC96" s="350"/>
      <c r="GD96" s="350"/>
      <c r="GE96" s="350"/>
      <c r="GF96" s="350"/>
      <c r="GG96" s="350"/>
      <c r="GH96" s="350"/>
      <c r="GI96" s="350"/>
      <c r="GJ96" s="350"/>
      <c r="GK96" s="350"/>
      <c r="GL96" s="350"/>
      <c r="GM96" s="350"/>
      <c r="GN96" s="350"/>
      <c r="GO96" s="350"/>
      <c r="GP96" s="350"/>
      <c r="GQ96" s="350"/>
      <c r="GR96" s="350"/>
      <c r="GS96" s="350"/>
      <c r="GT96" s="350"/>
      <c r="GU96" s="350"/>
      <c r="GV96" s="350"/>
      <c r="GW96" s="350"/>
      <c r="GX96" s="350"/>
      <c r="GY96" s="350"/>
      <c r="GZ96" s="350"/>
      <c r="HA96" s="350"/>
      <c r="HB96" s="350"/>
      <c r="HC96" s="350"/>
      <c r="HD96" s="350"/>
      <c r="HE96" s="350"/>
      <c r="HF96" s="350"/>
      <c r="HG96" s="350"/>
      <c r="HH96" s="350"/>
      <c r="HI96" s="350"/>
      <c r="HJ96" s="350"/>
      <c r="HK96" s="350"/>
      <c r="HL96" s="350"/>
      <c r="HM96" s="350"/>
      <c r="HN96" s="350"/>
      <c r="HO96" s="350"/>
      <c r="HP96" s="350"/>
      <c r="HQ96" s="350"/>
      <c r="HR96" s="350"/>
      <c r="HS96" s="350"/>
      <c r="HT96" s="350"/>
      <c r="HU96" s="350"/>
      <c r="HV96" s="350"/>
      <c r="HW96" s="350"/>
      <c r="HX96" s="350"/>
      <c r="HY96" s="350"/>
      <c r="HZ96" s="350"/>
      <c r="IA96" s="350"/>
      <c r="IB96" s="350"/>
      <c r="IC96" s="350"/>
      <c r="ID96" s="350"/>
      <c r="IE96" s="350"/>
      <c r="IF96" s="350"/>
      <c r="IG96" s="350"/>
      <c r="IH96" s="350"/>
      <c r="II96" s="350"/>
      <c r="IJ96" s="350"/>
      <c r="IK96" s="350"/>
      <c r="IL96" s="350"/>
      <c r="IM96" s="350"/>
      <c r="IN96" s="350"/>
      <c r="IO96" s="350"/>
      <c r="IP96" s="350"/>
      <c r="IQ96" s="350"/>
      <c r="IR96" s="350"/>
      <c r="IS96" s="350"/>
      <c r="IT96" s="350"/>
      <c r="IU96" s="350"/>
      <c r="IV96" s="350"/>
      <c r="IW96" s="350"/>
      <c r="IX96" s="350"/>
      <c r="IY96" s="350"/>
      <c r="IZ96" s="350"/>
      <c r="JA96" s="350"/>
      <c r="JB96" s="350"/>
      <c r="JC96" s="350"/>
      <c r="JD96" s="350"/>
      <c r="JE96" s="350"/>
      <c r="JF96" s="350"/>
      <c r="JG96" s="350"/>
      <c r="JH96" s="350"/>
      <c r="JI96" s="350"/>
      <c r="JJ96" s="350"/>
      <c r="JK96" s="350"/>
      <c r="JL96" s="350"/>
      <c r="JM96" s="350"/>
      <c r="JN96" s="350"/>
      <c r="JO96" s="350"/>
      <c r="JP96" s="350"/>
      <c r="JQ96" s="350"/>
      <c r="JR96" s="350"/>
      <c r="JS96" s="350"/>
      <c r="JT96" s="350"/>
      <c r="JU96" s="350"/>
      <c r="JV96" s="350"/>
      <c r="JW96" s="350"/>
      <c r="JX96" s="350"/>
      <c r="JY96" s="350"/>
      <c r="JZ96" s="350"/>
      <c r="KA96" s="350"/>
      <c r="KB96" s="350"/>
      <c r="KC96" s="350"/>
      <c r="KD96" s="350"/>
      <c r="KE96" s="350"/>
      <c r="KF96" s="350"/>
      <c r="KG96" s="350"/>
      <c r="KH96" s="350"/>
      <c r="KI96" s="350"/>
      <c r="KJ96" s="350"/>
      <c r="KK96" s="350"/>
      <c r="KL96" s="350"/>
      <c r="KM96" s="350"/>
      <c r="KN96" s="350"/>
      <c r="KO96" s="350"/>
      <c r="KP96" s="350"/>
      <c r="KQ96" s="350"/>
      <c r="KR96" s="350"/>
      <c r="KS96" s="350"/>
      <c r="KT96" s="350"/>
      <c r="KU96" s="350"/>
      <c r="KV96" s="350"/>
      <c r="KW96" s="350"/>
      <c r="KX96" s="350"/>
      <c r="KY96" s="350"/>
      <c r="KZ96" s="350"/>
      <c r="LA96" s="350"/>
      <c r="LB96" s="350"/>
      <c r="LC96" s="350"/>
      <c r="LD96" s="350"/>
      <c r="LE96" s="350"/>
      <c r="LF96" s="350"/>
      <c r="LG96" s="350"/>
      <c r="LH96" s="350"/>
      <c r="LI96" s="350"/>
      <c r="LJ96" s="350"/>
      <c r="LK96" s="350"/>
      <c r="LL96" s="350"/>
      <c r="LM96" s="350"/>
      <c r="LN96" s="350"/>
      <c r="LO96" s="350"/>
      <c r="LP96" s="350"/>
      <c r="LQ96" s="350"/>
      <c r="LR96" s="350"/>
      <c r="LS96" s="350"/>
      <c r="LT96" s="350"/>
      <c r="LU96" s="350"/>
      <c r="LV96" s="350"/>
      <c r="LW96" s="350"/>
      <c r="LX96" s="350"/>
      <c r="LY96" s="350"/>
      <c r="LZ96" s="350"/>
      <c r="MA96" s="350"/>
      <c r="MB96" s="350"/>
      <c r="MC96" s="350"/>
      <c r="MD96" s="350"/>
      <c r="ME96" s="350"/>
      <c r="MF96" s="350"/>
      <c r="MG96" s="350"/>
      <c r="MH96" s="350"/>
      <c r="MI96" s="350"/>
      <c r="MJ96" s="350"/>
      <c r="MK96" s="350"/>
      <c r="ML96" s="350"/>
      <c r="MM96" s="350"/>
      <c r="MN96" s="350"/>
      <c r="MO96" s="350"/>
      <c r="MP96" s="350"/>
      <c r="MQ96" s="350"/>
      <c r="MR96" s="350"/>
      <c r="MS96" s="350"/>
      <c r="MT96" s="350"/>
      <c r="MU96" s="350"/>
      <c r="MV96" s="350"/>
      <c r="MW96" s="350"/>
      <c r="MX96" s="350"/>
      <c r="MY96" s="350"/>
      <c r="MZ96" s="350"/>
      <c r="NA96" s="350"/>
      <c r="NB96" s="350"/>
      <c r="NC96" s="350"/>
      <c r="ND96" s="350"/>
      <c r="NE96" s="350"/>
      <c r="NF96" s="350"/>
      <c r="NG96" s="350"/>
      <c r="NH96" s="350"/>
      <c r="NI96" s="350"/>
      <c r="NJ96" s="350"/>
      <c r="NK96" s="350"/>
      <c r="NL96" s="350"/>
      <c r="NM96" s="350"/>
      <c r="NN96" s="350"/>
      <c r="NO96" s="350"/>
      <c r="NP96" s="350"/>
      <c r="NQ96" s="350"/>
      <c r="NR96" s="350"/>
      <c r="NS96" s="350"/>
      <c r="NT96" s="350"/>
      <c r="NU96" s="350"/>
      <c r="NV96" s="350"/>
      <c r="NW96" s="350"/>
      <c r="NX96" s="350"/>
      <c r="NY96" s="350"/>
      <c r="NZ96" s="350"/>
      <c r="OA96" s="350"/>
      <c r="OB96" s="350"/>
      <c r="OC96" s="350"/>
      <c r="OD96" s="350"/>
      <c r="OE96" s="350"/>
      <c r="OF96" s="350"/>
      <c r="OG96" s="350"/>
      <c r="OH96" s="350"/>
      <c r="OI96" s="350"/>
      <c r="OJ96" s="350"/>
      <c r="OK96" s="350"/>
      <c r="OL96" s="350"/>
      <c r="OM96" s="350"/>
      <c r="ON96" s="350"/>
      <c r="OO96" s="350"/>
      <c r="OP96" s="350"/>
      <c r="OQ96" s="350"/>
      <c r="OR96" s="350"/>
      <c r="OS96" s="350"/>
      <c r="OT96" s="350"/>
      <c r="OU96" s="350"/>
      <c r="OV96" s="350"/>
      <c r="OW96" s="350"/>
      <c r="OX96" s="350"/>
      <c r="OY96" s="350"/>
      <c r="OZ96" s="350"/>
      <c r="PA96" s="350"/>
      <c r="PB96" s="350"/>
      <c r="PC96" s="350"/>
      <c r="PD96" s="350"/>
      <c r="PE96" s="350"/>
      <c r="PF96" s="350"/>
      <c r="PG96" s="350"/>
      <c r="PH96" s="350"/>
      <c r="PI96" s="350"/>
      <c r="PJ96" s="350"/>
      <c r="PK96" s="350"/>
      <c r="PL96" s="350"/>
      <c r="PM96" s="350"/>
      <c r="PN96" s="350"/>
      <c r="PO96" s="350"/>
      <c r="PP96" s="350"/>
      <c r="PQ96" s="350"/>
      <c r="PR96" s="350"/>
      <c r="PS96" s="350"/>
      <c r="PT96" s="350"/>
      <c r="PU96" s="350"/>
      <c r="PV96" s="350"/>
      <c r="PW96" s="350"/>
      <c r="PX96" s="350"/>
      <c r="PY96" s="350"/>
      <c r="PZ96" s="350"/>
      <c r="QA96" s="350"/>
      <c r="QB96" s="350"/>
      <c r="QC96" s="350"/>
      <c r="QD96" s="350"/>
      <c r="QE96" s="350"/>
      <c r="QF96" s="350"/>
      <c r="QG96" s="350"/>
      <c r="QH96" s="350"/>
      <c r="QI96" s="350"/>
      <c r="QJ96" s="350"/>
      <c r="QK96" s="350"/>
      <c r="QL96" s="350"/>
      <c r="QM96" s="350"/>
      <c r="QN96" s="350"/>
      <c r="QO96" s="350"/>
      <c r="QP96" s="350"/>
      <c r="QQ96" s="350"/>
      <c r="QR96" s="350"/>
      <c r="QS96" s="350"/>
      <c r="QT96" s="350"/>
      <c r="QU96" s="350"/>
      <c r="QV96" s="350"/>
      <c r="QW96" s="350"/>
      <c r="QX96" s="350"/>
      <c r="QY96" s="350"/>
      <c r="QZ96" s="350"/>
      <c r="RA96" s="350"/>
      <c r="RB96" s="350"/>
      <c r="RC96" s="350"/>
      <c r="RD96" s="350"/>
      <c r="RE96" s="350"/>
      <c r="RF96" s="350"/>
      <c r="RG96" s="350"/>
      <c r="RH96" s="350"/>
      <c r="RI96" s="350"/>
      <c r="RJ96" s="350"/>
      <c r="RK96" s="350"/>
      <c r="RL96" s="350"/>
      <c r="RM96" s="350"/>
      <c r="RN96" s="350"/>
      <c r="RO96" s="350"/>
      <c r="RP96" s="350"/>
      <c r="RQ96" s="350"/>
      <c r="RR96" s="350"/>
      <c r="RS96" s="350"/>
      <c r="RT96" s="350"/>
      <c r="RU96" s="350"/>
      <c r="RV96" s="350"/>
      <c r="RW96" s="350"/>
      <c r="RX96" s="350"/>
      <c r="RY96" s="350"/>
      <c r="RZ96" s="350"/>
      <c r="SA96" s="350"/>
      <c r="SB96" s="350"/>
      <c r="SC96" s="350"/>
      <c r="SD96" s="350"/>
      <c r="SE96" s="350"/>
      <c r="SF96" s="350"/>
      <c r="SG96" s="350"/>
      <c r="SH96" s="350"/>
      <c r="SI96" s="350"/>
      <c r="SJ96" s="350"/>
      <c r="SK96" s="350"/>
      <c r="SL96" s="350"/>
      <c r="SM96" s="350"/>
      <c r="SN96" s="350"/>
      <c r="SO96" s="350"/>
      <c r="SP96" s="350"/>
      <c r="SQ96" s="350"/>
      <c r="SR96" s="350"/>
      <c r="SS96" s="350"/>
      <c r="ST96" s="350"/>
      <c r="SU96" s="350"/>
      <c r="SV96" s="350"/>
      <c r="SW96" s="350"/>
      <c r="SX96" s="350"/>
      <c r="SY96" s="350"/>
      <c r="SZ96" s="350"/>
      <c r="TA96" s="350"/>
      <c r="TB96" s="350"/>
      <c r="TC96" s="350"/>
      <c r="TD96" s="350"/>
      <c r="TE96" s="350"/>
      <c r="TF96" s="350"/>
      <c r="TG96" s="350"/>
      <c r="TH96" s="350"/>
      <c r="TI96" s="350"/>
      <c r="TJ96" s="350"/>
      <c r="TK96" s="350"/>
      <c r="TL96" s="350"/>
      <c r="TM96" s="350"/>
      <c r="TN96" s="350"/>
      <c r="TO96" s="350"/>
      <c r="TP96" s="350"/>
      <c r="TQ96" s="350"/>
      <c r="TR96" s="350"/>
      <c r="TS96" s="350"/>
      <c r="TT96" s="350"/>
      <c r="TU96" s="350"/>
      <c r="TV96" s="350"/>
      <c r="TW96" s="350"/>
      <c r="TX96" s="350"/>
      <c r="TY96" s="350"/>
      <c r="TZ96" s="350"/>
      <c r="UA96" s="350"/>
      <c r="UB96" s="350"/>
      <c r="UC96" s="350"/>
      <c r="UD96" s="350"/>
      <c r="UE96" s="350"/>
      <c r="UF96" s="350"/>
      <c r="UG96" s="350"/>
      <c r="UH96" s="350"/>
      <c r="UI96" s="350"/>
      <c r="UJ96" s="350"/>
      <c r="UK96" s="350"/>
      <c r="UL96" s="350"/>
      <c r="UM96" s="350"/>
      <c r="UN96" s="350"/>
      <c r="UO96" s="350"/>
      <c r="UP96" s="350"/>
      <c r="UQ96" s="350"/>
      <c r="UR96" s="350"/>
      <c r="US96" s="350"/>
      <c r="UT96" s="350"/>
      <c r="UU96" s="350"/>
      <c r="UV96" s="350"/>
      <c r="UW96" s="350"/>
      <c r="UX96" s="350"/>
      <c r="UY96" s="350"/>
      <c r="UZ96" s="350"/>
      <c r="VA96" s="350"/>
      <c r="VB96" s="350"/>
      <c r="VC96" s="350"/>
      <c r="VD96" s="350"/>
      <c r="VE96" s="350"/>
      <c r="VF96" s="350"/>
      <c r="VG96" s="350"/>
      <c r="VH96" s="350"/>
      <c r="VI96" s="350"/>
      <c r="VJ96" s="350"/>
      <c r="VK96" s="350"/>
      <c r="VL96" s="350"/>
      <c r="VM96" s="350"/>
      <c r="VN96" s="350"/>
      <c r="VO96" s="350"/>
      <c r="VP96" s="350"/>
      <c r="VQ96" s="350"/>
      <c r="VR96" s="350"/>
      <c r="VS96" s="350"/>
      <c r="VT96" s="350"/>
      <c r="VU96" s="350"/>
      <c r="VV96" s="350"/>
      <c r="VW96" s="350"/>
      <c r="VX96" s="350"/>
      <c r="VY96" s="350"/>
      <c r="VZ96" s="350"/>
      <c r="WA96" s="350"/>
      <c r="WB96" s="350"/>
      <c r="WC96" s="350"/>
      <c r="WD96" s="350"/>
      <c r="WE96" s="350"/>
      <c r="WF96" s="350"/>
      <c r="WG96" s="350"/>
      <c r="WH96" s="350"/>
      <c r="WI96" s="350"/>
      <c r="WJ96" s="350"/>
      <c r="WK96" s="350"/>
      <c r="WL96" s="350"/>
      <c r="WM96" s="350"/>
      <c r="WN96" s="350"/>
      <c r="WO96" s="350"/>
      <c r="WP96" s="350"/>
      <c r="WQ96" s="350"/>
      <c r="WR96" s="350"/>
      <c r="WS96" s="350"/>
      <c r="WT96" s="350"/>
      <c r="WU96" s="350"/>
      <c r="WV96" s="350"/>
      <c r="WW96" s="350"/>
      <c r="WX96" s="350"/>
      <c r="WY96" s="350"/>
      <c r="WZ96" s="350"/>
      <c r="XA96" s="350"/>
      <c r="XB96" s="350"/>
      <c r="XC96" s="350"/>
      <c r="XD96" s="350"/>
      <c r="XE96" s="350"/>
      <c r="XF96" s="350"/>
      <c r="XG96" s="350"/>
      <c r="XH96" s="350"/>
      <c r="XI96" s="350"/>
      <c r="XJ96" s="350"/>
      <c r="XK96" s="350"/>
      <c r="XL96" s="350"/>
      <c r="XM96" s="350"/>
      <c r="XN96" s="350"/>
      <c r="XO96" s="350"/>
      <c r="XP96" s="350"/>
      <c r="XQ96" s="350"/>
      <c r="XR96" s="350"/>
      <c r="XS96" s="350"/>
      <c r="XT96" s="350"/>
      <c r="XU96" s="350"/>
      <c r="XV96" s="350"/>
      <c r="XW96" s="350"/>
      <c r="XX96" s="350"/>
      <c r="XY96" s="350"/>
      <c r="XZ96" s="350"/>
      <c r="YA96" s="350"/>
      <c r="YB96" s="350"/>
      <c r="YC96" s="350"/>
      <c r="YD96" s="350"/>
      <c r="YE96" s="350"/>
      <c r="YF96" s="350"/>
      <c r="YG96" s="350"/>
      <c r="YH96" s="350"/>
      <c r="YI96" s="350"/>
      <c r="YJ96" s="350"/>
      <c r="YK96" s="350"/>
      <c r="YL96" s="350"/>
      <c r="YM96" s="350"/>
      <c r="YN96" s="350"/>
      <c r="YO96" s="350"/>
      <c r="YP96" s="350"/>
      <c r="YQ96" s="350"/>
      <c r="YR96" s="350"/>
      <c r="YS96" s="350"/>
      <c r="YT96" s="350"/>
      <c r="YU96" s="350"/>
      <c r="YV96" s="350"/>
      <c r="YW96" s="350"/>
      <c r="YX96" s="350"/>
      <c r="YY96" s="350"/>
      <c r="YZ96" s="350"/>
      <c r="ZA96" s="350"/>
      <c r="ZB96" s="350"/>
      <c r="ZC96" s="350"/>
      <c r="ZD96" s="350"/>
      <c r="ZE96" s="350"/>
      <c r="ZF96" s="350"/>
      <c r="ZG96" s="350"/>
      <c r="ZH96" s="350"/>
      <c r="ZI96" s="350"/>
      <c r="ZJ96" s="350"/>
      <c r="ZK96" s="350"/>
      <c r="ZL96" s="350"/>
      <c r="ZM96" s="350"/>
      <c r="ZN96" s="350"/>
      <c r="ZO96" s="350"/>
      <c r="ZP96" s="350"/>
      <c r="ZQ96" s="350"/>
      <c r="ZR96" s="350"/>
      <c r="ZS96" s="350"/>
      <c r="ZT96" s="350"/>
      <c r="ZU96" s="350"/>
      <c r="ZV96" s="350"/>
      <c r="ZW96" s="350"/>
      <c r="ZX96" s="350"/>
      <c r="ZY96" s="350"/>
      <c r="ZZ96" s="350"/>
      <c r="AAA96" s="350"/>
      <c r="AAB96" s="350"/>
      <c r="AAC96" s="350"/>
      <c r="AAD96" s="350"/>
      <c r="AAE96" s="350"/>
      <c r="AAF96" s="350"/>
      <c r="AAG96" s="350"/>
      <c r="AAH96" s="350"/>
      <c r="AAI96" s="350"/>
      <c r="AAJ96" s="350"/>
      <c r="AAK96" s="350"/>
      <c r="AAL96" s="350"/>
      <c r="AAM96" s="350"/>
      <c r="AAN96" s="350"/>
      <c r="AAO96" s="350"/>
      <c r="AAP96" s="350"/>
      <c r="AAQ96" s="350"/>
      <c r="AAR96" s="350"/>
      <c r="AAS96" s="350"/>
      <c r="AAT96" s="350"/>
      <c r="AAU96" s="350"/>
      <c r="AAV96" s="350"/>
      <c r="AAW96" s="350"/>
      <c r="AAX96" s="350"/>
      <c r="AAY96" s="350"/>
      <c r="AAZ96" s="350"/>
      <c r="ABA96" s="350"/>
      <c r="ABB96" s="350"/>
      <c r="ABC96" s="350"/>
      <c r="ABD96" s="350"/>
      <c r="ABE96" s="350"/>
      <c r="ABF96" s="350"/>
      <c r="ABG96" s="350"/>
      <c r="ABH96" s="350"/>
      <c r="ABI96" s="350"/>
      <c r="ABJ96" s="350"/>
      <c r="ABK96" s="350"/>
      <c r="ABL96" s="350"/>
      <c r="ABM96" s="350"/>
      <c r="ABN96" s="350"/>
      <c r="ABO96" s="350"/>
      <c r="ABP96" s="350"/>
      <c r="ABQ96" s="350"/>
      <c r="ABR96" s="350"/>
      <c r="ABS96" s="350"/>
      <c r="ABT96" s="350"/>
      <c r="ABU96" s="350"/>
      <c r="ABV96" s="350"/>
      <c r="ABW96" s="350"/>
      <c r="ABX96" s="350"/>
      <c r="ABY96" s="350"/>
      <c r="ABZ96" s="350"/>
      <c r="ACA96" s="350"/>
      <c r="ACB96" s="350"/>
      <c r="ACC96" s="350"/>
      <c r="ACD96" s="350"/>
      <c r="ACE96" s="350"/>
      <c r="ACF96" s="350"/>
      <c r="ACG96" s="350"/>
      <c r="ACH96" s="350"/>
      <c r="ACI96" s="350"/>
      <c r="ACJ96" s="350"/>
      <c r="ACK96" s="350"/>
      <c r="ACL96" s="350"/>
      <c r="ACM96" s="350"/>
      <c r="ACN96" s="350"/>
      <c r="ACO96" s="350"/>
      <c r="ACP96" s="350"/>
      <c r="ACQ96" s="350"/>
      <c r="ACR96" s="350"/>
      <c r="ACS96" s="350"/>
      <c r="ACT96" s="350"/>
      <c r="ACU96" s="350"/>
      <c r="ACV96" s="350"/>
      <c r="ACW96" s="350"/>
      <c r="ACX96" s="350"/>
      <c r="ACY96" s="350"/>
      <c r="ACZ96" s="350"/>
      <c r="ADA96" s="350"/>
      <c r="ADB96" s="350"/>
      <c r="ADC96" s="350"/>
      <c r="ADD96" s="350"/>
      <c r="ADE96" s="350"/>
      <c r="ADF96" s="350"/>
      <c r="ADG96" s="350"/>
      <c r="ADH96" s="350"/>
      <c r="ADI96" s="350"/>
      <c r="ADJ96" s="350"/>
      <c r="ADK96" s="350"/>
      <c r="ADL96" s="350"/>
      <c r="ADM96" s="350"/>
      <c r="ADN96" s="350"/>
      <c r="ADO96" s="350"/>
      <c r="ADP96" s="350"/>
      <c r="ADQ96" s="350"/>
      <c r="ADR96" s="350"/>
      <c r="ADS96" s="350"/>
      <c r="ADT96" s="350"/>
      <c r="ADU96" s="350"/>
      <c r="ADV96" s="350"/>
      <c r="ADW96" s="350"/>
      <c r="ADX96" s="350"/>
      <c r="ADY96" s="350"/>
      <c r="ADZ96" s="350"/>
      <c r="AEA96" s="350"/>
      <c r="AEB96" s="350"/>
      <c r="AEC96" s="350"/>
      <c r="AED96" s="350"/>
      <c r="AEE96" s="350"/>
      <c r="AEF96" s="350"/>
      <c r="AEG96" s="350"/>
      <c r="AEH96" s="350"/>
      <c r="AEI96" s="350"/>
      <c r="AEJ96" s="350"/>
      <c r="AEK96" s="350"/>
      <c r="AEL96" s="350"/>
      <c r="AEM96" s="350"/>
      <c r="AEN96" s="350"/>
      <c r="AEO96" s="350"/>
      <c r="AEP96" s="350"/>
      <c r="AEQ96" s="350"/>
      <c r="AER96" s="350"/>
      <c r="AES96" s="350"/>
      <c r="AET96" s="350"/>
      <c r="AEU96" s="350"/>
      <c r="AEV96" s="350"/>
      <c r="AEW96" s="350"/>
      <c r="AEX96" s="350"/>
      <c r="AEY96" s="350"/>
      <c r="AEZ96" s="350"/>
      <c r="AFA96" s="350"/>
      <c r="AFB96" s="350"/>
      <c r="AFC96" s="350"/>
      <c r="AFD96" s="350"/>
      <c r="AFE96" s="350"/>
      <c r="AFF96" s="350"/>
      <c r="AFG96" s="350"/>
      <c r="AFH96" s="350"/>
      <c r="AFI96" s="350"/>
      <c r="AFJ96" s="350"/>
      <c r="AFK96" s="350"/>
      <c r="AFL96" s="350"/>
      <c r="AFM96" s="350"/>
      <c r="AFN96" s="350"/>
      <c r="AFO96" s="350"/>
      <c r="AFP96" s="350"/>
      <c r="AFQ96" s="350"/>
      <c r="AFR96" s="350"/>
      <c r="AFS96" s="350"/>
      <c r="AFT96" s="350"/>
      <c r="AFU96" s="350"/>
      <c r="AFV96" s="350"/>
      <c r="AFW96" s="350"/>
      <c r="AFX96" s="350"/>
      <c r="AFY96" s="350"/>
      <c r="AFZ96" s="350"/>
      <c r="AGA96" s="350"/>
      <c r="AGB96" s="350"/>
      <c r="AGC96" s="350"/>
      <c r="AGD96" s="350"/>
      <c r="AGE96" s="350"/>
      <c r="AGF96" s="350"/>
      <c r="AGG96" s="350"/>
      <c r="AGH96" s="350"/>
      <c r="AGI96" s="350"/>
      <c r="AGJ96" s="350"/>
      <c r="AGK96" s="350"/>
      <c r="AGL96" s="350"/>
      <c r="AGM96" s="350"/>
      <c r="AGN96" s="350"/>
      <c r="AGO96" s="350"/>
      <c r="AGP96" s="350"/>
      <c r="AGQ96" s="350"/>
      <c r="AGR96" s="350"/>
      <c r="AGS96" s="350"/>
      <c r="AGT96" s="350"/>
      <c r="AGU96" s="350"/>
      <c r="AGV96" s="350"/>
      <c r="AGW96" s="350"/>
      <c r="AGX96" s="350"/>
      <c r="AGY96" s="350"/>
      <c r="AGZ96" s="350"/>
      <c r="AHA96" s="350"/>
      <c r="AHB96" s="350"/>
      <c r="AHC96" s="350"/>
      <c r="AHD96" s="350"/>
      <c r="AHE96" s="350"/>
      <c r="AHF96" s="350"/>
      <c r="AHG96" s="350"/>
      <c r="AHH96" s="350"/>
      <c r="AHI96" s="350"/>
      <c r="AHJ96" s="350"/>
      <c r="AHK96" s="350"/>
      <c r="AHL96" s="350"/>
      <c r="AHM96" s="350"/>
      <c r="AHN96" s="350"/>
      <c r="AHO96" s="350"/>
      <c r="AHP96" s="350"/>
      <c r="AHQ96" s="350"/>
      <c r="AHR96" s="350"/>
      <c r="AHS96" s="350"/>
      <c r="AHT96" s="350"/>
      <c r="AHU96" s="350"/>
      <c r="AHV96" s="350"/>
      <c r="AHW96" s="350"/>
      <c r="AHX96" s="350"/>
      <c r="AHY96" s="350"/>
      <c r="AHZ96" s="350"/>
      <c r="AIA96" s="350"/>
      <c r="AIB96" s="350"/>
      <c r="AIC96" s="350"/>
      <c r="AID96" s="350"/>
      <c r="AIE96" s="350"/>
      <c r="AIF96" s="350"/>
      <c r="AIG96" s="350"/>
      <c r="AIH96" s="350"/>
      <c r="AII96" s="350"/>
      <c r="AIJ96" s="350"/>
      <c r="AIK96" s="350"/>
      <c r="AIL96" s="350"/>
      <c r="AIM96" s="350"/>
      <c r="AIN96" s="350"/>
      <c r="AIO96" s="350"/>
      <c r="AIP96" s="350"/>
      <c r="AIQ96" s="350"/>
      <c r="AIR96" s="350"/>
      <c r="AIS96" s="350"/>
      <c r="AIT96" s="350"/>
      <c r="AIU96" s="350"/>
      <c r="AIV96" s="350"/>
      <c r="AIW96" s="350"/>
      <c r="AIX96" s="350"/>
      <c r="AIY96" s="350"/>
      <c r="AIZ96" s="350"/>
      <c r="AJA96" s="350"/>
      <c r="AJB96" s="350"/>
      <c r="AJC96" s="350"/>
      <c r="AJD96" s="350"/>
      <c r="AJE96" s="350"/>
      <c r="AJF96" s="350"/>
      <c r="AJG96" s="350"/>
      <c r="AJH96" s="350"/>
      <c r="AJI96" s="350"/>
      <c r="AJJ96" s="350"/>
      <c r="AJK96" s="350"/>
      <c r="AJL96" s="350"/>
      <c r="AJM96" s="350"/>
      <c r="AJN96" s="350"/>
      <c r="AJO96" s="350"/>
      <c r="AJP96" s="350"/>
      <c r="AJQ96" s="350"/>
      <c r="AJR96" s="350"/>
      <c r="AJS96" s="350"/>
      <c r="AJT96" s="350"/>
      <c r="AJU96" s="350"/>
      <c r="AJV96" s="350"/>
      <c r="AJW96" s="350"/>
      <c r="AJX96" s="350"/>
      <c r="AJY96" s="350"/>
      <c r="AJZ96" s="350"/>
      <c r="AKA96" s="350"/>
      <c r="AKB96" s="350"/>
      <c r="AKC96" s="350"/>
      <c r="AKD96" s="350"/>
      <c r="AKE96" s="350"/>
      <c r="AKF96" s="350"/>
      <c r="AKG96" s="350"/>
      <c r="AKH96" s="350"/>
      <c r="AKI96" s="350"/>
      <c r="AKJ96" s="350"/>
      <c r="AKK96" s="350"/>
      <c r="AKL96" s="350"/>
      <c r="AKM96" s="350"/>
      <c r="AKN96" s="350"/>
      <c r="AKO96" s="350"/>
      <c r="AKP96" s="350"/>
      <c r="AKQ96" s="350"/>
      <c r="AKR96" s="350"/>
      <c r="AKS96" s="350"/>
      <c r="AKT96" s="350"/>
      <c r="AKU96" s="350"/>
      <c r="AKV96" s="350"/>
      <c r="AKW96" s="350"/>
      <c r="AKX96" s="350"/>
      <c r="AKY96" s="350"/>
      <c r="AKZ96" s="350"/>
      <c r="ALA96" s="350"/>
      <c r="ALB96" s="350"/>
      <c r="ALC96" s="350"/>
      <c r="ALD96" s="350"/>
      <c r="ALE96" s="350"/>
      <c r="ALF96" s="350"/>
      <c r="ALG96" s="350"/>
      <c r="ALH96" s="350"/>
      <c r="ALI96" s="350"/>
      <c r="ALJ96" s="350"/>
      <c r="ALK96" s="350"/>
      <c r="ALL96" s="350"/>
      <c r="ALM96" s="350"/>
      <c r="ALN96" s="350"/>
      <c r="ALO96" s="350"/>
      <c r="ALP96" s="350"/>
      <c r="ALQ96" s="350"/>
      <c r="ALR96" s="350"/>
      <c r="ALS96" s="350"/>
      <c r="ALT96" s="350"/>
      <c r="ALU96" s="350"/>
      <c r="ALV96" s="350"/>
      <c r="ALW96" s="350"/>
      <c r="ALX96" s="350"/>
      <c r="ALY96" s="350"/>
      <c r="ALZ96" s="350"/>
      <c r="AMA96" s="350"/>
      <c r="AMB96" s="350"/>
      <c r="AMC96" s="350"/>
      <c r="AMD96" s="350"/>
      <c r="AME96" s="350"/>
      <c r="AMF96" s="350"/>
      <c r="AMG96" s="350"/>
      <c r="AMH96" s="350"/>
      <c r="AMI96" s="350"/>
      <c r="AMJ96" s="350"/>
      <c r="AMK96" s="350"/>
      <c r="AML96" s="350"/>
      <c r="AMM96" s="350"/>
      <c r="AMN96" s="350"/>
      <c r="AMO96" s="350"/>
      <c r="AMP96" s="350"/>
      <c r="AMQ96" s="350"/>
      <c r="AMR96" s="350"/>
      <c r="AMS96" s="350"/>
      <c r="AMT96" s="350"/>
      <c r="AMU96" s="350"/>
      <c r="AMV96" s="350"/>
      <c r="AMW96" s="350"/>
      <c r="AMX96" s="350"/>
      <c r="AMY96" s="350"/>
      <c r="AMZ96" s="350"/>
      <c r="ANA96" s="350"/>
      <c r="ANB96" s="350"/>
      <c r="ANC96" s="350"/>
      <c r="AND96" s="350"/>
      <c r="ANE96" s="350"/>
      <c r="ANF96" s="350"/>
      <c r="ANG96" s="350"/>
      <c r="ANH96" s="350"/>
      <c r="ANI96" s="350"/>
      <c r="ANJ96" s="350"/>
      <c r="ANK96" s="350"/>
      <c r="ANL96" s="350"/>
      <c r="ANM96" s="350"/>
      <c r="ANN96" s="350"/>
      <c r="ANO96" s="350"/>
      <c r="ANP96" s="350"/>
      <c r="ANQ96" s="350"/>
      <c r="ANR96" s="350"/>
      <c r="ANS96" s="350"/>
      <c r="ANT96" s="350"/>
      <c r="ANU96" s="350"/>
      <c r="ANV96" s="350"/>
      <c r="ANW96" s="350"/>
      <c r="ANX96" s="350"/>
      <c r="ANY96" s="350"/>
      <c r="ANZ96" s="350"/>
      <c r="AOA96" s="350"/>
      <c r="AOB96" s="350"/>
      <c r="AOC96" s="350"/>
      <c r="AOD96" s="350"/>
      <c r="AOE96" s="350"/>
      <c r="AOF96" s="350"/>
      <c r="AOG96" s="350"/>
      <c r="AOH96" s="350"/>
      <c r="AOI96" s="350"/>
      <c r="AOJ96" s="350"/>
      <c r="AOK96" s="350"/>
      <c r="AOL96" s="350"/>
      <c r="AOM96" s="350"/>
      <c r="AON96" s="350"/>
      <c r="AOO96" s="350"/>
      <c r="AOP96" s="350"/>
      <c r="AOQ96" s="350"/>
      <c r="AOR96" s="350"/>
      <c r="AOS96" s="350"/>
      <c r="AOT96" s="350"/>
      <c r="AOU96" s="350"/>
      <c r="AOV96" s="350"/>
      <c r="AOW96" s="350"/>
      <c r="AOX96" s="350"/>
      <c r="AOY96" s="350"/>
      <c r="AOZ96" s="350"/>
      <c r="APA96" s="350"/>
      <c r="APB96" s="350"/>
      <c r="APC96" s="350"/>
      <c r="APD96" s="350"/>
      <c r="APE96" s="350"/>
      <c r="APF96" s="350"/>
      <c r="APG96" s="350"/>
      <c r="APH96" s="350"/>
      <c r="API96" s="350"/>
      <c r="APJ96" s="350"/>
      <c r="APK96" s="350"/>
      <c r="APL96" s="350"/>
      <c r="APM96" s="350"/>
      <c r="APN96" s="350"/>
      <c r="APO96" s="350"/>
      <c r="APP96" s="350"/>
      <c r="APQ96" s="350"/>
      <c r="APR96" s="350"/>
      <c r="APS96" s="350"/>
      <c r="APT96" s="350"/>
      <c r="APU96" s="350"/>
      <c r="APV96" s="350"/>
      <c r="APW96" s="350"/>
      <c r="APX96" s="350"/>
      <c r="APY96" s="350"/>
      <c r="APZ96" s="350"/>
      <c r="AQA96" s="350"/>
      <c r="AQB96" s="350"/>
      <c r="AQC96" s="350"/>
      <c r="AQD96" s="350"/>
      <c r="AQE96" s="350"/>
      <c r="AQF96" s="350"/>
      <c r="AQG96" s="350"/>
      <c r="AQH96" s="350"/>
      <c r="AQI96" s="350"/>
      <c r="AQJ96" s="350"/>
      <c r="AQK96" s="350"/>
      <c r="AQL96" s="350"/>
      <c r="AQM96" s="350"/>
      <c r="AQN96" s="350"/>
      <c r="AQO96" s="350"/>
      <c r="AQP96" s="350"/>
      <c r="AQQ96" s="350"/>
      <c r="AQR96" s="350"/>
      <c r="AQS96" s="350"/>
      <c r="AQT96" s="350"/>
      <c r="AQU96" s="350"/>
      <c r="AQV96" s="350"/>
      <c r="AQW96" s="350"/>
      <c r="AQX96" s="350"/>
      <c r="AQY96" s="350"/>
      <c r="AQZ96" s="350"/>
      <c r="ARA96" s="350"/>
      <c r="ARB96" s="350"/>
      <c r="ARC96" s="350"/>
      <c r="ARD96" s="350"/>
      <c r="ARE96" s="350"/>
      <c r="ARF96" s="350"/>
      <c r="ARG96" s="350"/>
      <c r="ARH96" s="350"/>
      <c r="ARI96" s="350"/>
      <c r="ARJ96" s="350"/>
      <c r="ARK96" s="350"/>
      <c r="ARL96" s="350"/>
      <c r="ARM96" s="350"/>
      <c r="ARN96" s="350"/>
      <c r="ARO96" s="350"/>
      <c r="ARP96" s="350"/>
      <c r="ARQ96" s="350"/>
      <c r="ARR96" s="350"/>
      <c r="ARS96" s="350"/>
      <c r="ART96" s="350"/>
      <c r="ARU96" s="350"/>
      <c r="ARV96" s="350"/>
      <c r="ARW96" s="350"/>
      <c r="ARX96" s="350"/>
      <c r="ARY96" s="350"/>
      <c r="ARZ96" s="350"/>
      <c r="ASA96" s="350"/>
      <c r="ASB96" s="350"/>
      <c r="ASC96" s="350"/>
      <c r="ASD96" s="350"/>
      <c r="ASE96" s="350"/>
      <c r="ASF96" s="350"/>
      <c r="ASG96" s="350"/>
      <c r="ASH96" s="350"/>
      <c r="ASI96" s="350"/>
      <c r="ASJ96" s="350"/>
      <c r="ASK96" s="350"/>
      <c r="ASL96" s="350"/>
      <c r="ASM96" s="350"/>
      <c r="ASN96" s="350"/>
      <c r="ASO96" s="350"/>
      <c r="ASP96" s="350"/>
      <c r="ASQ96" s="350"/>
      <c r="ASR96" s="350"/>
      <c r="ASS96" s="350"/>
      <c r="AST96" s="350"/>
      <c r="ASU96" s="350"/>
      <c r="ASV96" s="350"/>
      <c r="ASW96" s="350"/>
      <c r="ASX96" s="350"/>
      <c r="ASY96" s="350"/>
      <c r="ASZ96" s="350"/>
      <c r="ATA96" s="350"/>
      <c r="ATB96" s="350"/>
      <c r="ATC96" s="350"/>
      <c r="ATD96" s="350"/>
      <c r="ATE96" s="350"/>
      <c r="ATF96" s="350"/>
      <c r="ATG96" s="350"/>
      <c r="ATH96" s="350"/>
      <c r="ATI96" s="350"/>
      <c r="ATJ96" s="350"/>
      <c r="ATK96" s="350"/>
      <c r="ATL96" s="350"/>
      <c r="ATM96" s="350"/>
      <c r="ATN96" s="350"/>
      <c r="ATO96" s="350"/>
      <c r="ATP96" s="350"/>
      <c r="ATQ96" s="350"/>
      <c r="ATR96" s="350"/>
      <c r="ATS96" s="350"/>
      <c r="ATT96" s="350"/>
      <c r="ATU96" s="350"/>
      <c r="ATV96" s="350"/>
      <c r="ATW96" s="350"/>
      <c r="ATX96" s="350"/>
      <c r="ATY96" s="350"/>
      <c r="ATZ96" s="350"/>
      <c r="AUA96" s="350"/>
      <c r="AUB96" s="350"/>
      <c r="AUC96" s="350"/>
      <c r="AUD96" s="350"/>
      <c r="AUE96" s="350"/>
      <c r="AUF96" s="350"/>
      <c r="AUG96" s="350"/>
      <c r="AUH96" s="350"/>
      <c r="AUI96" s="350"/>
      <c r="AUJ96" s="350"/>
      <c r="AUK96" s="350"/>
      <c r="AUL96" s="350"/>
      <c r="AUM96" s="350"/>
      <c r="AUN96" s="350"/>
      <c r="AUO96" s="350"/>
      <c r="AUP96" s="350"/>
      <c r="AUQ96" s="350"/>
      <c r="AUR96" s="350"/>
      <c r="AUS96" s="350"/>
      <c r="AUT96" s="350"/>
      <c r="AUU96" s="350"/>
      <c r="AUV96" s="350"/>
      <c r="AUW96" s="350"/>
      <c r="AUX96" s="350"/>
      <c r="AUY96" s="350"/>
      <c r="AUZ96" s="350"/>
      <c r="AVA96" s="350"/>
      <c r="AVB96" s="350"/>
      <c r="AVC96" s="350"/>
      <c r="AVD96" s="350"/>
      <c r="AVE96" s="350"/>
      <c r="AVF96" s="350"/>
      <c r="AVG96" s="350"/>
      <c r="AVH96" s="350"/>
      <c r="AVI96" s="350"/>
      <c r="AVJ96" s="350"/>
      <c r="AVK96" s="350"/>
      <c r="AVL96" s="350"/>
      <c r="AVM96" s="350"/>
      <c r="AVN96" s="350"/>
      <c r="AVO96" s="350"/>
      <c r="AVP96" s="350"/>
      <c r="AVQ96" s="350"/>
      <c r="AVR96" s="350"/>
      <c r="AVS96" s="350"/>
      <c r="AVT96" s="350"/>
      <c r="AVU96" s="350"/>
      <c r="AVV96" s="350"/>
      <c r="AVW96" s="350"/>
      <c r="AVX96" s="350"/>
      <c r="AVY96" s="350"/>
      <c r="AVZ96" s="350"/>
      <c r="AWA96" s="350"/>
      <c r="AWB96" s="350"/>
      <c r="AWC96" s="350"/>
      <c r="AWD96" s="350"/>
      <c r="AWE96" s="350"/>
      <c r="AWF96" s="350"/>
      <c r="AWG96" s="350"/>
      <c r="AWH96" s="350"/>
      <c r="AWI96" s="350"/>
      <c r="AWJ96" s="350"/>
      <c r="AWK96" s="350"/>
      <c r="AWL96" s="350"/>
      <c r="AWM96" s="350"/>
      <c r="AWN96" s="350"/>
      <c r="AWO96" s="350"/>
      <c r="AWP96" s="350"/>
      <c r="AWQ96" s="350"/>
      <c r="AWR96" s="350"/>
      <c r="AWS96" s="350"/>
      <c r="AWT96" s="350"/>
      <c r="AWU96" s="350"/>
      <c r="AWV96" s="350"/>
      <c r="AWW96" s="350"/>
      <c r="AWX96" s="350"/>
      <c r="AWY96" s="350"/>
      <c r="AWZ96" s="350"/>
      <c r="AXA96" s="350"/>
      <c r="AXB96" s="350"/>
      <c r="AXC96" s="350"/>
      <c r="AXD96" s="350"/>
      <c r="AXE96" s="350"/>
      <c r="AXF96" s="350"/>
      <c r="AXG96" s="350"/>
      <c r="AXH96" s="350"/>
      <c r="AXI96" s="350"/>
      <c r="AXJ96" s="350"/>
      <c r="AXK96" s="350"/>
      <c r="AXL96" s="350"/>
      <c r="AXM96" s="350"/>
      <c r="AXN96" s="350"/>
      <c r="AXO96" s="350"/>
      <c r="AXP96" s="350"/>
      <c r="AXQ96" s="350"/>
      <c r="AXR96" s="350"/>
      <c r="AXS96" s="350"/>
      <c r="AXT96" s="350"/>
      <c r="AXU96" s="350"/>
      <c r="AXV96" s="350"/>
      <c r="AXW96" s="350"/>
      <c r="AXX96" s="350"/>
      <c r="AXY96" s="350"/>
      <c r="AXZ96" s="350"/>
      <c r="AYA96" s="350"/>
      <c r="AYB96" s="350"/>
      <c r="AYC96" s="350"/>
      <c r="AYD96" s="350"/>
      <c r="AYE96" s="350"/>
      <c r="AYF96" s="350"/>
      <c r="AYG96" s="350"/>
      <c r="AYH96" s="350"/>
      <c r="AYI96" s="350"/>
      <c r="AYJ96" s="350"/>
      <c r="AYK96" s="350"/>
      <c r="AYL96" s="350"/>
      <c r="AYM96" s="350"/>
      <c r="AYN96" s="350"/>
      <c r="AYO96" s="350"/>
      <c r="AYP96" s="350"/>
      <c r="AYQ96" s="350"/>
      <c r="AYR96" s="350"/>
      <c r="AYS96" s="350"/>
      <c r="AYT96" s="350"/>
      <c r="AYU96" s="350"/>
      <c r="AYV96" s="350"/>
      <c r="AYW96" s="350"/>
      <c r="AYX96" s="350"/>
      <c r="AYY96" s="350"/>
      <c r="AYZ96" s="350"/>
      <c r="AZA96" s="350"/>
      <c r="AZB96" s="350"/>
      <c r="AZC96" s="350"/>
      <c r="AZD96" s="350"/>
      <c r="AZE96" s="350"/>
      <c r="AZF96" s="350"/>
      <c r="AZG96" s="350"/>
      <c r="AZH96" s="350"/>
      <c r="AZI96" s="350"/>
      <c r="AZJ96" s="350"/>
      <c r="AZK96" s="350"/>
      <c r="AZL96" s="350"/>
      <c r="AZM96" s="350"/>
      <c r="AZN96" s="350"/>
      <c r="AZO96" s="350"/>
      <c r="AZP96" s="350"/>
      <c r="AZQ96" s="350"/>
      <c r="AZR96" s="350"/>
      <c r="AZS96" s="350"/>
      <c r="AZT96" s="350"/>
      <c r="AZU96" s="350"/>
      <c r="AZV96" s="350"/>
      <c r="AZW96" s="350"/>
      <c r="AZX96" s="350"/>
      <c r="AZY96" s="350"/>
      <c r="AZZ96" s="350"/>
      <c r="BAA96" s="350"/>
      <c r="BAB96" s="350"/>
      <c r="BAC96" s="350"/>
      <c r="BAD96" s="350"/>
      <c r="BAE96" s="350"/>
      <c r="BAF96" s="350"/>
      <c r="BAG96" s="350"/>
      <c r="BAH96" s="350"/>
      <c r="BAI96" s="350"/>
      <c r="BAJ96" s="350"/>
      <c r="BAK96" s="350"/>
      <c r="BAL96" s="350"/>
      <c r="BAM96" s="350"/>
      <c r="BAN96" s="350"/>
      <c r="BAO96" s="350"/>
      <c r="BAP96" s="350"/>
      <c r="BAQ96" s="350"/>
      <c r="BAR96" s="350"/>
      <c r="BAS96" s="350"/>
      <c r="BAT96" s="350"/>
      <c r="BAU96" s="350"/>
      <c r="BAV96" s="350"/>
      <c r="BAW96" s="350"/>
      <c r="BAX96" s="350"/>
      <c r="BAY96" s="350"/>
      <c r="BAZ96" s="350"/>
      <c r="BBA96" s="350"/>
      <c r="BBB96" s="350"/>
      <c r="BBC96" s="350"/>
      <c r="BBD96" s="350"/>
      <c r="BBE96" s="350"/>
      <c r="BBF96" s="350"/>
      <c r="BBG96" s="350"/>
      <c r="BBH96" s="350"/>
      <c r="BBI96" s="350"/>
      <c r="BBJ96" s="350"/>
      <c r="BBK96" s="350"/>
      <c r="BBL96" s="350"/>
      <c r="BBM96" s="350"/>
      <c r="BBN96" s="350"/>
      <c r="BBO96" s="350"/>
      <c r="BBP96" s="350"/>
      <c r="BBQ96" s="350"/>
      <c r="BBR96" s="350"/>
      <c r="BBS96" s="350"/>
      <c r="BBT96" s="350"/>
      <c r="BBU96" s="350"/>
      <c r="BBV96" s="350"/>
      <c r="BBW96" s="350"/>
      <c r="BBX96" s="350"/>
      <c r="BBY96" s="350"/>
      <c r="BBZ96" s="350"/>
      <c r="BCA96" s="350"/>
      <c r="BCB96" s="350"/>
      <c r="BCC96" s="350"/>
      <c r="BCD96" s="350"/>
      <c r="BCE96" s="350"/>
      <c r="BCF96" s="350"/>
      <c r="BCG96" s="350"/>
      <c r="BCH96" s="350"/>
      <c r="BCI96" s="350"/>
      <c r="BCJ96" s="350"/>
      <c r="BCK96" s="350"/>
      <c r="BCL96" s="350"/>
      <c r="BCM96" s="350"/>
      <c r="BCN96" s="350"/>
      <c r="BCO96" s="350"/>
      <c r="BCP96" s="350"/>
      <c r="BCQ96" s="350"/>
      <c r="BCR96" s="350"/>
      <c r="BCS96" s="350"/>
      <c r="BCT96" s="350"/>
      <c r="BCU96" s="350"/>
      <c r="BCV96" s="350"/>
      <c r="BCW96" s="350"/>
      <c r="BCX96" s="350"/>
      <c r="BCY96" s="350"/>
      <c r="BCZ96" s="350"/>
      <c r="BDA96" s="350"/>
      <c r="BDB96" s="350"/>
      <c r="BDC96" s="350"/>
      <c r="BDD96" s="350"/>
      <c r="BDE96" s="350"/>
      <c r="BDF96" s="350"/>
      <c r="BDG96" s="350"/>
      <c r="BDH96" s="350"/>
      <c r="BDI96" s="350"/>
      <c r="BDJ96" s="350"/>
      <c r="BDK96" s="350"/>
      <c r="BDL96" s="350"/>
      <c r="BDM96" s="350"/>
      <c r="BDN96" s="350"/>
      <c r="BDO96" s="350"/>
      <c r="BDP96" s="350"/>
      <c r="BDQ96" s="350"/>
      <c r="BDR96" s="350"/>
      <c r="BDS96" s="350"/>
      <c r="BDT96" s="350"/>
      <c r="BDU96" s="350"/>
      <c r="BDV96" s="350"/>
      <c r="BDW96" s="350"/>
      <c r="BDX96" s="350"/>
      <c r="BDY96" s="350"/>
      <c r="BDZ96" s="350"/>
      <c r="BEA96" s="350"/>
      <c r="BEB96" s="350"/>
      <c r="BEC96" s="350"/>
      <c r="BED96" s="350"/>
      <c r="BEE96" s="350"/>
      <c r="BEF96" s="350"/>
      <c r="BEG96" s="350"/>
      <c r="BEH96" s="350"/>
      <c r="BEI96" s="350"/>
      <c r="BEJ96" s="350"/>
      <c r="BEK96" s="350"/>
      <c r="BEL96" s="350"/>
      <c r="BEM96" s="350"/>
      <c r="BEN96" s="350"/>
      <c r="BEO96" s="350"/>
      <c r="BEP96" s="350"/>
      <c r="BEQ96" s="350"/>
      <c r="BER96" s="350"/>
      <c r="BES96" s="350"/>
      <c r="BET96" s="350"/>
      <c r="BEU96" s="350"/>
      <c r="BEV96" s="350"/>
      <c r="BEW96" s="350"/>
      <c r="BEX96" s="350"/>
      <c r="BEY96" s="350"/>
      <c r="BEZ96" s="350"/>
      <c r="BFA96" s="350"/>
      <c r="BFB96" s="350"/>
      <c r="BFC96" s="350"/>
      <c r="BFD96" s="350"/>
      <c r="BFE96" s="350"/>
      <c r="BFF96" s="350"/>
      <c r="BFG96" s="350"/>
      <c r="BFH96" s="350"/>
      <c r="BFI96" s="350"/>
      <c r="BFJ96" s="350"/>
      <c r="BFK96" s="350"/>
      <c r="BFL96" s="350"/>
      <c r="BFM96" s="350"/>
      <c r="BFN96" s="350"/>
      <c r="BFO96" s="350"/>
      <c r="BFP96" s="350"/>
      <c r="BFQ96" s="350"/>
      <c r="BFR96" s="350"/>
      <c r="BFS96" s="350"/>
      <c r="BFT96" s="350"/>
      <c r="BFU96" s="350"/>
      <c r="BFV96" s="350"/>
      <c r="BFW96" s="350"/>
      <c r="BFX96" s="350"/>
      <c r="BFY96" s="350"/>
      <c r="BFZ96" s="350"/>
      <c r="BGA96" s="350"/>
      <c r="BGB96" s="350"/>
      <c r="BGC96" s="350"/>
      <c r="BGD96" s="350"/>
      <c r="BGE96" s="350"/>
      <c r="BGF96" s="350"/>
      <c r="BGG96" s="350"/>
      <c r="BGH96" s="350"/>
      <c r="BGI96" s="350"/>
      <c r="BGJ96" s="350"/>
      <c r="BGK96" s="350"/>
      <c r="BGL96" s="350"/>
      <c r="BGM96" s="350"/>
      <c r="BGN96" s="350"/>
      <c r="BGO96" s="350"/>
      <c r="BGP96" s="350"/>
      <c r="BGQ96" s="350"/>
      <c r="BGR96" s="350"/>
      <c r="BGS96" s="350"/>
      <c r="BGT96" s="350"/>
      <c r="BGU96" s="350"/>
      <c r="BGV96" s="350"/>
      <c r="BGW96" s="350"/>
      <c r="BGX96" s="350"/>
      <c r="BGY96" s="350"/>
      <c r="BGZ96" s="350"/>
      <c r="BHA96" s="350"/>
      <c r="BHB96" s="350"/>
      <c r="BHC96" s="350"/>
      <c r="BHD96" s="350"/>
      <c r="BHE96" s="350"/>
      <c r="BHF96" s="350"/>
      <c r="BHG96" s="350"/>
      <c r="BHH96" s="350"/>
      <c r="BHI96" s="350"/>
      <c r="BHJ96" s="350"/>
      <c r="BHK96" s="350"/>
      <c r="BHL96" s="350"/>
      <c r="BHM96" s="350"/>
      <c r="BHN96" s="350"/>
      <c r="BHO96" s="350"/>
      <c r="BHP96" s="350"/>
      <c r="BHQ96" s="350"/>
      <c r="BHR96" s="350"/>
      <c r="BHS96" s="350"/>
      <c r="BHT96" s="350"/>
      <c r="BHU96" s="350"/>
      <c r="BHV96" s="350"/>
      <c r="BHW96" s="350"/>
      <c r="BHX96" s="350"/>
      <c r="BHY96" s="350"/>
      <c r="BHZ96" s="350"/>
      <c r="BIA96" s="350"/>
      <c r="BIB96" s="350"/>
      <c r="BIC96" s="350"/>
      <c r="BID96" s="350"/>
      <c r="BIE96" s="350"/>
      <c r="BIF96" s="350"/>
      <c r="BIG96" s="350"/>
      <c r="BIH96" s="350"/>
      <c r="BII96" s="350"/>
      <c r="BIJ96" s="350"/>
      <c r="BIK96" s="350"/>
      <c r="BIL96" s="350"/>
      <c r="BIM96" s="350"/>
      <c r="BIN96" s="350"/>
      <c r="BIO96" s="350"/>
      <c r="BIP96" s="350"/>
      <c r="BIQ96" s="350"/>
      <c r="BIR96" s="350"/>
      <c r="BIS96" s="350"/>
      <c r="BIT96" s="350"/>
      <c r="BIU96" s="350"/>
      <c r="BIV96" s="350"/>
      <c r="BIW96" s="350"/>
      <c r="BIX96" s="350"/>
      <c r="BIY96" s="350"/>
      <c r="BIZ96" s="350"/>
      <c r="BJA96" s="350"/>
      <c r="BJB96" s="350"/>
      <c r="BJC96" s="350"/>
      <c r="BJD96" s="350"/>
      <c r="BJE96" s="350"/>
      <c r="BJF96" s="350"/>
      <c r="BJG96" s="350"/>
      <c r="BJH96" s="350"/>
      <c r="BJI96" s="350"/>
      <c r="BJJ96" s="350"/>
      <c r="BJK96" s="350"/>
      <c r="BJL96" s="350"/>
      <c r="BJM96" s="350"/>
      <c r="BJN96" s="350"/>
      <c r="BJO96" s="350"/>
      <c r="BJP96" s="350"/>
      <c r="BJQ96" s="350"/>
      <c r="BJR96" s="350"/>
      <c r="BJS96" s="350"/>
      <c r="BJT96" s="350"/>
      <c r="BJU96" s="350"/>
      <c r="BJV96" s="350"/>
      <c r="BJW96" s="350"/>
      <c r="BJX96" s="350"/>
      <c r="BJY96" s="350"/>
      <c r="BJZ96" s="350"/>
      <c r="BKA96" s="350"/>
      <c r="BKB96" s="350"/>
      <c r="BKC96" s="350"/>
      <c r="BKD96" s="350"/>
      <c r="BKE96" s="350"/>
      <c r="BKF96" s="350"/>
      <c r="BKG96" s="350"/>
      <c r="BKH96" s="350"/>
      <c r="BKI96" s="350"/>
      <c r="BKJ96" s="350"/>
      <c r="BKK96" s="350"/>
      <c r="BKL96" s="350"/>
      <c r="BKM96" s="350"/>
      <c r="BKN96" s="350"/>
      <c r="BKO96" s="350"/>
      <c r="BKP96" s="350"/>
      <c r="BKQ96" s="350"/>
      <c r="BKR96" s="350"/>
      <c r="BKS96" s="350"/>
      <c r="BKT96" s="350"/>
      <c r="BKU96" s="350"/>
      <c r="BKV96" s="350"/>
      <c r="BKW96" s="350"/>
      <c r="BKX96" s="350"/>
      <c r="BKY96" s="350"/>
      <c r="BKZ96" s="350"/>
      <c r="BLA96" s="350"/>
      <c r="BLB96" s="350"/>
      <c r="BLC96" s="350"/>
      <c r="BLD96" s="350"/>
      <c r="BLE96" s="350"/>
      <c r="BLF96" s="350"/>
      <c r="BLG96" s="350"/>
      <c r="BLH96" s="350"/>
      <c r="BLI96" s="350"/>
      <c r="BLJ96" s="350"/>
      <c r="BLK96" s="350"/>
      <c r="BLL96" s="350"/>
      <c r="BLM96" s="350"/>
      <c r="BLN96" s="350"/>
      <c r="BLO96" s="350"/>
      <c r="BLP96" s="350"/>
      <c r="BLQ96" s="350"/>
      <c r="BLR96" s="350"/>
      <c r="BLS96" s="350"/>
      <c r="BLT96" s="350"/>
      <c r="BLU96" s="350"/>
      <c r="BLV96" s="350"/>
      <c r="BLW96" s="350"/>
      <c r="BLX96" s="350"/>
      <c r="BLY96" s="350"/>
      <c r="BLZ96" s="350"/>
      <c r="BMA96" s="350"/>
      <c r="BMB96" s="350"/>
      <c r="BMC96" s="350"/>
      <c r="BMD96" s="350"/>
      <c r="BME96" s="350"/>
      <c r="BMF96" s="350"/>
      <c r="BMG96" s="350"/>
      <c r="BMH96" s="350"/>
      <c r="BMI96" s="350"/>
      <c r="BMJ96" s="350"/>
      <c r="BMK96" s="350"/>
      <c r="BML96" s="350"/>
      <c r="BMM96" s="350"/>
      <c r="BMN96" s="350"/>
      <c r="BMO96" s="350"/>
      <c r="BMP96" s="350"/>
      <c r="BMQ96" s="350"/>
      <c r="BMR96" s="350"/>
      <c r="BMS96" s="350"/>
      <c r="BMT96" s="350"/>
      <c r="BMU96" s="350"/>
      <c r="BMV96" s="350"/>
      <c r="BMW96" s="350"/>
      <c r="BMX96" s="350"/>
      <c r="BMY96" s="350"/>
      <c r="BMZ96" s="350"/>
      <c r="BNA96" s="350"/>
      <c r="BNB96" s="350"/>
      <c r="BNC96" s="350"/>
      <c r="BND96" s="350"/>
      <c r="BNE96" s="350"/>
      <c r="BNF96" s="350"/>
      <c r="BNG96" s="350"/>
      <c r="BNH96" s="350"/>
      <c r="BNI96" s="350"/>
      <c r="BNJ96" s="350"/>
      <c r="BNK96" s="350"/>
      <c r="BNL96" s="350"/>
      <c r="BNM96" s="350"/>
      <c r="BNN96" s="350"/>
      <c r="BNO96" s="350"/>
      <c r="BNP96" s="350"/>
      <c r="BNQ96" s="350"/>
      <c r="BNR96" s="350"/>
      <c r="BNS96" s="350"/>
      <c r="BNT96" s="350"/>
      <c r="BNU96" s="350"/>
      <c r="BNV96" s="350"/>
      <c r="BNW96" s="350"/>
      <c r="BNX96" s="350"/>
      <c r="BNY96" s="350"/>
      <c r="BNZ96" s="350"/>
      <c r="BOA96" s="350"/>
      <c r="BOB96" s="350"/>
      <c r="BOC96" s="350"/>
      <c r="BOD96" s="350"/>
      <c r="BOE96" s="350"/>
      <c r="BOF96" s="350"/>
      <c r="BOG96" s="350"/>
      <c r="BOH96" s="350"/>
      <c r="BOI96" s="350"/>
      <c r="BOJ96" s="350"/>
      <c r="BOK96" s="350"/>
      <c r="BOL96" s="350"/>
      <c r="BOM96" s="350"/>
      <c r="BON96" s="350"/>
      <c r="BOO96" s="350"/>
      <c r="BOP96" s="350"/>
      <c r="BOQ96" s="350"/>
      <c r="BOR96" s="350"/>
      <c r="BOS96" s="350"/>
      <c r="BOT96" s="350"/>
      <c r="BOU96" s="350"/>
      <c r="BOV96" s="350"/>
      <c r="BOW96" s="350"/>
      <c r="BOX96" s="350"/>
      <c r="BOY96" s="350"/>
      <c r="BOZ96" s="350"/>
      <c r="BPA96" s="350"/>
      <c r="BPB96" s="350"/>
      <c r="BPC96" s="350"/>
      <c r="BPD96" s="350"/>
      <c r="BPE96" s="350"/>
      <c r="BPF96" s="350"/>
      <c r="BPG96" s="350"/>
      <c r="BPH96" s="350"/>
      <c r="BPI96" s="350"/>
      <c r="BPJ96" s="350"/>
      <c r="BPK96" s="350"/>
      <c r="BPL96" s="350"/>
      <c r="BPM96" s="350"/>
      <c r="BPN96" s="350"/>
      <c r="BPO96" s="350"/>
      <c r="BPP96" s="350"/>
      <c r="BPQ96" s="350"/>
      <c r="BPR96" s="350"/>
      <c r="BPS96" s="350"/>
      <c r="BPT96" s="350"/>
      <c r="BPU96" s="350"/>
      <c r="BPV96" s="350"/>
      <c r="BPW96" s="350"/>
      <c r="BPX96" s="350"/>
      <c r="BPY96" s="350"/>
      <c r="BPZ96" s="350"/>
      <c r="BQA96" s="350"/>
      <c r="BQB96" s="350"/>
      <c r="BQC96" s="350"/>
      <c r="BQD96" s="350"/>
      <c r="BQE96" s="350"/>
      <c r="BQF96" s="350"/>
      <c r="BQG96" s="350"/>
      <c r="BQH96" s="350"/>
      <c r="BQI96" s="350"/>
      <c r="BQJ96" s="350"/>
      <c r="BQK96" s="350"/>
      <c r="BQL96" s="350"/>
      <c r="BQM96" s="350"/>
      <c r="BQN96" s="350"/>
      <c r="BQO96" s="350"/>
      <c r="BQP96" s="350"/>
      <c r="BQQ96" s="350"/>
      <c r="BQR96" s="350"/>
      <c r="BQS96" s="350"/>
      <c r="BQT96" s="350"/>
      <c r="BQU96" s="350"/>
      <c r="BQV96" s="350"/>
      <c r="BQW96" s="350"/>
      <c r="BQX96" s="350"/>
      <c r="BQY96" s="350"/>
      <c r="BQZ96" s="350"/>
      <c r="BRA96" s="350"/>
      <c r="BRB96" s="350"/>
      <c r="BRC96" s="350"/>
      <c r="BRD96" s="350"/>
      <c r="BRE96" s="350"/>
      <c r="BRF96" s="350"/>
      <c r="BRG96" s="350"/>
      <c r="BRH96" s="350"/>
      <c r="BRI96" s="350"/>
      <c r="BRJ96" s="350"/>
      <c r="BRK96" s="350"/>
      <c r="BRL96" s="350"/>
      <c r="BRM96" s="350"/>
      <c r="BRN96" s="350"/>
      <c r="BRO96" s="350"/>
      <c r="BRP96" s="350"/>
      <c r="BRQ96" s="350"/>
      <c r="BRR96" s="350"/>
      <c r="BRS96" s="350"/>
      <c r="BRT96" s="350"/>
      <c r="BRU96" s="350"/>
      <c r="BRV96" s="350"/>
      <c r="BRW96" s="350"/>
      <c r="BRX96" s="350"/>
      <c r="BRY96" s="350"/>
      <c r="BRZ96" s="350"/>
      <c r="BSA96" s="350"/>
      <c r="BSB96" s="350"/>
      <c r="BSC96" s="350"/>
      <c r="BSD96" s="350"/>
      <c r="BSE96" s="350"/>
      <c r="BSF96" s="350"/>
      <c r="BSG96" s="350"/>
      <c r="BSH96" s="350"/>
      <c r="BSI96" s="350"/>
      <c r="BSJ96" s="350"/>
      <c r="BSK96" s="350"/>
      <c r="BSL96" s="350"/>
      <c r="BSM96" s="350"/>
      <c r="BSN96" s="350"/>
      <c r="BSO96" s="350"/>
      <c r="BSP96" s="350"/>
      <c r="BSQ96" s="350"/>
      <c r="BSR96" s="350"/>
      <c r="BSS96" s="350"/>
      <c r="BST96" s="350"/>
      <c r="BSU96" s="350"/>
      <c r="BSV96" s="350"/>
      <c r="BSW96" s="350"/>
      <c r="BSX96" s="350"/>
      <c r="BSY96" s="350"/>
      <c r="BSZ96" s="350"/>
      <c r="BTA96" s="350"/>
      <c r="BTB96" s="350"/>
      <c r="BTC96" s="350"/>
      <c r="BTD96" s="350"/>
      <c r="BTE96" s="350"/>
      <c r="BTF96" s="350"/>
      <c r="BTG96" s="350"/>
      <c r="BTH96" s="350"/>
      <c r="BTI96" s="350"/>
      <c r="BTJ96" s="350"/>
      <c r="BTK96" s="350"/>
      <c r="BTL96" s="350"/>
      <c r="BTM96" s="350"/>
      <c r="BTN96" s="350"/>
      <c r="BTO96" s="350"/>
      <c r="BTP96" s="350"/>
      <c r="BTQ96" s="350"/>
      <c r="BTR96" s="350"/>
      <c r="BTS96" s="350"/>
      <c r="BTT96" s="350"/>
      <c r="BTU96" s="350"/>
      <c r="BTV96" s="350"/>
      <c r="BTW96" s="350"/>
      <c r="BTX96" s="350"/>
      <c r="BTY96" s="350"/>
      <c r="BTZ96" s="350"/>
      <c r="BUA96" s="350"/>
      <c r="BUB96" s="350"/>
      <c r="BUC96" s="350"/>
      <c r="BUD96" s="350"/>
      <c r="BUE96" s="350"/>
      <c r="BUF96" s="350"/>
      <c r="BUG96" s="350"/>
      <c r="BUH96" s="350"/>
      <c r="BUI96" s="350"/>
      <c r="BUJ96" s="350"/>
      <c r="BUK96" s="350"/>
      <c r="BUL96" s="350"/>
      <c r="BUM96" s="350"/>
      <c r="BUN96" s="350"/>
      <c r="BUO96" s="350"/>
      <c r="BUP96" s="350"/>
      <c r="BUQ96" s="350"/>
      <c r="BUR96" s="350"/>
      <c r="BUS96" s="350"/>
      <c r="BUT96" s="350"/>
      <c r="BUU96" s="350"/>
      <c r="BUV96" s="350"/>
      <c r="BUW96" s="350"/>
      <c r="BUX96" s="350"/>
      <c r="BUY96" s="350"/>
      <c r="BUZ96" s="350"/>
      <c r="BVA96" s="350"/>
      <c r="BVB96" s="350"/>
      <c r="BVC96" s="350"/>
      <c r="BVD96" s="350"/>
      <c r="BVE96" s="350"/>
      <c r="BVF96" s="350"/>
      <c r="BVG96" s="350"/>
      <c r="BVH96" s="350"/>
      <c r="BVI96" s="350"/>
      <c r="BVJ96" s="350"/>
      <c r="BVK96" s="350"/>
      <c r="BVL96" s="350"/>
      <c r="BVM96" s="350"/>
      <c r="BVN96" s="350"/>
      <c r="BVO96" s="350"/>
      <c r="BVP96" s="350"/>
      <c r="BVQ96" s="350"/>
      <c r="BVR96" s="350"/>
      <c r="BVS96" s="350"/>
      <c r="BVT96" s="350"/>
      <c r="BVU96" s="350"/>
      <c r="BVV96" s="350"/>
      <c r="BVW96" s="350"/>
      <c r="BVX96" s="350"/>
      <c r="BVY96" s="350"/>
      <c r="BVZ96" s="350"/>
      <c r="BWA96" s="350"/>
      <c r="BWB96" s="350"/>
      <c r="BWC96" s="350"/>
      <c r="BWD96" s="350"/>
      <c r="BWE96" s="350"/>
      <c r="BWF96" s="350"/>
      <c r="BWG96" s="350"/>
      <c r="BWH96" s="350"/>
      <c r="BWI96" s="350"/>
      <c r="BWJ96" s="350"/>
      <c r="BWK96" s="350"/>
      <c r="BWL96" s="350"/>
      <c r="BWM96" s="350"/>
      <c r="BWN96" s="350"/>
      <c r="BWO96" s="350"/>
      <c r="BWP96" s="350"/>
      <c r="BWQ96" s="350"/>
      <c r="BWR96" s="350"/>
      <c r="BWS96" s="350"/>
      <c r="BWT96" s="350"/>
      <c r="BWU96" s="350"/>
      <c r="BWV96" s="350"/>
      <c r="BWW96" s="350"/>
      <c r="BWX96" s="350"/>
      <c r="BWY96" s="350"/>
      <c r="BWZ96" s="350"/>
      <c r="BXA96" s="350"/>
      <c r="BXB96" s="350"/>
      <c r="BXC96" s="350"/>
      <c r="BXD96" s="350"/>
      <c r="BXE96" s="350"/>
      <c r="BXF96" s="350"/>
      <c r="BXG96" s="350"/>
      <c r="BXH96" s="350"/>
      <c r="BXI96" s="350"/>
      <c r="BXJ96" s="350"/>
      <c r="BXK96" s="350"/>
      <c r="BXL96" s="350"/>
      <c r="BXM96" s="350"/>
      <c r="BXN96" s="350"/>
      <c r="BXO96" s="350"/>
      <c r="BXP96" s="350"/>
      <c r="BXQ96" s="350"/>
      <c r="BXR96" s="350"/>
      <c r="BXS96" s="350"/>
      <c r="BXT96" s="350"/>
      <c r="BXU96" s="350"/>
      <c r="BXV96" s="350"/>
      <c r="BXW96" s="350"/>
      <c r="BXX96" s="350"/>
      <c r="BXY96" s="350"/>
      <c r="BXZ96" s="350"/>
      <c r="BYA96" s="350"/>
      <c r="BYB96" s="350"/>
      <c r="BYC96" s="350"/>
      <c r="BYD96" s="350"/>
      <c r="BYE96" s="350"/>
      <c r="BYF96" s="350"/>
      <c r="BYG96" s="350"/>
      <c r="BYH96" s="350"/>
      <c r="BYI96" s="350"/>
      <c r="BYJ96" s="350"/>
      <c r="BYK96" s="350"/>
      <c r="BYL96" s="350"/>
      <c r="BYM96" s="350"/>
      <c r="BYN96" s="350"/>
      <c r="BYO96" s="350"/>
      <c r="BYP96" s="350"/>
      <c r="BYQ96" s="350"/>
      <c r="BYR96" s="350"/>
      <c r="BYS96" s="350"/>
      <c r="BYT96" s="350"/>
      <c r="BYU96" s="350"/>
      <c r="BYV96" s="350"/>
      <c r="BYW96" s="350"/>
      <c r="BYX96" s="350"/>
      <c r="BYY96" s="350"/>
      <c r="BYZ96" s="350"/>
      <c r="BZA96" s="350"/>
      <c r="BZB96" s="350"/>
      <c r="BZC96" s="350"/>
      <c r="BZD96" s="350"/>
      <c r="BZE96" s="350"/>
      <c r="BZF96" s="350"/>
      <c r="BZG96" s="350"/>
      <c r="BZH96" s="350"/>
      <c r="BZI96" s="350"/>
      <c r="BZJ96" s="350"/>
      <c r="BZK96" s="350"/>
      <c r="BZL96" s="350"/>
      <c r="BZM96" s="350"/>
      <c r="BZN96" s="350"/>
      <c r="BZO96" s="350"/>
      <c r="BZP96" s="350"/>
      <c r="BZQ96" s="350"/>
      <c r="BZR96" s="350"/>
      <c r="BZS96" s="350"/>
      <c r="BZT96" s="350"/>
      <c r="BZU96" s="350"/>
      <c r="BZV96" s="350"/>
      <c r="BZW96" s="350"/>
      <c r="BZX96" s="350"/>
      <c r="BZY96" s="350"/>
      <c r="BZZ96" s="350"/>
      <c r="CAA96" s="350"/>
      <c r="CAB96" s="350"/>
      <c r="CAC96" s="350"/>
      <c r="CAD96" s="350"/>
      <c r="CAE96" s="350"/>
      <c r="CAF96" s="350"/>
      <c r="CAG96" s="350"/>
      <c r="CAH96" s="350"/>
      <c r="CAI96" s="350"/>
      <c r="CAJ96" s="350"/>
      <c r="CAK96" s="350"/>
      <c r="CAL96" s="350"/>
      <c r="CAM96" s="350"/>
      <c r="CAN96" s="350"/>
      <c r="CAO96" s="350"/>
      <c r="CAP96" s="350"/>
      <c r="CAQ96" s="350"/>
      <c r="CAR96" s="350"/>
      <c r="CAS96" s="350"/>
      <c r="CAT96" s="350"/>
      <c r="CAU96" s="350"/>
      <c r="CAV96" s="350"/>
      <c r="CAW96" s="350"/>
      <c r="CAX96" s="350"/>
      <c r="CAY96" s="350"/>
      <c r="CAZ96" s="350"/>
      <c r="CBA96" s="350"/>
      <c r="CBB96" s="350"/>
      <c r="CBC96" s="350"/>
      <c r="CBD96" s="350"/>
      <c r="CBE96" s="350"/>
      <c r="CBF96" s="350"/>
      <c r="CBG96" s="350"/>
      <c r="CBH96" s="350"/>
      <c r="CBI96" s="350"/>
      <c r="CBJ96" s="350"/>
      <c r="CBK96" s="350"/>
      <c r="CBL96" s="350"/>
      <c r="CBM96" s="350"/>
      <c r="CBN96" s="350"/>
      <c r="CBO96" s="350"/>
      <c r="CBP96" s="350"/>
      <c r="CBQ96" s="350"/>
      <c r="CBR96" s="350"/>
      <c r="CBS96" s="350"/>
      <c r="CBT96" s="350"/>
      <c r="CBU96" s="350"/>
      <c r="CBV96" s="350"/>
      <c r="CBW96" s="350"/>
      <c r="CBX96" s="350"/>
      <c r="CBY96" s="350"/>
      <c r="CBZ96" s="350"/>
      <c r="CCA96" s="350"/>
      <c r="CCB96" s="350"/>
      <c r="CCC96" s="350"/>
      <c r="CCD96" s="350"/>
      <c r="CCE96" s="350"/>
      <c r="CCF96" s="350"/>
      <c r="CCG96" s="350"/>
      <c r="CCH96" s="350"/>
      <c r="CCI96" s="350"/>
      <c r="CCJ96" s="350"/>
      <c r="CCK96" s="350"/>
      <c r="CCL96" s="350"/>
      <c r="CCM96" s="350"/>
      <c r="CCN96" s="350"/>
      <c r="CCO96" s="350"/>
      <c r="CCP96" s="350"/>
      <c r="CCQ96" s="350"/>
      <c r="CCR96" s="350"/>
      <c r="CCS96" s="350"/>
      <c r="CCT96" s="350"/>
      <c r="CCU96" s="350"/>
      <c r="CCV96" s="350"/>
      <c r="CCW96" s="350"/>
      <c r="CCX96" s="350"/>
      <c r="CCY96" s="350"/>
      <c r="CCZ96" s="350"/>
      <c r="CDA96" s="350"/>
      <c r="CDB96" s="350"/>
      <c r="CDC96" s="350"/>
      <c r="CDD96" s="350"/>
      <c r="CDE96" s="350"/>
      <c r="CDF96" s="350"/>
      <c r="CDG96" s="350"/>
      <c r="CDH96" s="350"/>
      <c r="CDI96" s="350"/>
      <c r="CDJ96" s="350"/>
      <c r="CDK96" s="350"/>
      <c r="CDL96" s="350"/>
      <c r="CDM96" s="350"/>
      <c r="CDN96" s="350"/>
      <c r="CDO96" s="350"/>
      <c r="CDP96" s="350"/>
      <c r="CDQ96" s="350"/>
      <c r="CDR96" s="350"/>
      <c r="CDS96" s="350"/>
      <c r="CDT96" s="350"/>
      <c r="CDU96" s="350"/>
      <c r="CDV96" s="350"/>
      <c r="CDW96" s="350"/>
      <c r="CDX96" s="350"/>
      <c r="CDY96" s="350"/>
      <c r="CDZ96" s="350"/>
      <c r="CEA96" s="350"/>
      <c r="CEB96" s="350"/>
      <c r="CEC96" s="350"/>
      <c r="CED96" s="350"/>
      <c r="CEE96" s="350"/>
      <c r="CEF96" s="350"/>
      <c r="CEG96" s="350"/>
      <c r="CEH96" s="350"/>
      <c r="CEI96" s="350"/>
      <c r="CEJ96" s="350"/>
      <c r="CEK96" s="350"/>
      <c r="CEL96" s="350"/>
      <c r="CEM96" s="350"/>
      <c r="CEN96" s="350"/>
      <c r="CEO96" s="350"/>
      <c r="CEP96" s="350"/>
      <c r="CEQ96" s="350"/>
      <c r="CER96" s="350"/>
      <c r="CES96" s="350"/>
      <c r="CET96" s="350"/>
      <c r="CEU96" s="350"/>
      <c r="CEV96" s="350"/>
      <c r="CEW96" s="350"/>
      <c r="CEX96" s="350"/>
      <c r="CEY96" s="350"/>
      <c r="CEZ96" s="350"/>
      <c r="CFA96" s="350"/>
      <c r="CFB96" s="350"/>
      <c r="CFC96" s="350"/>
      <c r="CFD96" s="350"/>
      <c r="CFE96" s="350"/>
      <c r="CFF96" s="350"/>
      <c r="CFG96" s="350"/>
      <c r="CFH96" s="350"/>
      <c r="CFI96" s="350"/>
      <c r="CFJ96" s="350"/>
      <c r="CFK96" s="350"/>
      <c r="CFL96" s="350"/>
      <c r="CFM96" s="350"/>
      <c r="CFN96" s="350"/>
      <c r="CFO96" s="350"/>
      <c r="CFP96" s="350"/>
      <c r="CFQ96" s="350"/>
      <c r="CFR96" s="350"/>
      <c r="CFS96" s="350"/>
      <c r="CFT96" s="350"/>
      <c r="CFU96" s="350"/>
      <c r="CFV96" s="350"/>
      <c r="CFW96" s="350"/>
      <c r="CFX96" s="350"/>
      <c r="CFY96" s="350"/>
      <c r="CFZ96" s="350"/>
      <c r="CGA96" s="350"/>
      <c r="CGB96" s="350"/>
      <c r="CGC96" s="350"/>
      <c r="CGD96" s="350"/>
      <c r="CGE96" s="350"/>
      <c r="CGF96" s="350"/>
      <c r="CGG96" s="350"/>
      <c r="CGH96" s="350"/>
      <c r="CGI96" s="350"/>
      <c r="CGJ96" s="350"/>
      <c r="CGK96" s="350"/>
      <c r="CGL96" s="350"/>
      <c r="CGM96" s="350"/>
      <c r="CGN96" s="350"/>
      <c r="CGO96" s="350"/>
      <c r="CGP96" s="350"/>
      <c r="CGQ96" s="350"/>
      <c r="CGR96" s="350"/>
      <c r="CGS96" s="350"/>
      <c r="CGT96" s="350"/>
      <c r="CGU96" s="350"/>
      <c r="CGV96" s="350"/>
      <c r="CGW96" s="350"/>
      <c r="CGX96" s="350"/>
      <c r="CGY96" s="350"/>
      <c r="CGZ96" s="350"/>
      <c r="CHA96" s="350"/>
      <c r="CHB96" s="350"/>
      <c r="CHC96" s="350"/>
      <c r="CHD96" s="350"/>
      <c r="CHE96" s="350"/>
      <c r="CHF96" s="350"/>
      <c r="CHG96" s="350"/>
      <c r="CHH96" s="350"/>
      <c r="CHI96" s="350"/>
      <c r="CHJ96" s="350"/>
      <c r="CHK96" s="350"/>
      <c r="CHL96" s="350"/>
      <c r="CHM96" s="350"/>
      <c r="CHN96" s="350"/>
      <c r="CHO96" s="350"/>
      <c r="CHP96" s="350"/>
      <c r="CHQ96" s="350"/>
      <c r="CHR96" s="350"/>
      <c r="CHS96" s="350"/>
      <c r="CHT96" s="350"/>
      <c r="CHU96" s="350"/>
      <c r="CHV96" s="350"/>
      <c r="CHW96" s="350"/>
      <c r="CHX96" s="350"/>
      <c r="CHY96" s="350"/>
      <c r="CHZ96" s="350"/>
      <c r="CIA96" s="350"/>
      <c r="CIB96" s="350"/>
      <c r="CIC96" s="350"/>
      <c r="CID96" s="350"/>
      <c r="CIE96" s="350"/>
      <c r="CIF96" s="350"/>
      <c r="CIG96" s="350"/>
      <c r="CIH96" s="350"/>
      <c r="CII96" s="350"/>
      <c r="CIJ96" s="350"/>
      <c r="CIK96" s="350"/>
      <c r="CIL96" s="350"/>
      <c r="CIM96" s="350"/>
      <c r="CIN96" s="350"/>
      <c r="CIO96" s="350"/>
      <c r="CIP96" s="350"/>
      <c r="CIQ96" s="350"/>
      <c r="CIR96" s="350"/>
      <c r="CIS96" s="350"/>
      <c r="CIT96" s="350"/>
      <c r="CIU96" s="350"/>
      <c r="CIV96" s="350"/>
      <c r="CIW96" s="350"/>
      <c r="CIX96" s="350"/>
      <c r="CIY96" s="350"/>
      <c r="CIZ96" s="350"/>
      <c r="CJA96" s="350"/>
      <c r="CJB96" s="350"/>
      <c r="CJC96" s="350"/>
      <c r="CJD96" s="350"/>
      <c r="CJE96" s="350"/>
      <c r="CJF96" s="350"/>
      <c r="CJG96" s="350"/>
      <c r="CJH96" s="350"/>
      <c r="CJI96" s="350"/>
      <c r="CJJ96" s="350"/>
      <c r="CJK96" s="350"/>
      <c r="CJL96" s="350"/>
      <c r="CJM96" s="350"/>
      <c r="CJN96" s="350"/>
      <c r="CJO96" s="350"/>
      <c r="CJP96" s="350"/>
      <c r="CJQ96" s="350"/>
      <c r="CJR96" s="350"/>
      <c r="CJS96" s="350"/>
      <c r="CJT96" s="350"/>
      <c r="CJU96" s="350"/>
      <c r="CJV96" s="350"/>
      <c r="CJW96" s="350"/>
      <c r="CJX96" s="350"/>
      <c r="CJY96" s="350"/>
      <c r="CJZ96" s="350"/>
      <c r="CKA96" s="350"/>
      <c r="CKB96" s="350"/>
      <c r="CKC96" s="350"/>
      <c r="CKD96" s="350"/>
      <c r="CKE96" s="350"/>
      <c r="CKF96" s="350"/>
      <c r="CKG96" s="350"/>
      <c r="CKH96" s="350"/>
      <c r="CKI96" s="350"/>
      <c r="CKJ96" s="350"/>
      <c r="CKK96" s="350"/>
      <c r="CKL96" s="350"/>
      <c r="CKM96" s="350"/>
      <c r="CKN96" s="350"/>
      <c r="CKO96" s="350"/>
      <c r="CKP96" s="350"/>
      <c r="CKQ96" s="350"/>
      <c r="CKR96" s="350"/>
      <c r="CKS96" s="350"/>
      <c r="CKT96" s="350"/>
      <c r="CKU96" s="350"/>
      <c r="CKV96" s="350"/>
      <c r="CKW96" s="350"/>
      <c r="CKX96" s="350"/>
      <c r="CKY96" s="350"/>
      <c r="CKZ96" s="350"/>
      <c r="CLA96" s="350"/>
      <c r="CLB96" s="350"/>
      <c r="CLC96" s="350"/>
      <c r="CLD96" s="350"/>
      <c r="CLE96" s="350"/>
      <c r="CLF96" s="350"/>
      <c r="CLG96" s="350"/>
      <c r="CLH96" s="350"/>
      <c r="CLI96" s="350"/>
      <c r="CLJ96" s="350"/>
      <c r="CLK96" s="350"/>
      <c r="CLL96" s="350"/>
      <c r="CLM96" s="350"/>
      <c r="CLN96" s="350"/>
      <c r="CLO96" s="350"/>
      <c r="CLP96" s="350"/>
      <c r="CLQ96" s="350"/>
      <c r="CLR96" s="350"/>
      <c r="CLS96" s="350"/>
      <c r="CLT96" s="350"/>
      <c r="CLU96" s="350"/>
      <c r="CLV96" s="350"/>
      <c r="CLW96" s="350"/>
      <c r="CLX96" s="350"/>
      <c r="CLY96" s="350"/>
      <c r="CLZ96" s="350"/>
      <c r="CMA96" s="350"/>
      <c r="CMB96" s="350"/>
      <c r="CMC96" s="350"/>
      <c r="CMD96" s="350"/>
      <c r="CME96" s="350"/>
      <c r="CMF96" s="350"/>
      <c r="CMG96" s="350"/>
      <c r="CMH96" s="350"/>
      <c r="CMI96" s="350"/>
      <c r="CMJ96" s="350"/>
      <c r="CMK96" s="350"/>
      <c r="CML96" s="350"/>
      <c r="CMM96" s="350"/>
      <c r="CMN96" s="350"/>
      <c r="CMO96" s="350"/>
      <c r="CMP96" s="350"/>
      <c r="CMQ96" s="350"/>
      <c r="CMR96" s="350"/>
      <c r="CMS96" s="350"/>
      <c r="CMT96" s="350"/>
      <c r="CMU96" s="350"/>
      <c r="CMV96" s="350"/>
      <c r="CMW96" s="350"/>
      <c r="CMX96" s="350"/>
      <c r="CMY96" s="350"/>
      <c r="CMZ96" s="350"/>
      <c r="CNA96" s="350"/>
      <c r="CNB96" s="350"/>
      <c r="CNC96" s="350"/>
      <c r="CND96" s="350"/>
      <c r="CNE96" s="350"/>
      <c r="CNF96" s="350"/>
      <c r="CNG96" s="350"/>
      <c r="CNH96" s="350"/>
      <c r="CNI96" s="350"/>
      <c r="CNJ96" s="350"/>
      <c r="CNK96" s="350"/>
      <c r="CNL96" s="350"/>
      <c r="CNM96" s="350"/>
      <c r="CNN96" s="350"/>
      <c r="CNO96" s="350"/>
      <c r="CNP96" s="350"/>
      <c r="CNQ96" s="350"/>
      <c r="CNR96" s="350"/>
      <c r="CNS96" s="350"/>
      <c r="CNT96" s="350"/>
      <c r="CNU96" s="350"/>
      <c r="CNV96" s="350"/>
      <c r="CNW96" s="350"/>
      <c r="CNX96" s="350"/>
      <c r="CNY96" s="350"/>
      <c r="CNZ96" s="350"/>
      <c r="COA96" s="350"/>
      <c r="COB96" s="350"/>
      <c r="COC96" s="350"/>
      <c r="COD96" s="350"/>
      <c r="COE96" s="350"/>
      <c r="COF96" s="350"/>
      <c r="COG96" s="350"/>
      <c r="COH96" s="350"/>
      <c r="COI96" s="350"/>
      <c r="COJ96" s="350"/>
      <c r="COK96" s="350"/>
      <c r="COL96" s="350"/>
      <c r="COM96" s="350"/>
      <c r="CON96" s="350"/>
      <c r="COO96" s="350"/>
      <c r="COP96" s="350"/>
      <c r="COQ96" s="350"/>
      <c r="COR96" s="350"/>
      <c r="COS96" s="350"/>
      <c r="COT96" s="350"/>
      <c r="COU96" s="350"/>
      <c r="COV96" s="350"/>
      <c r="COW96" s="350"/>
      <c r="COX96" s="350"/>
      <c r="COY96" s="350"/>
      <c r="COZ96" s="350"/>
      <c r="CPA96" s="350"/>
      <c r="CPB96" s="350"/>
      <c r="CPC96" s="350"/>
      <c r="CPD96" s="350"/>
      <c r="CPE96" s="350"/>
      <c r="CPF96" s="350"/>
      <c r="CPG96" s="350"/>
      <c r="CPH96" s="350"/>
      <c r="CPI96" s="350"/>
      <c r="CPJ96" s="350"/>
      <c r="CPK96" s="350"/>
      <c r="CPL96" s="350"/>
      <c r="CPM96" s="350"/>
      <c r="CPN96" s="350"/>
      <c r="CPO96" s="350"/>
      <c r="CPP96" s="350"/>
      <c r="CPQ96" s="350"/>
      <c r="CPR96" s="350"/>
      <c r="CPS96" s="350"/>
      <c r="CPT96" s="350"/>
      <c r="CPU96" s="350"/>
      <c r="CPV96" s="350"/>
      <c r="CPW96" s="350"/>
      <c r="CPX96" s="350"/>
      <c r="CPY96" s="350"/>
      <c r="CPZ96" s="350"/>
      <c r="CQA96" s="350"/>
      <c r="CQB96" s="350"/>
      <c r="CQC96" s="350"/>
      <c r="CQD96" s="350"/>
      <c r="CQE96" s="350"/>
      <c r="CQF96" s="350"/>
      <c r="CQG96" s="350"/>
      <c r="CQH96" s="350"/>
      <c r="CQI96" s="350"/>
      <c r="CQJ96" s="350"/>
      <c r="CQK96" s="350"/>
      <c r="CQL96" s="350"/>
      <c r="CQM96" s="350"/>
      <c r="CQN96" s="350"/>
      <c r="CQO96" s="350"/>
      <c r="CQP96" s="350"/>
      <c r="CQQ96" s="350"/>
      <c r="CQR96" s="350"/>
      <c r="CQS96" s="350"/>
      <c r="CQT96" s="350"/>
      <c r="CQU96" s="350"/>
      <c r="CQV96" s="350"/>
      <c r="CQW96" s="350"/>
      <c r="CQX96" s="350"/>
      <c r="CQY96" s="350"/>
      <c r="CQZ96" s="350"/>
      <c r="CRA96" s="350"/>
      <c r="CRB96" s="350"/>
      <c r="CRC96" s="350"/>
      <c r="CRD96" s="350"/>
      <c r="CRE96" s="350"/>
      <c r="CRF96" s="350"/>
      <c r="CRG96" s="350"/>
      <c r="CRH96" s="350"/>
      <c r="CRI96" s="350"/>
      <c r="CRJ96" s="350"/>
      <c r="CRK96" s="350"/>
      <c r="CRL96" s="350"/>
      <c r="CRM96" s="350"/>
      <c r="CRN96" s="350"/>
      <c r="CRO96" s="350"/>
      <c r="CRP96" s="350"/>
      <c r="CRQ96" s="350"/>
      <c r="CRR96" s="350"/>
      <c r="CRS96" s="350"/>
      <c r="CRT96" s="350"/>
      <c r="CRU96" s="350"/>
      <c r="CRV96" s="350"/>
      <c r="CRW96" s="350"/>
      <c r="CRX96" s="350"/>
      <c r="CRY96" s="350"/>
      <c r="CRZ96" s="350"/>
      <c r="CSA96" s="350"/>
      <c r="CSB96" s="350"/>
      <c r="CSC96" s="350"/>
      <c r="CSD96" s="350"/>
      <c r="CSE96" s="350"/>
      <c r="CSF96" s="350"/>
      <c r="CSG96" s="350"/>
      <c r="CSH96" s="350"/>
      <c r="CSI96" s="350"/>
      <c r="CSJ96" s="350"/>
      <c r="CSK96" s="350"/>
      <c r="CSL96" s="350"/>
      <c r="CSM96" s="350"/>
      <c r="CSN96" s="350"/>
      <c r="CSO96" s="350"/>
      <c r="CSP96" s="350"/>
      <c r="CSQ96" s="350"/>
      <c r="CSR96" s="350"/>
      <c r="CSS96" s="350"/>
      <c r="CST96" s="350"/>
      <c r="CSU96" s="350"/>
      <c r="CSV96" s="350"/>
      <c r="CSW96" s="350"/>
      <c r="CSX96" s="350"/>
      <c r="CSY96" s="350"/>
      <c r="CSZ96" s="350"/>
      <c r="CTA96" s="350"/>
      <c r="CTB96" s="350"/>
      <c r="CTC96" s="350"/>
      <c r="CTD96" s="350"/>
      <c r="CTE96" s="350"/>
      <c r="CTF96" s="350"/>
      <c r="CTG96" s="350"/>
      <c r="CTH96" s="350"/>
      <c r="CTI96" s="350"/>
      <c r="CTJ96" s="350"/>
      <c r="CTK96" s="350"/>
      <c r="CTL96" s="350"/>
      <c r="CTM96" s="350"/>
      <c r="CTN96" s="350"/>
      <c r="CTO96" s="350"/>
      <c r="CTP96" s="350"/>
      <c r="CTQ96" s="350"/>
      <c r="CTR96" s="350"/>
      <c r="CTS96" s="350"/>
      <c r="CTT96" s="350"/>
      <c r="CTU96" s="350"/>
      <c r="CTV96" s="350"/>
      <c r="CTW96" s="350"/>
      <c r="CTX96" s="350"/>
      <c r="CTY96" s="350"/>
      <c r="CTZ96" s="350"/>
      <c r="CUA96" s="350"/>
      <c r="CUB96" s="350"/>
      <c r="CUC96" s="350"/>
      <c r="CUD96" s="350"/>
      <c r="CUE96" s="350"/>
      <c r="CUF96" s="350"/>
      <c r="CUG96" s="350"/>
      <c r="CUH96" s="350"/>
      <c r="CUI96" s="350"/>
      <c r="CUJ96" s="350"/>
      <c r="CUK96" s="350"/>
      <c r="CUL96" s="350"/>
      <c r="CUM96" s="350"/>
      <c r="CUN96" s="350"/>
      <c r="CUO96" s="350"/>
      <c r="CUP96" s="350"/>
      <c r="CUQ96" s="350"/>
      <c r="CUR96" s="350"/>
      <c r="CUS96" s="350"/>
      <c r="CUT96" s="350"/>
      <c r="CUU96" s="350"/>
      <c r="CUV96" s="350"/>
      <c r="CUW96" s="350"/>
      <c r="CUX96" s="350"/>
      <c r="CUY96" s="350"/>
      <c r="CUZ96" s="350"/>
      <c r="CVA96" s="350"/>
      <c r="CVB96" s="350"/>
      <c r="CVC96" s="350"/>
      <c r="CVD96" s="350"/>
      <c r="CVE96" s="350"/>
      <c r="CVF96" s="350"/>
      <c r="CVG96" s="350"/>
      <c r="CVH96" s="350"/>
      <c r="CVI96" s="350"/>
      <c r="CVJ96" s="350"/>
      <c r="CVK96" s="350"/>
      <c r="CVL96" s="350"/>
      <c r="CVM96" s="350"/>
      <c r="CVN96" s="350"/>
      <c r="CVO96" s="350"/>
      <c r="CVP96" s="350"/>
      <c r="CVQ96" s="350"/>
      <c r="CVR96" s="350"/>
      <c r="CVS96" s="350"/>
      <c r="CVT96" s="350"/>
      <c r="CVU96" s="350"/>
      <c r="CVV96" s="350"/>
      <c r="CVW96" s="350"/>
      <c r="CVX96" s="350"/>
      <c r="CVY96" s="350"/>
      <c r="CVZ96" s="350"/>
      <c r="CWA96" s="350"/>
      <c r="CWB96" s="350"/>
      <c r="CWC96" s="350"/>
      <c r="CWD96" s="350"/>
      <c r="CWE96" s="350"/>
      <c r="CWF96" s="350"/>
      <c r="CWG96" s="350"/>
      <c r="CWH96" s="350"/>
      <c r="CWI96" s="350"/>
      <c r="CWJ96" s="350"/>
      <c r="CWK96" s="350"/>
      <c r="CWL96" s="350"/>
      <c r="CWM96" s="350"/>
      <c r="CWN96" s="350"/>
      <c r="CWO96" s="350"/>
      <c r="CWP96" s="350"/>
      <c r="CWQ96" s="350"/>
      <c r="CWR96" s="350"/>
      <c r="CWS96" s="350"/>
      <c r="CWT96" s="350"/>
      <c r="CWU96" s="350"/>
      <c r="CWV96" s="350"/>
      <c r="CWW96" s="350"/>
      <c r="CWX96" s="350"/>
      <c r="CWY96" s="350"/>
      <c r="CWZ96" s="350"/>
      <c r="CXA96" s="350"/>
      <c r="CXB96" s="350"/>
      <c r="CXC96" s="350"/>
      <c r="CXD96" s="350"/>
      <c r="CXE96" s="350"/>
      <c r="CXF96" s="350"/>
      <c r="CXG96" s="350"/>
      <c r="CXH96" s="350"/>
      <c r="CXI96" s="350"/>
      <c r="CXJ96" s="350"/>
      <c r="CXK96" s="350"/>
      <c r="CXL96" s="350"/>
      <c r="CXM96" s="350"/>
      <c r="CXN96" s="350"/>
      <c r="CXO96" s="350"/>
      <c r="CXP96" s="350"/>
      <c r="CXQ96" s="350"/>
      <c r="CXR96" s="350"/>
      <c r="CXS96" s="350"/>
      <c r="CXT96" s="350"/>
      <c r="CXU96" s="350"/>
      <c r="CXV96" s="350"/>
      <c r="CXW96" s="350"/>
      <c r="CXX96" s="350"/>
      <c r="CXY96" s="350"/>
      <c r="CXZ96" s="350"/>
      <c r="CYA96" s="350"/>
      <c r="CYB96" s="350"/>
      <c r="CYC96" s="350"/>
      <c r="CYD96" s="350"/>
      <c r="CYE96" s="350"/>
      <c r="CYF96" s="350"/>
      <c r="CYG96" s="350"/>
      <c r="CYH96" s="350"/>
      <c r="CYI96" s="350"/>
      <c r="CYJ96" s="350"/>
      <c r="CYK96" s="350"/>
      <c r="CYL96" s="350"/>
      <c r="CYM96" s="350"/>
      <c r="CYN96" s="350"/>
      <c r="CYO96" s="350"/>
      <c r="CYP96" s="350"/>
      <c r="CYQ96" s="350"/>
      <c r="CYR96" s="350"/>
      <c r="CYS96" s="350"/>
      <c r="CYT96" s="350"/>
      <c r="CYU96" s="350"/>
      <c r="CYV96" s="350"/>
      <c r="CYW96" s="350"/>
      <c r="CYX96" s="350"/>
      <c r="CYY96" s="350"/>
      <c r="CYZ96" s="350"/>
      <c r="CZA96" s="350"/>
      <c r="CZB96" s="350"/>
      <c r="CZC96" s="350"/>
      <c r="CZD96" s="350"/>
      <c r="CZE96" s="350"/>
      <c r="CZF96" s="350"/>
      <c r="CZG96" s="350"/>
      <c r="CZH96" s="350"/>
      <c r="CZI96" s="350"/>
      <c r="CZJ96" s="350"/>
      <c r="CZK96" s="350"/>
      <c r="CZL96" s="350"/>
      <c r="CZM96" s="350"/>
      <c r="CZN96" s="350"/>
      <c r="CZO96" s="350"/>
      <c r="CZP96" s="350"/>
      <c r="CZQ96" s="350"/>
      <c r="CZR96" s="350"/>
      <c r="CZS96" s="350"/>
      <c r="CZT96" s="350"/>
      <c r="CZU96" s="350"/>
      <c r="CZV96" s="350"/>
      <c r="CZW96" s="350"/>
      <c r="CZX96" s="350"/>
      <c r="CZY96" s="350"/>
      <c r="CZZ96" s="350"/>
      <c r="DAA96" s="350"/>
      <c r="DAB96" s="350"/>
      <c r="DAC96" s="350"/>
      <c r="DAD96" s="350"/>
      <c r="DAE96" s="350"/>
      <c r="DAF96" s="350"/>
      <c r="DAG96" s="350"/>
      <c r="DAH96" s="350"/>
      <c r="DAI96" s="350"/>
      <c r="DAJ96" s="350"/>
      <c r="DAK96" s="350"/>
      <c r="DAL96" s="350"/>
      <c r="DAM96" s="350"/>
      <c r="DAN96" s="350"/>
      <c r="DAO96" s="350"/>
      <c r="DAP96" s="350"/>
      <c r="DAQ96" s="350"/>
      <c r="DAR96" s="350"/>
      <c r="DAS96" s="350"/>
      <c r="DAT96" s="350"/>
      <c r="DAU96" s="350"/>
      <c r="DAV96" s="350"/>
      <c r="DAW96" s="350"/>
      <c r="DAX96" s="350"/>
      <c r="DAY96" s="350"/>
      <c r="DAZ96" s="350"/>
      <c r="DBA96" s="350"/>
      <c r="DBB96" s="350"/>
      <c r="DBC96" s="350"/>
      <c r="DBD96" s="350"/>
      <c r="DBE96" s="350"/>
      <c r="DBF96" s="350"/>
      <c r="DBG96" s="350"/>
      <c r="DBH96" s="350"/>
      <c r="DBI96" s="350"/>
      <c r="DBJ96" s="350"/>
      <c r="DBK96" s="350"/>
      <c r="DBL96" s="350"/>
      <c r="DBM96" s="350"/>
      <c r="DBN96" s="350"/>
      <c r="DBO96" s="350"/>
      <c r="DBP96" s="350"/>
      <c r="DBQ96" s="350"/>
      <c r="DBR96" s="350"/>
      <c r="DBS96" s="350"/>
      <c r="DBT96" s="350"/>
      <c r="DBU96" s="350"/>
      <c r="DBV96" s="350"/>
      <c r="DBW96" s="350"/>
      <c r="DBX96" s="350"/>
      <c r="DBY96" s="350"/>
      <c r="DBZ96" s="350"/>
      <c r="DCA96" s="350"/>
      <c r="DCB96" s="350"/>
      <c r="DCC96" s="350"/>
      <c r="DCD96" s="350"/>
      <c r="DCE96" s="350"/>
      <c r="DCF96" s="350"/>
      <c r="DCG96" s="350"/>
      <c r="DCH96" s="350"/>
      <c r="DCI96" s="350"/>
      <c r="DCJ96" s="350"/>
      <c r="DCK96" s="350"/>
      <c r="DCL96" s="350"/>
      <c r="DCM96" s="350"/>
      <c r="DCN96" s="350"/>
      <c r="DCO96" s="350"/>
      <c r="DCP96" s="350"/>
      <c r="DCQ96" s="350"/>
      <c r="DCR96" s="350"/>
      <c r="DCS96" s="350"/>
      <c r="DCT96" s="350"/>
      <c r="DCU96" s="350"/>
      <c r="DCV96" s="350"/>
      <c r="DCW96" s="350"/>
      <c r="DCX96" s="350"/>
      <c r="DCY96" s="350"/>
      <c r="DCZ96" s="350"/>
      <c r="DDA96" s="350"/>
      <c r="DDB96" s="350"/>
      <c r="DDC96" s="350"/>
      <c r="DDD96" s="350"/>
      <c r="DDE96" s="350"/>
      <c r="DDF96" s="350"/>
      <c r="DDG96" s="350"/>
      <c r="DDH96" s="350"/>
      <c r="DDI96" s="350"/>
      <c r="DDJ96" s="350"/>
      <c r="DDK96" s="350"/>
      <c r="DDL96" s="350"/>
      <c r="DDM96" s="350"/>
      <c r="DDN96" s="350"/>
      <c r="DDO96" s="350"/>
      <c r="DDP96" s="350"/>
      <c r="DDQ96" s="350"/>
      <c r="DDR96" s="350"/>
      <c r="DDS96" s="350"/>
      <c r="DDT96" s="350"/>
      <c r="DDU96" s="350"/>
      <c r="DDV96" s="350"/>
      <c r="DDW96" s="350"/>
      <c r="DDX96" s="350"/>
      <c r="DDY96" s="350"/>
      <c r="DDZ96" s="350"/>
      <c r="DEA96" s="350"/>
      <c r="DEB96" s="350"/>
      <c r="DEC96" s="350"/>
      <c r="DED96" s="350"/>
      <c r="DEE96" s="350"/>
      <c r="DEF96" s="350"/>
      <c r="DEG96" s="350"/>
      <c r="DEH96" s="350"/>
      <c r="DEI96" s="350"/>
      <c r="DEJ96" s="350"/>
      <c r="DEK96" s="350"/>
      <c r="DEL96" s="350"/>
      <c r="DEM96" s="350"/>
      <c r="DEN96" s="350"/>
      <c r="DEO96" s="350"/>
      <c r="DEP96" s="350"/>
      <c r="DEQ96" s="350"/>
      <c r="DER96" s="350"/>
      <c r="DES96" s="350"/>
      <c r="DET96" s="350"/>
      <c r="DEU96" s="350"/>
      <c r="DEV96" s="350"/>
      <c r="DEW96" s="350"/>
      <c r="DEX96" s="350"/>
      <c r="DEY96" s="350"/>
      <c r="DEZ96" s="350"/>
      <c r="DFA96" s="350"/>
      <c r="DFB96" s="350"/>
      <c r="DFC96" s="350"/>
      <c r="DFD96" s="350"/>
      <c r="DFE96" s="350"/>
      <c r="DFF96" s="350"/>
      <c r="DFG96" s="350"/>
      <c r="DFH96" s="350"/>
      <c r="DFI96" s="350"/>
      <c r="DFJ96" s="350"/>
      <c r="DFK96" s="350"/>
      <c r="DFL96" s="350"/>
      <c r="DFM96" s="350"/>
      <c r="DFN96" s="350"/>
      <c r="DFO96" s="350"/>
      <c r="DFP96" s="350"/>
      <c r="DFQ96" s="350"/>
      <c r="DFR96" s="350"/>
      <c r="DFS96" s="350"/>
      <c r="DFT96" s="350"/>
      <c r="DFU96" s="350"/>
      <c r="DFV96" s="350"/>
      <c r="DFW96" s="350"/>
      <c r="DFX96" s="350"/>
      <c r="DFY96" s="350"/>
      <c r="DFZ96" s="350"/>
      <c r="DGA96" s="350"/>
      <c r="DGB96" s="350"/>
      <c r="DGC96" s="350"/>
      <c r="DGD96" s="350"/>
      <c r="DGE96" s="350"/>
      <c r="DGF96" s="350"/>
      <c r="DGG96" s="350"/>
      <c r="DGH96" s="350"/>
      <c r="DGI96" s="350"/>
      <c r="DGJ96" s="350"/>
      <c r="DGK96" s="350"/>
      <c r="DGL96" s="350"/>
      <c r="DGM96" s="350"/>
      <c r="DGN96" s="350"/>
      <c r="DGO96" s="350"/>
      <c r="DGP96" s="350"/>
      <c r="DGQ96" s="350"/>
      <c r="DGR96" s="350"/>
      <c r="DGS96" s="350"/>
      <c r="DGT96" s="350"/>
      <c r="DGU96" s="350"/>
      <c r="DGV96" s="350"/>
      <c r="DGW96" s="350"/>
      <c r="DGX96" s="350"/>
      <c r="DGY96" s="350"/>
      <c r="DGZ96" s="350"/>
      <c r="DHA96" s="350"/>
      <c r="DHB96" s="350"/>
      <c r="DHC96" s="350"/>
      <c r="DHD96" s="350"/>
      <c r="DHE96" s="350"/>
      <c r="DHF96" s="350"/>
      <c r="DHG96" s="350"/>
      <c r="DHH96" s="350"/>
      <c r="DHI96" s="350"/>
      <c r="DHJ96" s="350"/>
      <c r="DHK96" s="350"/>
      <c r="DHL96" s="350"/>
      <c r="DHM96" s="350"/>
      <c r="DHN96" s="350"/>
      <c r="DHO96" s="350"/>
      <c r="DHP96" s="350"/>
      <c r="DHQ96" s="350"/>
      <c r="DHR96" s="350"/>
      <c r="DHS96" s="350"/>
      <c r="DHT96" s="350"/>
      <c r="DHU96" s="350"/>
      <c r="DHV96" s="350"/>
      <c r="DHW96" s="350"/>
      <c r="DHX96" s="350"/>
      <c r="DHY96" s="350"/>
      <c r="DHZ96" s="350"/>
      <c r="DIA96" s="350"/>
      <c r="DIB96" s="350"/>
      <c r="DIC96" s="350"/>
      <c r="DID96" s="350"/>
      <c r="DIE96" s="350"/>
      <c r="DIF96" s="350"/>
      <c r="DIG96" s="350"/>
      <c r="DIH96" s="350"/>
      <c r="DII96" s="350"/>
      <c r="DIJ96" s="350"/>
      <c r="DIK96" s="350"/>
      <c r="DIL96" s="350"/>
      <c r="DIM96" s="350"/>
      <c r="DIN96" s="350"/>
      <c r="DIO96" s="350"/>
      <c r="DIP96" s="350"/>
      <c r="DIQ96" s="350"/>
      <c r="DIR96" s="350"/>
      <c r="DIS96" s="350"/>
      <c r="DIT96" s="350"/>
      <c r="DIU96" s="350"/>
      <c r="DIV96" s="350"/>
      <c r="DIW96" s="350"/>
      <c r="DIX96" s="350"/>
      <c r="DIY96" s="350"/>
      <c r="DIZ96" s="350"/>
      <c r="DJA96" s="350"/>
      <c r="DJB96" s="350"/>
      <c r="DJC96" s="350"/>
      <c r="DJD96" s="350"/>
      <c r="DJE96" s="350"/>
      <c r="DJF96" s="350"/>
      <c r="DJG96" s="350"/>
      <c r="DJH96" s="350"/>
      <c r="DJI96" s="350"/>
      <c r="DJJ96" s="350"/>
      <c r="DJK96" s="350"/>
      <c r="DJL96" s="350"/>
      <c r="DJM96" s="350"/>
      <c r="DJN96" s="350"/>
      <c r="DJO96" s="350"/>
      <c r="DJP96" s="350"/>
      <c r="DJQ96" s="350"/>
      <c r="DJR96" s="350"/>
      <c r="DJS96" s="350"/>
      <c r="DJT96" s="350"/>
      <c r="DJU96" s="350"/>
      <c r="DJV96" s="350"/>
      <c r="DJW96" s="350"/>
      <c r="DJX96" s="350"/>
      <c r="DJY96" s="350"/>
      <c r="DJZ96" s="350"/>
      <c r="DKA96" s="350"/>
      <c r="DKB96" s="350"/>
      <c r="DKC96" s="350"/>
      <c r="DKD96" s="350"/>
      <c r="DKE96" s="350"/>
      <c r="DKF96" s="350"/>
      <c r="DKG96" s="350"/>
      <c r="DKH96" s="350"/>
      <c r="DKI96" s="350"/>
      <c r="DKJ96" s="350"/>
      <c r="DKK96" s="350"/>
      <c r="DKL96" s="350"/>
      <c r="DKM96" s="350"/>
      <c r="DKN96" s="350"/>
      <c r="DKO96" s="350"/>
      <c r="DKP96" s="350"/>
      <c r="DKQ96" s="350"/>
      <c r="DKR96" s="350"/>
      <c r="DKS96" s="350"/>
      <c r="DKT96" s="350"/>
      <c r="DKU96" s="350"/>
      <c r="DKV96" s="350"/>
      <c r="DKW96" s="350"/>
      <c r="DKX96" s="350"/>
      <c r="DKY96" s="350"/>
      <c r="DKZ96" s="350"/>
      <c r="DLA96" s="350"/>
      <c r="DLB96" s="350"/>
      <c r="DLC96" s="350"/>
      <c r="DLD96" s="350"/>
      <c r="DLE96" s="350"/>
      <c r="DLF96" s="350"/>
      <c r="DLG96" s="350"/>
      <c r="DLH96" s="350"/>
      <c r="DLI96" s="350"/>
      <c r="DLJ96" s="350"/>
      <c r="DLK96" s="350"/>
      <c r="DLL96" s="350"/>
      <c r="DLM96" s="350"/>
      <c r="DLN96" s="350"/>
      <c r="DLO96" s="350"/>
      <c r="DLP96" s="350"/>
      <c r="DLQ96" s="350"/>
      <c r="DLR96" s="350"/>
      <c r="DLS96" s="350"/>
      <c r="DLT96" s="350"/>
      <c r="DLU96" s="350"/>
      <c r="DLV96" s="350"/>
      <c r="DLW96" s="350"/>
      <c r="DLX96" s="350"/>
      <c r="DLY96" s="350"/>
      <c r="DLZ96" s="350"/>
      <c r="DMA96" s="350"/>
      <c r="DMB96" s="350"/>
      <c r="DMC96" s="350"/>
      <c r="DMD96" s="350"/>
      <c r="DME96" s="350"/>
      <c r="DMF96" s="350"/>
      <c r="DMG96" s="350"/>
      <c r="DMH96" s="350"/>
      <c r="DMI96" s="350"/>
      <c r="DMJ96" s="350"/>
      <c r="DMK96" s="350"/>
      <c r="DML96" s="350"/>
      <c r="DMM96" s="350"/>
      <c r="DMN96" s="350"/>
      <c r="DMO96" s="350"/>
      <c r="DMP96" s="350"/>
      <c r="DMQ96" s="350"/>
      <c r="DMR96" s="350"/>
      <c r="DMS96" s="350"/>
      <c r="DMT96" s="350"/>
      <c r="DMU96" s="350"/>
      <c r="DMV96" s="350"/>
      <c r="DMW96" s="350"/>
      <c r="DMX96" s="350"/>
      <c r="DMY96" s="350"/>
      <c r="DMZ96" s="350"/>
      <c r="DNA96" s="350"/>
      <c r="DNB96" s="350"/>
      <c r="DNC96" s="350"/>
      <c r="DND96" s="350"/>
      <c r="DNE96" s="350"/>
      <c r="DNF96" s="350"/>
      <c r="DNG96" s="350"/>
      <c r="DNH96" s="350"/>
      <c r="DNI96" s="350"/>
      <c r="DNJ96" s="350"/>
      <c r="DNK96" s="350"/>
      <c r="DNL96" s="350"/>
      <c r="DNM96" s="350"/>
      <c r="DNN96" s="350"/>
      <c r="DNO96" s="350"/>
      <c r="DNP96" s="350"/>
      <c r="DNQ96" s="350"/>
      <c r="DNR96" s="350"/>
      <c r="DNS96" s="350"/>
      <c r="DNT96" s="350"/>
      <c r="DNU96" s="350"/>
      <c r="DNV96" s="350"/>
      <c r="DNW96" s="350"/>
      <c r="DNX96" s="350"/>
      <c r="DNY96" s="350"/>
      <c r="DNZ96" s="350"/>
      <c r="DOA96" s="350"/>
      <c r="DOB96" s="350"/>
      <c r="DOC96" s="350"/>
      <c r="DOD96" s="350"/>
      <c r="DOE96" s="350"/>
      <c r="DOF96" s="350"/>
      <c r="DOG96" s="350"/>
      <c r="DOH96" s="350"/>
      <c r="DOI96" s="350"/>
      <c r="DOJ96" s="350"/>
      <c r="DOK96" s="350"/>
      <c r="DOL96" s="350"/>
      <c r="DOM96" s="350"/>
      <c r="DON96" s="350"/>
      <c r="DOO96" s="350"/>
      <c r="DOP96" s="350"/>
      <c r="DOQ96" s="350"/>
      <c r="DOR96" s="350"/>
      <c r="DOS96" s="350"/>
      <c r="DOT96" s="350"/>
      <c r="DOU96" s="350"/>
      <c r="DOV96" s="350"/>
      <c r="DOW96" s="350"/>
      <c r="DOX96" s="350"/>
      <c r="DOY96" s="350"/>
      <c r="DOZ96" s="350"/>
      <c r="DPA96" s="350"/>
      <c r="DPB96" s="350"/>
      <c r="DPC96" s="350"/>
      <c r="DPD96" s="350"/>
      <c r="DPE96" s="350"/>
      <c r="DPF96" s="350"/>
      <c r="DPG96" s="350"/>
      <c r="DPH96" s="350"/>
      <c r="DPI96" s="350"/>
      <c r="DPJ96" s="350"/>
      <c r="DPK96" s="350"/>
      <c r="DPL96" s="350"/>
      <c r="DPM96" s="350"/>
      <c r="DPN96" s="350"/>
      <c r="DPO96" s="350"/>
      <c r="DPP96" s="350"/>
      <c r="DPQ96" s="350"/>
      <c r="DPR96" s="350"/>
      <c r="DPS96" s="350"/>
      <c r="DPT96" s="350"/>
      <c r="DPU96" s="350"/>
      <c r="DPV96" s="350"/>
      <c r="DPW96" s="350"/>
      <c r="DPX96" s="350"/>
      <c r="DPY96" s="350"/>
      <c r="DPZ96" s="350"/>
      <c r="DQA96" s="350"/>
      <c r="DQB96" s="350"/>
      <c r="DQC96" s="350"/>
      <c r="DQD96" s="350"/>
      <c r="DQE96" s="350"/>
      <c r="DQF96" s="350"/>
      <c r="DQG96" s="350"/>
      <c r="DQH96" s="350"/>
      <c r="DQI96" s="350"/>
      <c r="DQJ96" s="350"/>
      <c r="DQK96" s="350"/>
      <c r="DQL96" s="350"/>
      <c r="DQM96" s="350"/>
      <c r="DQN96" s="350"/>
      <c r="DQO96" s="350"/>
      <c r="DQP96" s="350"/>
      <c r="DQQ96" s="350"/>
      <c r="DQR96" s="350"/>
      <c r="DQS96" s="350"/>
      <c r="DQT96" s="350"/>
      <c r="DQU96" s="350"/>
      <c r="DQV96" s="350"/>
      <c r="DQW96" s="350"/>
      <c r="DQX96" s="350"/>
      <c r="DQY96" s="350"/>
      <c r="DQZ96" s="350"/>
      <c r="DRA96" s="350"/>
      <c r="DRB96" s="350"/>
      <c r="DRC96" s="350"/>
      <c r="DRD96" s="350"/>
      <c r="DRE96" s="350"/>
      <c r="DRF96" s="350"/>
      <c r="DRG96" s="350"/>
      <c r="DRH96" s="350"/>
      <c r="DRI96" s="350"/>
      <c r="DRJ96" s="350"/>
      <c r="DRK96" s="350"/>
      <c r="DRL96" s="350"/>
      <c r="DRM96" s="350"/>
      <c r="DRN96" s="350"/>
      <c r="DRO96" s="350"/>
      <c r="DRP96" s="350"/>
      <c r="DRQ96" s="350"/>
      <c r="DRR96" s="350"/>
      <c r="DRS96" s="350"/>
      <c r="DRT96" s="350"/>
      <c r="DRU96" s="350"/>
      <c r="DRV96" s="350"/>
      <c r="DRW96" s="350"/>
      <c r="DRX96" s="350"/>
      <c r="DRY96" s="350"/>
      <c r="DRZ96" s="350"/>
      <c r="DSA96" s="350"/>
      <c r="DSB96" s="350"/>
      <c r="DSC96" s="350"/>
      <c r="DSD96" s="350"/>
      <c r="DSE96" s="350"/>
      <c r="DSF96" s="350"/>
      <c r="DSG96" s="350"/>
      <c r="DSH96" s="350"/>
      <c r="DSI96" s="350"/>
      <c r="DSJ96" s="350"/>
      <c r="DSK96" s="350"/>
      <c r="DSL96" s="350"/>
      <c r="DSM96" s="350"/>
      <c r="DSN96" s="350"/>
      <c r="DSO96" s="350"/>
      <c r="DSP96" s="350"/>
      <c r="DSQ96" s="350"/>
      <c r="DSR96" s="350"/>
      <c r="DSS96" s="350"/>
      <c r="DST96" s="350"/>
      <c r="DSU96" s="350"/>
      <c r="DSV96" s="350"/>
      <c r="DSW96" s="350"/>
      <c r="DSX96" s="350"/>
      <c r="DSY96" s="350"/>
      <c r="DSZ96" s="350"/>
      <c r="DTA96" s="350"/>
      <c r="DTB96" s="350"/>
      <c r="DTC96" s="350"/>
      <c r="DTD96" s="350"/>
      <c r="DTE96" s="350"/>
      <c r="DTF96" s="350"/>
      <c r="DTG96" s="350"/>
      <c r="DTH96" s="350"/>
      <c r="DTI96" s="350"/>
      <c r="DTJ96" s="350"/>
      <c r="DTK96" s="350"/>
      <c r="DTL96" s="350"/>
      <c r="DTM96" s="350"/>
      <c r="DTN96" s="350"/>
      <c r="DTO96" s="350"/>
      <c r="DTP96" s="350"/>
      <c r="DTQ96" s="350"/>
      <c r="DTR96" s="350"/>
      <c r="DTS96" s="350"/>
      <c r="DTT96" s="350"/>
      <c r="DTU96" s="350"/>
      <c r="DTV96" s="350"/>
      <c r="DTW96" s="350"/>
      <c r="DTX96" s="350"/>
      <c r="DTY96" s="350"/>
      <c r="DTZ96" s="350"/>
      <c r="DUA96" s="350"/>
      <c r="DUB96" s="350"/>
      <c r="DUC96" s="350"/>
      <c r="DUD96" s="350"/>
      <c r="DUE96" s="350"/>
      <c r="DUF96" s="350"/>
      <c r="DUG96" s="350"/>
      <c r="DUH96" s="350"/>
      <c r="DUI96" s="350"/>
      <c r="DUJ96" s="350"/>
      <c r="DUK96" s="350"/>
      <c r="DUL96" s="350"/>
      <c r="DUM96" s="350"/>
      <c r="DUN96" s="350"/>
      <c r="DUO96" s="350"/>
      <c r="DUP96" s="350"/>
      <c r="DUQ96" s="350"/>
      <c r="DUR96" s="350"/>
      <c r="DUS96" s="350"/>
      <c r="DUT96" s="350"/>
      <c r="DUU96" s="350"/>
      <c r="DUV96" s="350"/>
      <c r="DUW96" s="350"/>
      <c r="DUX96" s="350"/>
      <c r="DUY96" s="350"/>
      <c r="DUZ96" s="350"/>
      <c r="DVA96" s="350"/>
      <c r="DVB96" s="350"/>
      <c r="DVC96" s="350"/>
      <c r="DVD96" s="350"/>
      <c r="DVE96" s="350"/>
      <c r="DVF96" s="350"/>
      <c r="DVG96" s="350"/>
      <c r="DVH96" s="350"/>
      <c r="DVI96" s="350"/>
      <c r="DVJ96" s="350"/>
      <c r="DVK96" s="350"/>
      <c r="DVL96" s="350"/>
      <c r="DVM96" s="350"/>
      <c r="DVN96" s="350"/>
      <c r="DVO96" s="350"/>
      <c r="DVP96" s="350"/>
      <c r="DVQ96" s="350"/>
      <c r="DVR96" s="350"/>
      <c r="DVS96" s="350"/>
      <c r="DVT96" s="350"/>
      <c r="DVU96" s="350"/>
      <c r="DVV96" s="350"/>
      <c r="DVW96" s="350"/>
      <c r="DVX96" s="350"/>
      <c r="DVY96" s="350"/>
      <c r="DVZ96" s="350"/>
      <c r="DWA96" s="350"/>
      <c r="DWB96" s="350"/>
      <c r="DWC96" s="350"/>
      <c r="DWD96" s="350"/>
      <c r="DWE96" s="350"/>
      <c r="DWF96" s="350"/>
      <c r="DWG96" s="350"/>
      <c r="DWH96" s="350"/>
      <c r="DWI96" s="350"/>
      <c r="DWJ96" s="350"/>
      <c r="DWK96" s="350"/>
      <c r="DWL96" s="350"/>
      <c r="DWM96" s="350"/>
      <c r="DWN96" s="350"/>
      <c r="DWO96" s="350"/>
      <c r="DWP96" s="350"/>
      <c r="DWQ96" s="350"/>
      <c r="DWR96" s="350"/>
      <c r="DWS96" s="350"/>
      <c r="DWT96" s="350"/>
      <c r="DWU96" s="350"/>
      <c r="DWV96" s="350"/>
      <c r="DWW96" s="350"/>
      <c r="DWX96" s="350"/>
      <c r="DWY96" s="350"/>
      <c r="DWZ96" s="350"/>
      <c r="DXA96" s="350"/>
      <c r="DXB96" s="350"/>
      <c r="DXC96" s="350"/>
      <c r="DXD96" s="350"/>
      <c r="DXE96" s="350"/>
      <c r="DXF96" s="350"/>
      <c r="DXG96" s="350"/>
      <c r="DXH96" s="350"/>
      <c r="DXI96" s="350"/>
      <c r="DXJ96" s="350"/>
      <c r="DXK96" s="350"/>
      <c r="DXL96" s="350"/>
      <c r="DXM96" s="350"/>
      <c r="DXN96" s="350"/>
      <c r="DXO96" s="350"/>
      <c r="DXP96" s="350"/>
      <c r="DXQ96" s="350"/>
      <c r="DXR96" s="350"/>
      <c r="DXS96" s="350"/>
      <c r="DXT96" s="350"/>
      <c r="DXU96" s="350"/>
      <c r="DXV96" s="350"/>
      <c r="DXW96" s="350"/>
      <c r="DXX96" s="350"/>
      <c r="DXY96" s="350"/>
      <c r="DXZ96" s="350"/>
      <c r="DYA96" s="350"/>
      <c r="DYB96" s="350"/>
      <c r="DYC96" s="350"/>
      <c r="DYD96" s="350"/>
      <c r="DYE96" s="350"/>
      <c r="DYF96" s="350"/>
      <c r="DYG96" s="350"/>
      <c r="DYH96" s="350"/>
      <c r="DYI96" s="350"/>
      <c r="DYJ96" s="350"/>
      <c r="DYK96" s="350"/>
      <c r="DYL96" s="350"/>
      <c r="DYM96" s="350"/>
      <c r="DYN96" s="350"/>
      <c r="DYO96" s="350"/>
      <c r="DYP96" s="350"/>
      <c r="DYQ96" s="350"/>
      <c r="DYR96" s="350"/>
      <c r="DYS96" s="350"/>
      <c r="DYT96" s="350"/>
      <c r="DYU96" s="350"/>
      <c r="DYV96" s="350"/>
      <c r="DYW96" s="350"/>
      <c r="DYX96" s="350"/>
      <c r="DYY96" s="350"/>
      <c r="DYZ96" s="350"/>
      <c r="DZA96" s="350"/>
      <c r="DZB96" s="350"/>
      <c r="DZC96" s="350"/>
      <c r="DZD96" s="350"/>
      <c r="DZE96" s="350"/>
      <c r="DZF96" s="350"/>
      <c r="DZG96" s="350"/>
      <c r="DZH96" s="350"/>
      <c r="DZI96" s="350"/>
      <c r="DZJ96" s="350"/>
      <c r="DZK96" s="350"/>
      <c r="DZL96" s="350"/>
      <c r="DZM96" s="350"/>
      <c r="DZN96" s="350"/>
      <c r="DZO96" s="350"/>
      <c r="DZP96" s="350"/>
      <c r="DZQ96" s="350"/>
      <c r="DZR96" s="350"/>
      <c r="DZS96" s="350"/>
      <c r="DZT96" s="350"/>
      <c r="DZU96" s="350"/>
      <c r="DZV96" s="350"/>
      <c r="DZW96" s="350"/>
      <c r="DZX96" s="350"/>
      <c r="DZY96" s="350"/>
      <c r="DZZ96" s="350"/>
      <c r="EAA96" s="350"/>
      <c r="EAB96" s="350"/>
      <c r="EAC96" s="350"/>
      <c r="EAD96" s="350"/>
      <c r="EAE96" s="350"/>
      <c r="EAF96" s="350"/>
      <c r="EAG96" s="350"/>
      <c r="EAH96" s="350"/>
      <c r="EAI96" s="350"/>
      <c r="EAJ96" s="350"/>
      <c r="EAK96" s="350"/>
      <c r="EAL96" s="350"/>
      <c r="EAM96" s="350"/>
      <c r="EAN96" s="350"/>
      <c r="EAO96" s="350"/>
      <c r="EAP96" s="350"/>
      <c r="EAQ96" s="350"/>
      <c r="EAR96" s="350"/>
      <c r="EAS96" s="350"/>
      <c r="EAT96" s="350"/>
      <c r="EAU96" s="350"/>
      <c r="EAV96" s="350"/>
      <c r="EAW96" s="350"/>
      <c r="EAX96" s="350"/>
      <c r="EAY96" s="350"/>
      <c r="EAZ96" s="350"/>
      <c r="EBA96" s="350"/>
      <c r="EBB96" s="350"/>
      <c r="EBC96" s="350"/>
      <c r="EBD96" s="350"/>
      <c r="EBE96" s="350"/>
      <c r="EBF96" s="350"/>
      <c r="EBG96" s="350"/>
      <c r="EBH96" s="350"/>
      <c r="EBI96" s="350"/>
      <c r="EBJ96" s="350"/>
      <c r="EBK96" s="350"/>
      <c r="EBL96" s="350"/>
      <c r="EBM96" s="350"/>
      <c r="EBN96" s="350"/>
      <c r="EBO96" s="350"/>
      <c r="EBP96" s="350"/>
      <c r="EBQ96" s="350"/>
      <c r="EBR96" s="350"/>
      <c r="EBS96" s="350"/>
      <c r="EBT96" s="350"/>
      <c r="EBU96" s="350"/>
      <c r="EBV96" s="350"/>
      <c r="EBW96" s="350"/>
      <c r="EBX96" s="350"/>
      <c r="EBY96" s="350"/>
      <c r="EBZ96" s="350"/>
      <c r="ECA96" s="350"/>
      <c r="ECB96" s="350"/>
      <c r="ECC96" s="350"/>
      <c r="ECD96" s="350"/>
      <c r="ECE96" s="350"/>
      <c r="ECF96" s="350"/>
      <c r="ECG96" s="350"/>
      <c r="ECH96" s="350"/>
      <c r="ECI96" s="350"/>
      <c r="ECJ96" s="350"/>
      <c r="ECK96" s="350"/>
      <c r="ECL96" s="350"/>
      <c r="ECM96" s="350"/>
      <c r="ECN96" s="350"/>
      <c r="ECO96" s="350"/>
      <c r="ECP96" s="350"/>
      <c r="ECQ96" s="350"/>
      <c r="ECR96" s="350"/>
      <c r="ECS96" s="350"/>
      <c r="ECT96" s="350"/>
      <c r="ECU96" s="350"/>
      <c r="ECV96" s="350"/>
      <c r="ECW96" s="350"/>
      <c r="ECX96" s="350"/>
      <c r="ECY96" s="350"/>
      <c r="ECZ96" s="350"/>
      <c r="EDA96" s="350"/>
      <c r="EDB96" s="350"/>
      <c r="EDC96" s="350"/>
      <c r="EDD96" s="350"/>
      <c r="EDE96" s="350"/>
      <c r="EDF96" s="350"/>
      <c r="EDG96" s="350"/>
      <c r="EDH96" s="350"/>
      <c r="EDI96" s="350"/>
      <c r="EDJ96" s="350"/>
      <c r="EDK96" s="350"/>
      <c r="EDL96" s="350"/>
      <c r="EDM96" s="350"/>
      <c r="EDN96" s="350"/>
      <c r="EDO96" s="350"/>
      <c r="EDP96" s="350"/>
      <c r="EDQ96" s="350"/>
      <c r="EDR96" s="350"/>
      <c r="EDS96" s="350"/>
      <c r="EDT96" s="350"/>
      <c r="EDU96" s="350"/>
      <c r="EDV96" s="350"/>
      <c r="EDW96" s="350"/>
      <c r="EDX96" s="350"/>
      <c r="EDY96" s="350"/>
      <c r="EDZ96" s="350"/>
      <c r="EEA96" s="350"/>
      <c r="EEB96" s="350"/>
      <c r="EEC96" s="350"/>
      <c r="EED96" s="350"/>
      <c r="EEE96" s="350"/>
      <c r="EEF96" s="350"/>
      <c r="EEG96" s="350"/>
      <c r="EEH96" s="350"/>
      <c r="EEI96" s="350"/>
      <c r="EEJ96" s="350"/>
      <c r="EEK96" s="350"/>
      <c r="EEL96" s="350"/>
      <c r="EEM96" s="350"/>
      <c r="EEN96" s="350"/>
      <c r="EEO96" s="350"/>
      <c r="EEP96" s="350"/>
      <c r="EEQ96" s="350"/>
      <c r="EER96" s="350"/>
      <c r="EES96" s="350"/>
      <c r="EET96" s="350"/>
      <c r="EEU96" s="350"/>
      <c r="EEV96" s="350"/>
      <c r="EEW96" s="350"/>
      <c r="EEX96" s="350"/>
      <c r="EEY96" s="350"/>
      <c r="EEZ96" s="350"/>
      <c r="EFA96" s="350"/>
      <c r="EFB96" s="350"/>
      <c r="EFC96" s="350"/>
      <c r="EFD96" s="350"/>
      <c r="EFE96" s="350"/>
      <c r="EFF96" s="350"/>
      <c r="EFG96" s="350"/>
      <c r="EFH96" s="350"/>
      <c r="EFI96" s="350"/>
      <c r="EFJ96" s="350"/>
      <c r="EFK96" s="350"/>
      <c r="EFL96" s="350"/>
      <c r="EFM96" s="350"/>
      <c r="EFN96" s="350"/>
      <c r="EFO96" s="350"/>
      <c r="EFP96" s="350"/>
      <c r="EFQ96" s="350"/>
      <c r="EFR96" s="350"/>
      <c r="EFS96" s="350"/>
      <c r="EFT96" s="350"/>
      <c r="EFU96" s="350"/>
      <c r="EFV96" s="350"/>
      <c r="EFW96" s="350"/>
      <c r="EFX96" s="350"/>
      <c r="EFY96" s="350"/>
      <c r="EFZ96" s="350"/>
      <c r="EGA96" s="350"/>
      <c r="EGB96" s="350"/>
      <c r="EGC96" s="350"/>
      <c r="EGD96" s="350"/>
      <c r="EGE96" s="350"/>
      <c r="EGF96" s="350"/>
      <c r="EGG96" s="350"/>
      <c r="EGH96" s="350"/>
      <c r="EGI96" s="350"/>
      <c r="EGJ96" s="350"/>
      <c r="EGK96" s="350"/>
      <c r="EGL96" s="350"/>
      <c r="EGM96" s="350"/>
      <c r="EGN96" s="350"/>
      <c r="EGO96" s="350"/>
      <c r="EGP96" s="350"/>
      <c r="EGQ96" s="350"/>
      <c r="EGR96" s="350"/>
      <c r="EGS96" s="350"/>
      <c r="EGT96" s="350"/>
      <c r="EGU96" s="350"/>
      <c r="EGV96" s="350"/>
      <c r="EGW96" s="350"/>
      <c r="EGX96" s="350"/>
      <c r="EGY96" s="350"/>
      <c r="EGZ96" s="350"/>
      <c r="EHA96" s="350"/>
      <c r="EHB96" s="350"/>
      <c r="EHC96" s="350"/>
      <c r="EHD96" s="350"/>
      <c r="EHE96" s="350"/>
      <c r="EHF96" s="350"/>
      <c r="EHG96" s="350"/>
      <c r="EHH96" s="350"/>
      <c r="EHI96" s="350"/>
      <c r="EHJ96" s="350"/>
      <c r="EHK96" s="350"/>
      <c r="EHL96" s="350"/>
      <c r="EHM96" s="350"/>
      <c r="EHN96" s="350"/>
      <c r="EHO96" s="350"/>
      <c r="EHP96" s="350"/>
      <c r="EHQ96" s="350"/>
      <c r="EHR96" s="350"/>
      <c r="EHS96" s="350"/>
      <c r="EHT96" s="350"/>
      <c r="EHU96" s="350"/>
      <c r="EHV96" s="350"/>
      <c r="EHW96" s="350"/>
      <c r="EHX96" s="350"/>
      <c r="EHY96" s="350"/>
      <c r="EHZ96" s="350"/>
      <c r="EIA96" s="350"/>
      <c r="EIB96" s="350"/>
      <c r="EIC96" s="350"/>
      <c r="EID96" s="350"/>
      <c r="EIE96" s="350"/>
      <c r="EIF96" s="350"/>
      <c r="EIG96" s="350"/>
      <c r="EIH96" s="350"/>
      <c r="EII96" s="350"/>
      <c r="EIJ96" s="350"/>
      <c r="EIK96" s="350"/>
      <c r="EIL96" s="350"/>
      <c r="EIM96" s="350"/>
      <c r="EIN96" s="350"/>
      <c r="EIO96" s="350"/>
      <c r="EIP96" s="350"/>
      <c r="EIQ96" s="350"/>
      <c r="EIR96" s="350"/>
      <c r="EIS96" s="350"/>
      <c r="EIT96" s="350"/>
      <c r="EIU96" s="350"/>
      <c r="EIV96" s="350"/>
      <c r="EIW96" s="350"/>
      <c r="EIX96" s="350"/>
      <c r="EIY96" s="350"/>
      <c r="EIZ96" s="350"/>
      <c r="EJA96" s="350"/>
      <c r="EJB96" s="350"/>
      <c r="EJC96" s="350"/>
      <c r="EJD96" s="350"/>
      <c r="EJE96" s="350"/>
      <c r="EJF96" s="350"/>
      <c r="EJG96" s="350"/>
      <c r="EJH96" s="350"/>
      <c r="EJI96" s="350"/>
      <c r="EJJ96" s="350"/>
      <c r="EJK96" s="350"/>
      <c r="EJL96" s="350"/>
      <c r="EJM96" s="350"/>
      <c r="EJN96" s="350"/>
      <c r="EJO96" s="350"/>
      <c r="EJP96" s="350"/>
      <c r="EJQ96" s="350"/>
      <c r="EJR96" s="350"/>
      <c r="EJS96" s="350"/>
      <c r="EJT96" s="350"/>
      <c r="EJU96" s="350"/>
      <c r="EJV96" s="350"/>
      <c r="EJW96" s="350"/>
      <c r="EJX96" s="350"/>
      <c r="EJY96" s="350"/>
      <c r="EJZ96" s="350"/>
      <c r="EKA96" s="350"/>
      <c r="EKB96" s="350"/>
      <c r="EKC96" s="350"/>
      <c r="EKD96" s="350"/>
      <c r="EKE96" s="350"/>
      <c r="EKF96" s="350"/>
      <c r="EKG96" s="350"/>
      <c r="EKH96" s="350"/>
      <c r="EKI96" s="350"/>
      <c r="EKJ96" s="350"/>
      <c r="EKK96" s="350"/>
      <c r="EKL96" s="350"/>
      <c r="EKM96" s="350"/>
      <c r="EKN96" s="350"/>
      <c r="EKO96" s="350"/>
      <c r="EKP96" s="350"/>
      <c r="EKQ96" s="350"/>
      <c r="EKR96" s="350"/>
      <c r="EKS96" s="350"/>
      <c r="EKT96" s="350"/>
      <c r="EKU96" s="350"/>
      <c r="EKV96" s="350"/>
      <c r="EKW96" s="350"/>
      <c r="EKX96" s="350"/>
      <c r="EKY96" s="350"/>
      <c r="EKZ96" s="350"/>
      <c r="ELA96" s="350"/>
      <c r="ELB96" s="350"/>
      <c r="ELC96" s="350"/>
      <c r="ELD96" s="350"/>
      <c r="ELE96" s="350"/>
      <c r="ELF96" s="350"/>
      <c r="ELG96" s="350"/>
      <c r="ELH96" s="350"/>
      <c r="ELI96" s="350"/>
      <c r="ELJ96" s="350"/>
      <c r="ELK96" s="350"/>
      <c r="ELL96" s="350"/>
      <c r="ELM96" s="350"/>
      <c r="ELN96" s="350"/>
      <c r="ELO96" s="350"/>
      <c r="ELP96" s="350"/>
      <c r="ELQ96" s="350"/>
      <c r="ELR96" s="350"/>
      <c r="ELS96" s="350"/>
      <c r="ELT96" s="350"/>
      <c r="ELU96" s="350"/>
      <c r="ELV96" s="350"/>
      <c r="ELW96" s="350"/>
      <c r="ELX96" s="350"/>
      <c r="ELY96" s="350"/>
      <c r="ELZ96" s="350"/>
      <c r="EMA96" s="350"/>
      <c r="EMB96" s="350"/>
      <c r="EMC96" s="350"/>
      <c r="EMD96" s="350"/>
      <c r="EME96" s="350"/>
      <c r="EMF96" s="350"/>
      <c r="EMG96" s="350"/>
      <c r="EMH96" s="350"/>
      <c r="EMI96" s="350"/>
      <c r="EMJ96" s="350"/>
      <c r="EMK96" s="350"/>
      <c r="EML96" s="350"/>
      <c r="EMM96" s="350"/>
      <c r="EMN96" s="350"/>
      <c r="EMO96" s="350"/>
      <c r="EMP96" s="350"/>
      <c r="EMQ96" s="350"/>
      <c r="EMR96" s="350"/>
      <c r="EMS96" s="350"/>
      <c r="EMT96" s="350"/>
      <c r="EMU96" s="350"/>
      <c r="EMV96" s="350"/>
      <c r="EMW96" s="350"/>
      <c r="EMX96" s="350"/>
      <c r="EMY96" s="350"/>
      <c r="EMZ96" s="350"/>
      <c r="ENA96" s="350"/>
      <c r="ENB96" s="350"/>
      <c r="ENC96" s="350"/>
      <c r="END96" s="350"/>
      <c r="ENE96" s="350"/>
      <c r="ENF96" s="350"/>
      <c r="ENG96" s="350"/>
      <c r="ENH96" s="350"/>
      <c r="ENI96" s="350"/>
      <c r="ENJ96" s="350"/>
      <c r="ENK96" s="350"/>
      <c r="ENL96" s="350"/>
      <c r="ENM96" s="350"/>
      <c r="ENN96" s="350"/>
      <c r="ENO96" s="350"/>
      <c r="ENP96" s="350"/>
      <c r="ENQ96" s="350"/>
      <c r="ENR96" s="350"/>
      <c r="ENS96" s="350"/>
      <c r="ENT96" s="350"/>
      <c r="ENU96" s="350"/>
      <c r="ENV96" s="350"/>
      <c r="ENW96" s="350"/>
      <c r="ENX96" s="350"/>
      <c r="ENY96" s="350"/>
      <c r="ENZ96" s="350"/>
      <c r="EOA96" s="350"/>
      <c r="EOB96" s="350"/>
      <c r="EOC96" s="350"/>
      <c r="EOD96" s="350"/>
      <c r="EOE96" s="350"/>
      <c r="EOF96" s="350"/>
      <c r="EOG96" s="350"/>
      <c r="EOH96" s="350"/>
      <c r="EOI96" s="350"/>
      <c r="EOJ96" s="350"/>
      <c r="EOK96" s="350"/>
      <c r="EOL96" s="350"/>
      <c r="EOM96" s="350"/>
      <c r="EON96" s="350"/>
      <c r="EOO96" s="350"/>
      <c r="EOP96" s="350"/>
      <c r="EOQ96" s="350"/>
      <c r="EOR96" s="350"/>
      <c r="EOS96" s="350"/>
      <c r="EOT96" s="350"/>
      <c r="EOU96" s="350"/>
      <c r="EOV96" s="350"/>
      <c r="EOW96" s="350"/>
      <c r="EOX96" s="350"/>
      <c r="EOY96" s="350"/>
      <c r="EOZ96" s="350"/>
      <c r="EPA96" s="350"/>
      <c r="EPB96" s="350"/>
      <c r="EPC96" s="350"/>
      <c r="EPD96" s="350"/>
      <c r="EPE96" s="350"/>
      <c r="EPF96" s="350"/>
      <c r="EPG96" s="350"/>
      <c r="EPH96" s="350"/>
      <c r="EPI96" s="350"/>
      <c r="EPJ96" s="350"/>
      <c r="EPK96" s="350"/>
      <c r="EPL96" s="350"/>
      <c r="EPM96" s="350"/>
      <c r="EPN96" s="350"/>
      <c r="EPO96" s="350"/>
      <c r="EPP96" s="350"/>
      <c r="EPQ96" s="350"/>
      <c r="EPR96" s="350"/>
      <c r="EPS96" s="350"/>
      <c r="EPT96" s="350"/>
      <c r="EPU96" s="350"/>
      <c r="EPV96" s="350"/>
      <c r="EPW96" s="350"/>
      <c r="EPX96" s="350"/>
      <c r="EPY96" s="350"/>
      <c r="EPZ96" s="350"/>
      <c r="EQA96" s="350"/>
      <c r="EQB96" s="350"/>
      <c r="EQC96" s="350"/>
      <c r="EQD96" s="350"/>
      <c r="EQE96" s="350"/>
      <c r="EQF96" s="350"/>
      <c r="EQG96" s="350"/>
      <c r="EQH96" s="350"/>
      <c r="EQI96" s="350"/>
      <c r="EQJ96" s="350"/>
      <c r="EQK96" s="350"/>
      <c r="EQL96" s="350"/>
      <c r="EQM96" s="350"/>
      <c r="EQN96" s="350"/>
      <c r="EQO96" s="350"/>
      <c r="EQP96" s="350"/>
      <c r="EQQ96" s="350"/>
      <c r="EQR96" s="350"/>
      <c r="EQS96" s="350"/>
      <c r="EQT96" s="350"/>
      <c r="EQU96" s="350"/>
      <c r="EQV96" s="350"/>
      <c r="EQW96" s="350"/>
      <c r="EQX96" s="350"/>
      <c r="EQY96" s="350"/>
      <c r="EQZ96" s="350"/>
      <c r="ERA96" s="350"/>
      <c r="ERB96" s="350"/>
      <c r="ERC96" s="350"/>
      <c r="ERD96" s="350"/>
      <c r="ERE96" s="350"/>
      <c r="ERF96" s="350"/>
      <c r="ERG96" s="350"/>
      <c r="ERH96" s="350"/>
      <c r="ERI96" s="350"/>
      <c r="ERJ96" s="350"/>
      <c r="ERK96" s="350"/>
      <c r="ERL96" s="350"/>
      <c r="ERM96" s="350"/>
      <c r="ERN96" s="350"/>
      <c r="ERO96" s="350"/>
      <c r="ERP96" s="350"/>
      <c r="ERQ96" s="350"/>
      <c r="ERR96" s="350"/>
      <c r="ERS96" s="350"/>
      <c r="ERT96" s="350"/>
      <c r="ERU96" s="350"/>
      <c r="ERV96" s="350"/>
      <c r="ERW96" s="350"/>
      <c r="ERX96" s="350"/>
      <c r="ERY96" s="350"/>
      <c r="ERZ96" s="350"/>
      <c r="ESA96" s="350"/>
      <c r="ESB96" s="350"/>
      <c r="ESC96" s="350"/>
      <c r="ESD96" s="350"/>
      <c r="ESE96" s="350"/>
      <c r="ESF96" s="350"/>
      <c r="ESG96" s="350"/>
      <c r="ESH96" s="350"/>
      <c r="ESI96" s="350"/>
      <c r="ESJ96" s="350"/>
      <c r="ESK96" s="350"/>
      <c r="ESL96" s="350"/>
      <c r="ESM96" s="350"/>
      <c r="ESN96" s="350"/>
      <c r="ESO96" s="350"/>
      <c r="ESP96" s="350"/>
      <c r="ESQ96" s="350"/>
      <c r="ESR96" s="350"/>
      <c r="ESS96" s="350"/>
      <c r="EST96" s="350"/>
      <c r="ESU96" s="350"/>
      <c r="ESV96" s="350"/>
      <c r="ESW96" s="350"/>
      <c r="ESX96" s="350"/>
      <c r="ESY96" s="350"/>
      <c r="ESZ96" s="350"/>
      <c r="ETA96" s="350"/>
      <c r="ETB96" s="350"/>
      <c r="ETC96" s="350"/>
      <c r="ETD96" s="350"/>
      <c r="ETE96" s="350"/>
      <c r="ETF96" s="350"/>
      <c r="ETG96" s="350"/>
      <c r="ETH96" s="350"/>
      <c r="ETI96" s="350"/>
      <c r="ETJ96" s="350"/>
      <c r="ETK96" s="350"/>
      <c r="ETL96" s="350"/>
      <c r="ETM96" s="350"/>
      <c r="ETN96" s="350"/>
      <c r="ETO96" s="350"/>
      <c r="ETP96" s="350"/>
      <c r="ETQ96" s="350"/>
      <c r="ETR96" s="350"/>
      <c r="ETS96" s="350"/>
      <c r="ETT96" s="350"/>
      <c r="ETU96" s="350"/>
      <c r="ETV96" s="350"/>
      <c r="ETW96" s="350"/>
      <c r="ETX96" s="350"/>
      <c r="ETY96" s="350"/>
      <c r="ETZ96" s="350"/>
      <c r="EUA96" s="350"/>
      <c r="EUB96" s="350"/>
      <c r="EUC96" s="350"/>
      <c r="EUD96" s="350"/>
      <c r="EUE96" s="350"/>
      <c r="EUF96" s="350"/>
      <c r="EUG96" s="350"/>
      <c r="EUH96" s="350"/>
      <c r="EUI96" s="350"/>
      <c r="EUJ96" s="350"/>
      <c r="EUK96" s="350"/>
      <c r="EUL96" s="350"/>
      <c r="EUM96" s="350"/>
      <c r="EUN96" s="350"/>
      <c r="EUO96" s="350"/>
      <c r="EUP96" s="350"/>
      <c r="EUQ96" s="350"/>
      <c r="EUR96" s="350"/>
      <c r="EUS96" s="350"/>
      <c r="EUT96" s="350"/>
      <c r="EUU96" s="350"/>
      <c r="EUV96" s="350"/>
      <c r="EUW96" s="350"/>
      <c r="EUX96" s="350"/>
      <c r="EUY96" s="350"/>
      <c r="EUZ96" s="350"/>
      <c r="EVA96" s="350"/>
      <c r="EVB96" s="350"/>
      <c r="EVC96" s="350"/>
      <c r="EVD96" s="350"/>
      <c r="EVE96" s="350"/>
      <c r="EVF96" s="350"/>
      <c r="EVG96" s="350"/>
      <c r="EVH96" s="350"/>
      <c r="EVI96" s="350"/>
      <c r="EVJ96" s="350"/>
      <c r="EVK96" s="350"/>
      <c r="EVL96" s="350"/>
      <c r="EVM96" s="350"/>
      <c r="EVN96" s="350"/>
      <c r="EVO96" s="350"/>
      <c r="EVP96" s="350"/>
      <c r="EVQ96" s="350"/>
      <c r="EVR96" s="350"/>
      <c r="EVS96" s="350"/>
      <c r="EVT96" s="350"/>
      <c r="EVU96" s="350"/>
      <c r="EVV96" s="350"/>
      <c r="EVW96" s="350"/>
      <c r="EVX96" s="350"/>
      <c r="EVY96" s="350"/>
      <c r="EVZ96" s="350"/>
      <c r="EWA96" s="350"/>
      <c r="EWB96" s="350"/>
      <c r="EWC96" s="350"/>
      <c r="EWD96" s="350"/>
      <c r="EWE96" s="350"/>
      <c r="EWF96" s="350"/>
      <c r="EWG96" s="350"/>
      <c r="EWH96" s="350"/>
      <c r="EWI96" s="350"/>
      <c r="EWJ96" s="350"/>
      <c r="EWK96" s="350"/>
      <c r="EWL96" s="350"/>
      <c r="EWM96" s="350"/>
      <c r="EWN96" s="350"/>
      <c r="EWO96" s="350"/>
      <c r="EWP96" s="350"/>
      <c r="EWQ96" s="350"/>
      <c r="EWR96" s="350"/>
      <c r="EWS96" s="350"/>
      <c r="EWT96" s="350"/>
      <c r="EWU96" s="350"/>
      <c r="EWV96" s="350"/>
      <c r="EWW96" s="350"/>
      <c r="EWX96" s="350"/>
      <c r="EWY96" s="350"/>
      <c r="EWZ96" s="350"/>
      <c r="EXA96" s="350"/>
      <c r="EXB96" s="350"/>
      <c r="EXC96" s="350"/>
      <c r="EXD96" s="350"/>
      <c r="EXE96" s="350"/>
      <c r="EXF96" s="350"/>
      <c r="EXG96" s="350"/>
      <c r="EXH96" s="350"/>
      <c r="EXI96" s="350"/>
      <c r="EXJ96" s="350"/>
      <c r="EXK96" s="350"/>
      <c r="EXL96" s="350"/>
      <c r="EXM96" s="350"/>
      <c r="EXN96" s="350"/>
      <c r="EXO96" s="350"/>
      <c r="EXP96" s="350"/>
      <c r="EXQ96" s="350"/>
      <c r="EXR96" s="350"/>
      <c r="EXS96" s="350"/>
      <c r="EXT96" s="350"/>
      <c r="EXU96" s="350"/>
      <c r="EXV96" s="350"/>
      <c r="EXW96" s="350"/>
      <c r="EXX96" s="350"/>
      <c r="EXY96" s="350"/>
      <c r="EXZ96" s="350"/>
      <c r="EYA96" s="350"/>
      <c r="EYB96" s="350"/>
      <c r="EYC96" s="350"/>
      <c r="EYD96" s="350"/>
      <c r="EYE96" s="350"/>
      <c r="EYF96" s="350"/>
      <c r="EYG96" s="350"/>
      <c r="EYH96" s="350"/>
      <c r="EYI96" s="350"/>
      <c r="EYJ96" s="350"/>
      <c r="EYK96" s="350"/>
      <c r="EYL96" s="350"/>
      <c r="EYM96" s="350"/>
      <c r="EYN96" s="350"/>
      <c r="EYO96" s="350"/>
      <c r="EYP96" s="350"/>
      <c r="EYQ96" s="350"/>
      <c r="EYR96" s="350"/>
      <c r="EYS96" s="350"/>
      <c r="EYT96" s="350"/>
      <c r="EYU96" s="350"/>
      <c r="EYV96" s="350"/>
      <c r="EYW96" s="350"/>
      <c r="EYX96" s="350"/>
      <c r="EYY96" s="350"/>
      <c r="EYZ96" s="350"/>
      <c r="EZA96" s="350"/>
      <c r="EZB96" s="350"/>
      <c r="EZC96" s="350"/>
      <c r="EZD96" s="350"/>
      <c r="EZE96" s="350"/>
      <c r="EZF96" s="350"/>
      <c r="EZG96" s="350"/>
      <c r="EZH96" s="350"/>
      <c r="EZI96" s="350"/>
      <c r="EZJ96" s="350"/>
      <c r="EZK96" s="350"/>
      <c r="EZL96" s="350"/>
      <c r="EZM96" s="350"/>
      <c r="EZN96" s="350"/>
      <c r="EZO96" s="350"/>
      <c r="EZP96" s="350"/>
      <c r="EZQ96" s="350"/>
      <c r="EZR96" s="350"/>
      <c r="EZS96" s="350"/>
      <c r="EZT96" s="350"/>
      <c r="EZU96" s="350"/>
      <c r="EZV96" s="350"/>
      <c r="EZW96" s="350"/>
      <c r="EZX96" s="350"/>
      <c r="EZY96" s="350"/>
      <c r="EZZ96" s="350"/>
      <c r="FAA96" s="350"/>
      <c r="FAB96" s="350"/>
      <c r="FAC96" s="350"/>
      <c r="FAD96" s="350"/>
      <c r="FAE96" s="350"/>
      <c r="FAF96" s="350"/>
      <c r="FAG96" s="350"/>
      <c r="FAH96" s="350"/>
      <c r="FAI96" s="350"/>
      <c r="FAJ96" s="350"/>
      <c r="FAK96" s="350"/>
      <c r="FAL96" s="350"/>
      <c r="FAM96" s="350"/>
      <c r="FAN96" s="350"/>
      <c r="FAO96" s="350"/>
      <c r="FAP96" s="350"/>
      <c r="FAQ96" s="350"/>
      <c r="FAR96" s="350"/>
      <c r="FAS96" s="350"/>
      <c r="FAT96" s="350"/>
      <c r="FAU96" s="350"/>
      <c r="FAV96" s="350"/>
      <c r="FAW96" s="350"/>
      <c r="FAX96" s="350"/>
      <c r="FAY96" s="350"/>
      <c r="FAZ96" s="350"/>
      <c r="FBA96" s="350"/>
      <c r="FBB96" s="350"/>
      <c r="FBC96" s="350"/>
      <c r="FBD96" s="350"/>
      <c r="FBE96" s="350"/>
      <c r="FBF96" s="350"/>
      <c r="FBG96" s="350"/>
      <c r="FBH96" s="350"/>
      <c r="FBI96" s="350"/>
      <c r="FBJ96" s="350"/>
      <c r="FBK96" s="350"/>
      <c r="FBL96" s="350"/>
      <c r="FBM96" s="350"/>
      <c r="FBN96" s="350"/>
      <c r="FBO96" s="350"/>
      <c r="FBP96" s="350"/>
      <c r="FBQ96" s="350"/>
      <c r="FBR96" s="350"/>
      <c r="FBS96" s="350"/>
      <c r="FBT96" s="350"/>
      <c r="FBU96" s="350"/>
      <c r="FBV96" s="350"/>
      <c r="FBW96" s="350"/>
      <c r="FBX96" s="350"/>
      <c r="FBY96" s="350"/>
      <c r="FBZ96" s="350"/>
      <c r="FCA96" s="350"/>
      <c r="FCB96" s="350"/>
      <c r="FCC96" s="350"/>
      <c r="FCD96" s="350"/>
      <c r="FCE96" s="350"/>
      <c r="FCF96" s="350"/>
      <c r="FCG96" s="350"/>
      <c r="FCH96" s="350"/>
      <c r="FCI96" s="350"/>
      <c r="FCJ96" s="350"/>
      <c r="FCK96" s="350"/>
      <c r="FCL96" s="350"/>
      <c r="FCM96" s="350"/>
      <c r="FCN96" s="350"/>
      <c r="FCO96" s="350"/>
      <c r="FCP96" s="350"/>
      <c r="FCQ96" s="350"/>
      <c r="FCR96" s="350"/>
      <c r="FCS96" s="350"/>
      <c r="FCT96" s="350"/>
      <c r="FCU96" s="350"/>
      <c r="FCV96" s="350"/>
      <c r="FCW96" s="350"/>
      <c r="FCX96" s="350"/>
      <c r="FCY96" s="350"/>
      <c r="FCZ96" s="350"/>
      <c r="FDA96" s="350"/>
      <c r="FDB96" s="350"/>
      <c r="FDC96" s="350"/>
      <c r="FDD96" s="350"/>
      <c r="FDE96" s="350"/>
      <c r="FDF96" s="350"/>
      <c r="FDG96" s="350"/>
      <c r="FDH96" s="350"/>
      <c r="FDI96" s="350"/>
      <c r="FDJ96" s="350"/>
      <c r="FDK96" s="350"/>
      <c r="FDL96" s="350"/>
      <c r="FDM96" s="350"/>
      <c r="FDN96" s="350"/>
      <c r="FDO96" s="350"/>
      <c r="FDP96" s="350"/>
      <c r="FDQ96" s="350"/>
      <c r="FDR96" s="350"/>
      <c r="FDS96" s="350"/>
      <c r="FDT96" s="350"/>
      <c r="FDU96" s="350"/>
      <c r="FDV96" s="350"/>
      <c r="FDW96" s="350"/>
      <c r="FDX96" s="350"/>
      <c r="FDY96" s="350"/>
      <c r="FDZ96" s="350"/>
      <c r="FEA96" s="350"/>
      <c r="FEB96" s="350"/>
      <c r="FEC96" s="350"/>
      <c r="FED96" s="350"/>
      <c r="FEE96" s="350"/>
      <c r="FEF96" s="350"/>
      <c r="FEG96" s="350"/>
      <c r="FEH96" s="350"/>
      <c r="FEI96" s="350"/>
      <c r="FEJ96" s="350"/>
      <c r="FEK96" s="350"/>
      <c r="FEL96" s="350"/>
      <c r="FEM96" s="350"/>
      <c r="FEN96" s="350"/>
      <c r="FEO96" s="350"/>
      <c r="FEP96" s="350"/>
      <c r="FEQ96" s="350"/>
      <c r="FER96" s="350"/>
      <c r="FES96" s="350"/>
      <c r="FET96" s="350"/>
      <c r="FEU96" s="350"/>
      <c r="FEV96" s="350"/>
      <c r="FEW96" s="350"/>
      <c r="FEX96" s="350"/>
      <c r="FEY96" s="350"/>
      <c r="FEZ96" s="350"/>
      <c r="FFA96" s="350"/>
      <c r="FFB96" s="350"/>
      <c r="FFC96" s="350"/>
      <c r="FFD96" s="350"/>
      <c r="FFE96" s="350"/>
      <c r="FFF96" s="350"/>
      <c r="FFG96" s="350"/>
      <c r="FFH96" s="350"/>
      <c r="FFI96" s="350"/>
      <c r="FFJ96" s="350"/>
      <c r="FFK96" s="350"/>
      <c r="FFL96" s="350"/>
      <c r="FFM96" s="350"/>
      <c r="FFN96" s="350"/>
      <c r="FFO96" s="350"/>
      <c r="FFP96" s="350"/>
      <c r="FFQ96" s="350"/>
      <c r="FFR96" s="350"/>
      <c r="FFS96" s="350"/>
      <c r="FFT96" s="350"/>
      <c r="FFU96" s="350"/>
      <c r="FFV96" s="350"/>
      <c r="FFW96" s="350"/>
      <c r="FFX96" s="350"/>
      <c r="FFY96" s="350"/>
      <c r="FFZ96" s="350"/>
      <c r="FGA96" s="350"/>
      <c r="FGB96" s="350"/>
      <c r="FGC96" s="350"/>
      <c r="FGD96" s="350"/>
      <c r="FGE96" s="350"/>
      <c r="FGF96" s="350"/>
      <c r="FGG96" s="350"/>
      <c r="FGH96" s="350"/>
      <c r="FGI96" s="350"/>
      <c r="FGJ96" s="350"/>
      <c r="FGK96" s="350"/>
      <c r="FGL96" s="350"/>
      <c r="FGM96" s="350"/>
      <c r="FGN96" s="350"/>
      <c r="FGO96" s="350"/>
      <c r="FGP96" s="350"/>
      <c r="FGQ96" s="350"/>
      <c r="FGR96" s="350"/>
      <c r="FGS96" s="350"/>
      <c r="FGT96" s="350"/>
      <c r="FGU96" s="350"/>
      <c r="FGV96" s="350"/>
      <c r="FGW96" s="350"/>
      <c r="FGX96" s="350"/>
      <c r="FGY96" s="350"/>
      <c r="FGZ96" s="350"/>
      <c r="FHA96" s="350"/>
      <c r="FHB96" s="350"/>
      <c r="FHC96" s="350"/>
      <c r="FHD96" s="350"/>
      <c r="FHE96" s="350"/>
      <c r="FHF96" s="350"/>
      <c r="FHG96" s="350"/>
      <c r="FHH96" s="350"/>
      <c r="FHI96" s="350"/>
      <c r="FHJ96" s="350"/>
      <c r="FHK96" s="350"/>
      <c r="FHL96" s="350"/>
      <c r="FHM96" s="350"/>
      <c r="FHN96" s="350"/>
      <c r="FHO96" s="350"/>
      <c r="FHP96" s="350"/>
      <c r="FHQ96" s="350"/>
      <c r="FHR96" s="350"/>
      <c r="FHS96" s="350"/>
      <c r="FHT96" s="350"/>
      <c r="FHU96" s="350"/>
      <c r="FHV96" s="350"/>
      <c r="FHW96" s="350"/>
      <c r="FHX96" s="350"/>
      <c r="FHY96" s="350"/>
      <c r="FHZ96" s="350"/>
      <c r="FIA96" s="350"/>
      <c r="FIB96" s="350"/>
      <c r="FIC96" s="350"/>
      <c r="FID96" s="350"/>
      <c r="FIE96" s="350"/>
      <c r="FIF96" s="350"/>
      <c r="FIG96" s="350"/>
      <c r="FIH96" s="350"/>
      <c r="FII96" s="350"/>
      <c r="FIJ96" s="350"/>
      <c r="FIK96" s="350"/>
      <c r="FIL96" s="350"/>
      <c r="FIM96" s="350"/>
      <c r="FIN96" s="350"/>
      <c r="FIO96" s="350"/>
      <c r="FIP96" s="350"/>
      <c r="FIQ96" s="350"/>
      <c r="FIR96" s="350"/>
      <c r="FIS96" s="350"/>
      <c r="FIT96" s="350"/>
      <c r="FIU96" s="350"/>
      <c r="FIV96" s="350"/>
      <c r="FIW96" s="350"/>
      <c r="FIX96" s="350"/>
      <c r="FIY96" s="350"/>
      <c r="FIZ96" s="350"/>
      <c r="FJA96" s="350"/>
      <c r="FJB96" s="350"/>
      <c r="FJC96" s="350"/>
      <c r="FJD96" s="350"/>
      <c r="FJE96" s="350"/>
      <c r="FJF96" s="350"/>
      <c r="FJG96" s="350"/>
      <c r="FJH96" s="350"/>
      <c r="FJI96" s="350"/>
      <c r="FJJ96" s="350"/>
      <c r="FJK96" s="350"/>
      <c r="FJL96" s="350"/>
      <c r="FJM96" s="350"/>
      <c r="FJN96" s="350"/>
      <c r="FJO96" s="350"/>
      <c r="FJP96" s="350"/>
      <c r="FJQ96" s="350"/>
      <c r="FJR96" s="350"/>
      <c r="FJS96" s="350"/>
      <c r="FJT96" s="350"/>
      <c r="FJU96" s="350"/>
      <c r="FJV96" s="350"/>
      <c r="FJW96" s="350"/>
      <c r="FJX96" s="350"/>
      <c r="FJY96" s="350"/>
      <c r="FJZ96" s="350"/>
      <c r="FKA96" s="350"/>
      <c r="FKB96" s="350"/>
      <c r="FKC96" s="350"/>
      <c r="FKD96" s="350"/>
      <c r="FKE96" s="350"/>
      <c r="FKF96" s="350"/>
      <c r="FKG96" s="350"/>
      <c r="FKH96" s="350"/>
      <c r="FKI96" s="350"/>
      <c r="FKJ96" s="350"/>
      <c r="FKK96" s="350"/>
      <c r="FKL96" s="350"/>
      <c r="FKM96" s="350"/>
      <c r="FKN96" s="350"/>
      <c r="FKO96" s="350"/>
      <c r="FKP96" s="350"/>
      <c r="FKQ96" s="350"/>
      <c r="FKR96" s="350"/>
      <c r="FKS96" s="350"/>
      <c r="FKT96" s="350"/>
      <c r="FKU96" s="350"/>
      <c r="FKV96" s="350"/>
      <c r="FKW96" s="350"/>
      <c r="FKX96" s="350"/>
      <c r="FKY96" s="350"/>
      <c r="FKZ96" s="350"/>
      <c r="FLA96" s="350"/>
      <c r="FLB96" s="350"/>
      <c r="FLC96" s="350"/>
      <c r="FLD96" s="350"/>
      <c r="FLE96" s="350"/>
      <c r="FLF96" s="350"/>
      <c r="FLG96" s="350"/>
      <c r="FLH96" s="350"/>
      <c r="FLI96" s="350"/>
      <c r="FLJ96" s="350"/>
      <c r="FLK96" s="350"/>
      <c r="FLL96" s="350"/>
      <c r="FLM96" s="350"/>
      <c r="FLN96" s="350"/>
      <c r="FLO96" s="350"/>
      <c r="FLP96" s="350"/>
      <c r="FLQ96" s="350"/>
      <c r="FLR96" s="350"/>
      <c r="FLS96" s="350"/>
      <c r="FLT96" s="350"/>
      <c r="FLU96" s="350"/>
      <c r="FLV96" s="350"/>
      <c r="FLW96" s="350"/>
      <c r="FLX96" s="350"/>
      <c r="FLY96" s="350"/>
      <c r="FLZ96" s="350"/>
      <c r="FMA96" s="350"/>
      <c r="FMB96" s="350"/>
      <c r="FMC96" s="350"/>
      <c r="FMD96" s="350"/>
      <c r="FME96" s="350"/>
      <c r="FMF96" s="350"/>
      <c r="FMG96" s="350"/>
      <c r="FMH96" s="350"/>
      <c r="FMI96" s="350"/>
      <c r="FMJ96" s="350"/>
      <c r="FMK96" s="350"/>
      <c r="FML96" s="350"/>
      <c r="FMM96" s="350"/>
      <c r="FMN96" s="350"/>
      <c r="FMO96" s="350"/>
      <c r="FMP96" s="350"/>
      <c r="FMQ96" s="350"/>
      <c r="FMR96" s="350"/>
      <c r="FMS96" s="350"/>
      <c r="FMT96" s="350"/>
      <c r="FMU96" s="350"/>
      <c r="FMV96" s="350"/>
      <c r="FMW96" s="350"/>
      <c r="FMX96" s="350"/>
      <c r="FMY96" s="350"/>
      <c r="FMZ96" s="350"/>
      <c r="FNA96" s="350"/>
      <c r="FNB96" s="350"/>
      <c r="FNC96" s="350"/>
      <c r="FND96" s="350"/>
      <c r="FNE96" s="350"/>
      <c r="FNF96" s="350"/>
      <c r="FNG96" s="350"/>
      <c r="FNH96" s="350"/>
      <c r="FNI96" s="350"/>
      <c r="FNJ96" s="350"/>
      <c r="FNK96" s="350"/>
      <c r="FNL96" s="350"/>
      <c r="FNM96" s="350"/>
      <c r="FNN96" s="350"/>
      <c r="FNO96" s="350"/>
      <c r="FNP96" s="350"/>
      <c r="FNQ96" s="350"/>
      <c r="FNR96" s="350"/>
      <c r="FNS96" s="350"/>
      <c r="FNT96" s="350"/>
      <c r="FNU96" s="350"/>
      <c r="FNV96" s="350"/>
      <c r="FNW96" s="350"/>
      <c r="FNX96" s="350"/>
      <c r="FNY96" s="350"/>
      <c r="FNZ96" s="350"/>
      <c r="FOA96" s="350"/>
      <c r="FOB96" s="350"/>
      <c r="FOC96" s="350"/>
      <c r="FOD96" s="350"/>
      <c r="FOE96" s="350"/>
      <c r="FOF96" s="350"/>
      <c r="FOG96" s="350"/>
      <c r="FOH96" s="350"/>
      <c r="FOI96" s="350"/>
      <c r="FOJ96" s="350"/>
      <c r="FOK96" s="350"/>
      <c r="FOL96" s="350"/>
      <c r="FOM96" s="350"/>
      <c r="FON96" s="350"/>
      <c r="FOO96" s="350"/>
      <c r="FOP96" s="350"/>
      <c r="FOQ96" s="350"/>
      <c r="FOR96" s="350"/>
      <c r="FOS96" s="350"/>
      <c r="FOT96" s="350"/>
      <c r="FOU96" s="350"/>
      <c r="FOV96" s="350"/>
      <c r="FOW96" s="350"/>
      <c r="FOX96" s="350"/>
      <c r="FOY96" s="350"/>
      <c r="FOZ96" s="350"/>
      <c r="FPA96" s="350"/>
      <c r="FPB96" s="350"/>
      <c r="FPC96" s="350"/>
      <c r="FPD96" s="350"/>
      <c r="FPE96" s="350"/>
      <c r="FPF96" s="350"/>
      <c r="FPG96" s="350"/>
      <c r="FPH96" s="350"/>
      <c r="FPI96" s="350"/>
      <c r="FPJ96" s="350"/>
      <c r="FPK96" s="350"/>
      <c r="FPL96" s="350"/>
      <c r="FPM96" s="350"/>
      <c r="FPN96" s="350"/>
      <c r="FPO96" s="350"/>
      <c r="FPP96" s="350"/>
      <c r="FPQ96" s="350"/>
      <c r="FPR96" s="350"/>
      <c r="FPS96" s="350"/>
      <c r="FPT96" s="350"/>
      <c r="FPU96" s="350"/>
      <c r="FPV96" s="350"/>
      <c r="FPW96" s="350"/>
      <c r="FPX96" s="350"/>
      <c r="FPY96" s="350"/>
      <c r="FPZ96" s="350"/>
      <c r="FQA96" s="350"/>
      <c r="FQB96" s="350"/>
      <c r="FQC96" s="350"/>
      <c r="FQD96" s="350"/>
      <c r="FQE96" s="350"/>
      <c r="FQF96" s="350"/>
      <c r="FQG96" s="350"/>
      <c r="FQH96" s="350"/>
      <c r="FQI96" s="350"/>
      <c r="FQJ96" s="350"/>
      <c r="FQK96" s="350"/>
      <c r="FQL96" s="350"/>
      <c r="FQM96" s="350"/>
      <c r="FQN96" s="350"/>
      <c r="FQO96" s="350"/>
      <c r="FQP96" s="350"/>
      <c r="FQQ96" s="350"/>
      <c r="FQR96" s="350"/>
      <c r="FQS96" s="350"/>
      <c r="FQT96" s="350"/>
      <c r="FQU96" s="350"/>
      <c r="FQV96" s="350"/>
      <c r="FQW96" s="350"/>
      <c r="FQX96" s="350"/>
      <c r="FQY96" s="350"/>
      <c r="FQZ96" s="350"/>
      <c r="FRA96" s="350"/>
      <c r="FRB96" s="350"/>
      <c r="FRC96" s="350"/>
      <c r="FRD96" s="350"/>
      <c r="FRE96" s="350"/>
      <c r="FRF96" s="350"/>
      <c r="FRG96" s="350"/>
      <c r="FRH96" s="350"/>
      <c r="FRI96" s="350"/>
      <c r="FRJ96" s="350"/>
      <c r="FRK96" s="350"/>
      <c r="FRL96" s="350"/>
      <c r="FRM96" s="350"/>
      <c r="FRN96" s="350"/>
      <c r="FRO96" s="350"/>
      <c r="FRP96" s="350"/>
      <c r="FRQ96" s="350"/>
      <c r="FRR96" s="350"/>
      <c r="FRS96" s="350"/>
      <c r="FRT96" s="350"/>
      <c r="FRU96" s="350"/>
      <c r="FRV96" s="350"/>
      <c r="FRW96" s="350"/>
      <c r="FRX96" s="350"/>
      <c r="FRY96" s="350"/>
      <c r="FRZ96" s="350"/>
      <c r="FSA96" s="350"/>
      <c r="FSB96" s="350"/>
      <c r="FSC96" s="350"/>
      <c r="FSD96" s="350"/>
      <c r="FSE96" s="350"/>
      <c r="FSF96" s="350"/>
      <c r="FSG96" s="350"/>
      <c r="FSH96" s="350"/>
      <c r="FSI96" s="350"/>
      <c r="FSJ96" s="350"/>
      <c r="FSK96" s="350"/>
      <c r="FSL96" s="350"/>
      <c r="FSM96" s="350"/>
      <c r="FSN96" s="350"/>
      <c r="FSO96" s="350"/>
      <c r="FSP96" s="350"/>
      <c r="FSQ96" s="350"/>
      <c r="FSR96" s="350"/>
      <c r="FSS96" s="350"/>
      <c r="FST96" s="350"/>
      <c r="FSU96" s="350"/>
      <c r="FSV96" s="350"/>
      <c r="FSW96" s="350"/>
      <c r="FSX96" s="350"/>
      <c r="FSY96" s="350"/>
      <c r="FSZ96" s="350"/>
      <c r="FTA96" s="350"/>
      <c r="FTB96" s="350"/>
      <c r="FTC96" s="350"/>
      <c r="FTD96" s="350"/>
      <c r="FTE96" s="350"/>
      <c r="FTF96" s="350"/>
      <c r="FTG96" s="350"/>
      <c r="FTH96" s="350"/>
      <c r="FTI96" s="350"/>
      <c r="FTJ96" s="350"/>
      <c r="FTK96" s="350"/>
      <c r="FTL96" s="350"/>
      <c r="FTM96" s="350"/>
      <c r="FTN96" s="350"/>
      <c r="FTO96" s="350"/>
      <c r="FTP96" s="350"/>
      <c r="FTQ96" s="350"/>
      <c r="FTR96" s="350"/>
      <c r="FTS96" s="350"/>
      <c r="FTT96" s="350"/>
      <c r="FTU96" s="350"/>
      <c r="FTV96" s="350"/>
      <c r="FTW96" s="350"/>
      <c r="FTX96" s="350"/>
      <c r="FTY96" s="350"/>
      <c r="FTZ96" s="350"/>
      <c r="FUA96" s="350"/>
      <c r="FUB96" s="350"/>
      <c r="FUC96" s="350"/>
      <c r="FUD96" s="350"/>
      <c r="FUE96" s="350"/>
      <c r="FUF96" s="350"/>
      <c r="FUG96" s="350"/>
      <c r="FUH96" s="350"/>
      <c r="FUI96" s="350"/>
      <c r="FUJ96" s="350"/>
      <c r="FUK96" s="350"/>
      <c r="FUL96" s="350"/>
      <c r="FUM96" s="350"/>
      <c r="FUN96" s="350"/>
      <c r="FUO96" s="350"/>
      <c r="FUP96" s="350"/>
      <c r="FUQ96" s="350"/>
      <c r="FUR96" s="350"/>
      <c r="FUS96" s="350"/>
      <c r="FUT96" s="350"/>
      <c r="FUU96" s="350"/>
      <c r="FUV96" s="350"/>
      <c r="FUW96" s="350"/>
      <c r="FUX96" s="350"/>
      <c r="FUY96" s="350"/>
      <c r="FUZ96" s="350"/>
      <c r="FVA96" s="350"/>
      <c r="FVB96" s="350"/>
      <c r="FVC96" s="350"/>
      <c r="FVD96" s="350"/>
      <c r="FVE96" s="350"/>
      <c r="FVF96" s="350"/>
      <c r="FVG96" s="350"/>
      <c r="FVH96" s="350"/>
      <c r="FVI96" s="350"/>
      <c r="FVJ96" s="350"/>
      <c r="FVK96" s="350"/>
      <c r="FVL96" s="350"/>
      <c r="FVM96" s="350"/>
      <c r="FVN96" s="350"/>
      <c r="FVO96" s="350"/>
      <c r="FVP96" s="350"/>
      <c r="FVQ96" s="350"/>
      <c r="FVR96" s="350"/>
      <c r="FVS96" s="350"/>
      <c r="FVT96" s="350"/>
      <c r="FVU96" s="350"/>
      <c r="FVV96" s="350"/>
      <c r="FVW96" s="350"/>
      <c r="FVX96" s="350"/>
      <c r="FVY96" s="350"/>
      <c r="FVZ96" s="350"/>
      <c r="FWA96" s="350"/>
      <c r="FWB96" s="350"/>
      <c r="FWC96" s="350"/>
      <c r="FWD96" s="350"/>
      <c r="FWE96" s="350"/>
      <c r="FWF96" s="350"/>
      <c r="FWG96" s="350"/>
      <c r="FWH96" s="350"/>
      <c r="FWI96" s="350"/>
      <c r="FWJ96" s="350"/>
      <c r="FWK96" s="350"/>
      <c r="FWL96" s="350"/>
      <c r="FWM96" s="350"/>
      <c r="FWN96" s="350"/>
      <c r="FWO96" s="350"/>
      <c r="FWP96" s="350"/>
      <c r="FWQ96" s="350"/>
      <c r="FWR96" s="350"/>
      <c r="FWS96" s="350"/>
      <c r="FWT96" s="350"/>
      <c r="FWU96" s="350"/>
      <c r="FWV96" s="350"/>
      <c r="FWW96" s="350"/>
      <c r="FWX96" s="350"/>
      <c r="FWY96" s="350"/>
      <c r="FWZ96" s="350"/>
      <c r="FXA96" s="350"/>
      <c r="FXB96" s="350"/>
      <c r="FXC96" s="350"/>
      <c r="FXD96" s="350"/>
      <c r="FXE96" s="350"/>
      <c r="FXF96" s="350"/>
      <c r="FXG96" s="350"/>
      <c r="FXH96" s="350"/>
      <c r="FXI96" s="350"/>
      <c r="FXJ96" s="350"/>
      <c r="FXK96" s="350"/>
      <c r="FXL96" s="350"/>
      <c r="FXM96" s="350"/>
      <c r="FXN96" s="350"/>
      <c r="FXO96" s="350"/>
      <c r="FXP96" s="350"/>
      <c r="FXQ96" s="350"/>
      <c r="FXR96" s="350"/>
      <c r="FXS96" s="350"/>
      <c r="FXT96" s="350"/>
      <c r="FXU96" s="350"/>
      <c r="FXV96" s="350"/>
      <c r="FXW96" s="350"/>
      <c r="FXX96" s="350"/>
      <c r="FXY96" s="350"/>
      <c r="FXZ96" s="350"/>
      <c r="FYA96" s="350"/>
      <c r="FYB96" s="350"/>
      <c r="FYC96" s="350"/>
      <c r="FYD96" s="350"/>
      <c r="FYE96" s="350"/>
      <c r="FYF96" s="350"/>
      <c r="FYG96" s="350"/>
      <c r="FYH96" s="350"/>
      <c r="FYI96" s="350"/>
      <c r="FYJ96" s="350"/>
      <c r="FYK96" s="350"/>
      <c r="FYL96" s="350"/>
      <c r="FYM96" s="350"/>
      <c r="FYN96" s="350"/>
      <c r="FYO96" s="350"/>
      <c r="FYP96" s="350"/>
      <c r="FYQ96" s="350"/>
      <c r="FYR96" s="350"/>
      <c r="FYS96" s="350"/>
      <c r="FYT96" s="350"/>
      <c r="FYU96" s="350"/>
      <c r="FYV96" s="350"/>
      <c r="FYW96" s="350"/>
      <c r="FYX96" s="350"/>
      <c r="FYY96" s="350"/>
      <c r="FYZ96" s="350"/>
      <c r="FZA96" s="350"/>
      <c r="FZB96" s="350"/>
      <c r="FZC96" s="350"/>
      <c r="FZD96" s="350"/>
      <c r="FZE96" s="350"/>
      <c r="FZF96" s="350"/>
      <c r="FZG96" s="350"/>
      <c r="FZH96" s="350"/>
      <c r="FZI96" s="350"/>
      <c r="FZJ96" s="350"/>
      <c r="FZK96" s="350"/>
      <c r="FZL96" s="350"/>
      <c r="FZM96" s="350"/>
      <c r="FZN96" s="350"/>
      <c r="FZO96" s="350"/>
      <c r="FZP96" s="350"/>
      <c r="FZQ96" s="350"/>
      <c r="FZR96" s="350"/>
      <c r="FZS96" s="350"/>
      <c r="FZT96" s="350"/>
      <c r="FZU96" s="350"/>
      <c r="FZV96" s="350"/>
      <c r="FZW96" s="350"/>
      <c r="FZX96" s="350"/>
      <c r="FZY96" s="350"/>
      <c r="FZZ96" s="350"/>
      <c r="GAA96" s="350"/>
      <c r="GAB96" s="350"/>
      <c r="GAC96" s="350"/>
      <c r="GAD96" s="350"/>
      <c r="GAE96" s="350"/>
      <c r="GAF96" s="350"/>
      <c r="GAG96" s="350"/>
      <c r="GAH96" s="350"/>
      <c r="GAI96" s="350"/>
      <c r="GAJ96" s="350"/>
      <c r="GAK96" s="350"/>
      <c r="GAL96" s="350"/>
      <c r="GAM96" s="350"/>
      <c r="GAN96" s="350"/>
      <c r="GAO96" s="350"/>
      <c r="GAP96" s="350"/>
      <c r="GAQ96" s="350"/>
      <c r="GAR96" s="350"/>
      <c r="GAS96" s="350"/>
      <c r="GAT96" s="350"/>
      <c r="GAU96" s="350"/>
      <c r="GAV96" s="350"/>
      <c r="GAW96" s="350"/>
      <c r="GAX96" s="350"/>
      <c r="GAY96" s="350"/>
      <c r="GAZ96" s="350"/>
      <c r="GBA96" s="350"/>
      <c r="GBB96" s="350"/>
      <c r="GBC96" s="350"/>
      <c r="GBD96" s="350"/>
      <c r="GBE96" s="350"/>
      <c r="GBF96" s="350"/>
      <c r="GBG96" s="350"/>
      <c r="GBH96" s="350"/>
      <c r="GBI96" s="350"/>
      <c r="GBJ96" s="350"/>
      <c r="GBK96" s="350"/>
      <c r="GBL96" s="350"/>
      <c r="GBM96" s="350"/>
      <c r="GBN96" s="350"/>
      <c r="GBO96" s="350"/>
      <c r="GBP96" s="350"/>
      <c r="GBQ96" s="350"/>
      <c r="GBR96" s="350"/>
      <c r="GBS96" s="350"/>
      <c r="GBT96" s="350"/>
      <c r="GBU96" s="350"/>
      <c r="GBV96" s="350"/>
      <c r="GBW96" s="350"/>
      <c r="GBX96" s="350"/>
      <c r="GBY96" s="350"/>
      <c r="GBZ96" s="350"/>
      <c r="GCA96" s="350"/>
      <c r="GCB96" s="350"/>
      <c r="GCC96" s="350"/>
      <c r="GCD96" s="350"/>
      <c r="GCE96" s="350"/>
      <c r="GCF96" s="350"/>
      <c r="GCG96" s="350"/>
      <c r="GCH96" s="350"/>
      <c r="GCI96" s="350"/>
      <c r="GCJ96" s="350"/>
      <c r="GCK96" s="350"/>
      <c r="GCL96" s="350"/>
      <c r="GCM96" s="350"/>
      <c r="GCN96" s="350"/>
      <c r="GCO96" s="350"/>
      <c r="GCP96" s="350"/>
      <c r="GCQ96" s="350"/>
      <c r="GCR96" s="350"/>
      <c r="GCS96" s="350"/>
      <c r="GCT96" s="350"/>
      <c r="GCU96" s="350"/>
      <c r="GCV96" s="350"/>
      <c r="GCW96" s="350"/>
      <c r="GCX96" s="350"/>
      <c r="GCY96" s="350"/>
      <c r="GCZ96" s="350"/>
      <c r="GDA96" s="350"/>
      <c r="GDB96" s="350"/>
      <c r="GDC96" s="350"/>
      <c r="GDD96" s="350"/>
      <c r="GDE96" s="350"/>
      <c r="GDF96" s="350"/>
      <c r="GDG96" s="350"/>
      <c r="GDH96" s="350"/>
      <c r="GDI96" s="350"/>
      <c r="GDJ96" s="350"/>
      <c r="GDK96" s="350"/>
      <c r="GDL96" s="350"/>
      <c r="GDM96" s="350"/>
      <c r="GDN96" s="350"/>
      <c r="GDO96" s="350"/>
      <c r="GDP96" s="350"/>
      <c r="GDQ96" s="350"/>
      <c r="GDR96" s="350"/>
      <c r="GDS96" s="350"/>
      <c r="GDT96" s="350"/>
      <c r="GDU96" s="350"/>
      <c r="GDV96" s="350"/>
      <c r="GDW96" s="350"/>
      <c r="GDX96" s="350"/>
      <c r="GDY96" s="350"/>
      <c r="GDZ96" s="350"/>
      <c r="GEA96" s="350"/>
      <c r="GEB96" s="350"/>
      <c r="GEC96" s="350"/>
      <c r="GED96" s="350"/>
      <c r="GEE96" s="350"/>
      <c r="GEF96" s="350"/>
      <c r="GEG96" s="350"/>
      <c r="GEH96" s="350"/>
      <c r="GEI96" s="350"/>
      <c r="GEJ96" s="350"/>
      <c r="GEK96" s="350"/>
      <c r="GEL96" s="350"/>
      <c r="GEM96" s="350"/>
      <c r="GEN96" s="350"/>
      <c r="GEO96" s="350"/>
      <c r="GEP96" s="350"/>
      <c r="GEQ96" s="350"/>
      <c r="GER96" s="350"/>
      <c r="GES96" s="350"/>
      <c r="GET96" s="350"/>
      <c r="GEU96" s="350"/>
      <c r="GEV96" s="350"/>
      <c r="GEW96" s="350"/>
      <c r="GEX96" s="350"/>
      <c r="GEY96" s="350"/>
      <c r="GEZ96" s="350"/>
      <c r="GFA96" s="350"/>
      <c r="GFB96" s="350"/>
      <c r="GFC96" s="350"/>
      <c r="GFD96" s="350"/>
      <c r="GFE96" s="350"/>
      <c r="GFF96" s="350"/>
      <c r="GFG96" s="350"/>
      <c r="GFH96" s="350"/>
      <c r="GFI96" s="350"/>
      <c r="GFJ96" s="350"/>
      <c r="GFK96" s="350"/>
      <c r="GFL96" s="350"/>
      <c r="GFM96" s="350"/>
      <c r="GFN96" s="350"/>
      <c r="GFO96" s="350"/>
      <c r="GFP96" s="350"/>
      <c r="GFQ96" s="350"/>
      <c r="GFR96" s="350"/>
      <c r="GFS96" s="350"/>
      <c r="GFT96" s="350"/>
      <c r="GFU96" s="350"/>
      <c r="GFV96" s="350"/>
      <c r="GFW96" s="350"/>
      <c r="GFX96" s="350"/>
      <c r="GFY96" s="350"/>
      <c r="GFZ96" s="350"/>
      <c r="GGA96" s="350"/>
      <c r="GGB96" s="350"/>
      <c r="GGC96" s="350"/>
      <c r="GGD96" s="350"/>
      <c r="GGE96" s="350"/>
      <c r="GGF96" s="350"/>
      <c r="GGG96" s="350"/>
      <c r="GGH96" s="350"/>
      <c r="GGI96" s="350"/>
      <c r="GGJ96" s="350"/>
      <c r="GGK96" s="350"/>
      <c r="GGL96" s="350"/>
      <c r="GGM96" s="350"/>
      <c r="GGN96" s="350"/>
      <c r="GGO96" s="350"/>
      <c r="GGP96" s="350"/>
      <c r="GGQ96" s="350"/>
      <c r="GGR96" s="350"/>
      <c r="GGS96" s="350"/>
      <c r="GGT96" s="350"/>
      <c r="GGU96" s="350"/>
      <c r="GGV96" s="350"/>
      <c r="GGW96" s="350"/>
      <c r="GGX96" s="350"/>
      <c r="GGY96" s="350"/>
      <c r="GGZ96" s="350"/>
      <c r="GHA96" s="350"/>
      <c r="GHB96" s="350"/>
      <c r="GHC96" s="350"/>
      <c r="GHD96" s="350"/>
      <c r="GHE96" s="350"/>
      <c r="GHF96" s="350"/>
      <c r="GHG96" s="350"/>
      <c r="GHH96" s="350"/>
      <c r="GHI96" s="350"/>
      <c r="GHJ96" s="350"/>
      <c r="GHK96" s="350"/>
      <c r="GHL96" s="350"/>
      <c r="GHM96" s="350"/>
      <c r="GHN96" s="350"/>
      <c r="GHO96" s="350"/>
      <c r="GHP96" s="350"/>
      <c r="GHQ96" s="350"/>
      <c r="GHR96" s="350"/>
      <c r="GHS96" s="350"/>
      <c r="GHT96" s="350"/>
      <c r="GHU96" s="350"/>
      <c r="GHV96" s="350"/>
      <c r="GHW96" s="350"/>
      <c r="GHX96" s="350"/>
      <c r="GHY96" s="350"/>
      <c r="GHZ96" s="350"/>
      <c r="GIA96" s="350"/>
      <c r="GIB96" s="350"/>
      <c r="GIC96" s="350"/>
      <c r="GID96" s="350"/>
      <c r="GIE96" s="350"/>
      <c r="GIF96" s="350"/>
      <c r="GIG96" s="350"/>
      <c r="GIH96" s="350"/>
      <c r="GII96" s="350"/>
      <c r="GIJ96" s="350"/>
      <c r="GIK96" s="350"/>
      <c r="GIL96" s="350"/>
      <c r="GIM96" s="350"/>
      <c r="GIN96" s="350"/>
      <c r="GIO96" s="350"/>
      <c r="GIP96" s="350"/>
      <c r="GIQ96" s="350"/>
      <c r="GIR96" s="350"/>
      <c r="GIS96" s="350"/>
      <c r="GIT96" s="350"/>
      <c r="GIU96" s="350"/>
      <c r="GIV96" s="350"/>
      <c r="GIW96" s="350"/>
      <c r="GIX96" s="350"/>
      <c r="GIY96" s="350"/>
      <c r="GIZ96" s="350"/>
      <c r="GJA96" s="350"/>
      <c r="GJB96" s="350"/>
      <c r="GJC96" s="350"/>
      <c r="GJD96" s="350"/>
      <c r="GJE96" s="350"/>
      <c r="GJF96" s="350"/>
      <c r="GJG96" s="350"/>
      <c r="GJH96" s="350"/>
      <c r="GJI96" s="350"/>
      <c r="GJJ96" s="350"/>
      <c r="GJK96" s="350"/>
      <c r="GJL96" s="350"/>
      <c r="GJM96" s="350"/>
      <c r="GJN96" s="350"/>
      <c r="GJO96" s="350"/>
      <c r="GJP96" s="350"/>
      <c r="GJQ96" s="350"/>
      <c r="GJR96" s="350"/>
      <c r="GJS96" s="350"/>
      <c r="GJT96" s="350"/>
      <c r="GJU96" s="350"/>
      <c r="GJV96" s="350"/>
      <c r="GJW96" s="350"/>
      <c r="GJX96" s="350"/>
      <c r="GJY96" s="350"/>
      <c r="GJZ96" s="350"/>
      <c r="GKA96" s="350"/>
      <c r="GKB96" s="350"/>
      <c r="GKC96" s="350"/>
      <c r="GKD96" s="350"/>
      <c r="GKE96" s="350"/>
      <c r="GKF96" s="350"/>
      <c r="GKG96" s="350"/>
      <c r="GKH96" s="350"/>
      <c r="GKI96" s="350"/>
      <c r="GKJ96" s="350"/>
      <c r="GKK96" s="350"/>
      <c r="GKL96" s="350"/>
      <c r="GKM96" s="350"/>
      <c r="GKN96" s="350"/>
      <c r="GKO96" s="350"/>
      <c r="GKP96" s="350"/>
      <c r="GKQ96" s="350"/>
      <c r="GKR96" s="350"/>
      <c r="GKS96" s="350"/>
      <c r="GKT96" s="350"/>
      <c r="GKU96" s="350"/>
      <c r="GKV96" s="350"/>
      <c r="GKW96" s="350"/>
      <c r="GKX96" s="350"/>
      <c r="GKY96" s="350"/>
      <c r="GKZ96" s="350"/>
      <c r="GLA96" s="350"/>
      <c r="GLB96" s="350"/>
      <c r="GLC96" s="350"/>
      <c r="GLD96" s="350"/>
      <c r="GLE96" s="350"/>
      <c r="GLF96" s="350"/>
      <c r="GLG96" s="350"/>
      <c r="GLH96" s="350"/>
      <c r="GLI96" s="350"/>
      <c r="GLJ96" s="350"/>
      <c r="GLK96" s="350"/>
      <c r="GLL96" s="350"/>
      <c r="GLM96" s="350"/>
      <c r="GLN96" s="350"/>
      <c r="GLO96" s="350"/>
      <c r="GLP96" s="350"/>
      <c r="GLQ96" s="350"/>
      <c r="GLR96" s="350"/>
      <c r="GLS96" s="350"/>
      <c r="GLT96" s="350"/>
      <c r="GLU96" s="350"/>
      <c r="GLV96" s="350"/>
      <c r="GLW96" s="350"/>
      <c r="GLX96" s="350"/>
      <c r="GLY96" s="350"/>
      <c r="GLZ96" s="350"/>
      <c r="GMA96" s="350"/>
      <c r="GMB96" s="350"/>
      <c r="GMC96" s="350"/>
      <c r="GMD96" s="350"/>
      <c r="GME96" s="350"/>
      <c r="GMF96" s="350"/>
      <c r="GMG96" s="350"/>
      <c r="GMH96" s="350"/>
      <c r="GMI96" s="350"/>
      <c r="GMJ96" s="350"/>
      <c r="GMK96" s="350"/>
      <c r="GML96" s="350"/>
      <c r="GMM96" s="350"/>
      <c r="GMN96" s="350"/>
      <c r="GMO96" s="350"/>
      <c r="GMP96" s="350"/>
      <c r="GMQ96" s="350"/>
      <c r="GMR96" s="350"/>
      <c r="GMS96" s="350"/>
      <c r="GMT96" s="350"/>
      <c r="GMU96" s="350"/>
      <c r="GMV96" s="350"/>
      <c r="GMW96" s="350"/>
      <c r="GMX96" s="350"/>
      <c r="GMY96" s="350"/>
      <c r="GMZ96" s="350"/>
      <c r="GNA96" s="350"/>
      <c r="GNB96" s="350"/>
      <c r="GNC96" s="350"/>
      <c r="GND96" s="350"/>
      <c r="GNE96" s="350"/>
      <c r="GNF96" s="350"/>
      <c r="GNG96" s="350"/>
      <c r="GNH96" s="350"/>
      <c r="GNI96" s="350"/>
      <c r="GNJ96" s="350"/>
      <c r="GNK96" s="350"/>
      <c r="GNL96" s="350"/>
      <c r="GNM96" s="350"/>
      <c r="GNN96" s="350"/>
      <c r="GNO96" s="350"/>
      <c r="GNP96" s="350"/>
      <c r="GNQ96" s="350"/>
      <c r="GNR96" s="350"/>
      <c r="GNS96" s="350"/>
      <c r="GNT96" s="350"/>
      <c r="GNU96" s="350"/>
      <c r="GNV96" s="350"/>
      <c r="GNW96" s="350"/>
      <c r="GNX96" s="350"/>
      <c r="GNY96" s="350"/>
      <c r="GNZ96" s="350"/>
      <c r="GOA96" s="350"/>
      <c r="GOB96" s="350"/>
      <c r="GOC96" s="350"/>
      <c r="GOD96" s="350"/>
      <c r="GOE96" s="350"/>
      <c r="GOF96" s="350"/>
      <c r="GOG96" s="350"/>
      <c r="GOH96" s="350"/>
      <c r="GOI96" s="350"/>
      <c r="GOJ96" s="350"/>
      <c r="GOK96" s="350"/>
      <c r="GOL96" s="350"/>
      <c r="GOM96" s="350"/>
      <c r="GON96" s="350"/>
      <c r="GOO96" s="350"/>
      <c r="GOP96" s="350"/>
      <c r="GOQ96" s="350"/>
      <c r="GOR96" s="350"/>
      <c r="GOS96" s="350"/>
      <c r="GOT96" s="350"/>
      <c r="GOU96" s="350"/>
      <c r="GOV96" s="350"/>
      <c r="GOW96" s="350"/>
      <c r="GOX96" s="350"/>
      <c r="GOY96" s="350"/>
      <c r="GOZ96" s="350"/>
      <c r="GPA96" s="350"/>
      <c r="GPB96" s="350"/>
      <c r="GPC96" s="350"/>
      <c r="GPD96" s="350"/>
      <c r="GPE96" s="350"/>
      <c r="GPF96" s="350"/>
      <c r="GPG96" s="350"/>
      <c r="GPH96" s="350"/>
      <c r="GPI96" s="350"/>
      <c r="GPJ96" s="350"/>
      <c r="GPK96" s="350"/>
      <c r="GPL96" s="350"/>
      <c r="GPM96" s="350"/>
      <c r="GPN96" s="350"/>
      <c r="GPO96" s="350"/>
      <c r="GPP96" s="350"/>
      <c r="GPQ96" s="350"/>
      <c r="GPR96" s="350"/>
      <c r="GPS96" s="350"/>
      <c r="GPT96" s="350"/>
      <c r="GPU96" s="350"/>
      <c r="GPV96" s="350"/>
      <c r="GPW96" s="350"/>
      <c r="GPX96" s="350"/>
      <c r="GPY96" s="350"/>
      <c r="GPZ96" s="350"/>
      <c r="GQA96" s="350"/>
      <c r="GQB96" s="350"/>
      <c r="GQC96" s="350"/>
      <c r="GQD96" s="350"/>
      <c r="GQE96" s="350"/>
      <c r="GQF96" s="350"/>
      <c r="GQG96" s="350"/>
      <c r="GQH96" s="350"/>
      <c r="GQI96" s="350"/>
      <c r="GQJ96" s="350"/>
      <c r="GQK96" s="350"/>
      <c r="GQL96" s="350"/>
      <c r="GQM96" s="350"/>
      <c r="GQN96" s="350"/>
      <c r="GQO96" s="350"/>
      <c r="GQP96" s="350"/>
      <c r="GQQ96" s="350"/>
      <c r="GQR96" s="350"/>
      <c r="GQS96" s="350"/>
      <c r="GQT96" s="350"/>
      <c r="GQU96" s="350"/>
      <c r="GQV96" s="350"/>
      <c r="GQW96" s="350"/>
      <c r="GQX96" s="350"/>
      <c r="GQY96" s="350"/>
      <c r="GQZ96" s="350"/>
      <c r="GRA96" s="350"/>
      <c r="GRB96" s="350"/>
      <c r="GRC96" s="350"/>
      <c r="GRD96" s="350"/>
      <c r="GRE96" s="350"/>
      <c r="GRF96" s="350"/>
      <c r="GRG96" s="350"/>
      <c r="GRH96" s="350"/>
      <c r="GRI96" s="350"/>
      <c r="GRJ96" s="350"/>
      <c r="GRK96" s="350"/>
      <c r="GRL96" s="350"/>
      <c r="GRM96" s="350"/>
      <c r="GRN96" s="350"/>
      <c r="GRO96" s="350"/>
      <c r="GRP96" s="350"/>
      <c r="GRQ96" s="350"/>
      <c r="GRR96" s="350"/>
      <c r="GRS96" s="350"/>
      <c r="GRT96" s="350"/>
      <c r="GRU96" s="350"/>
      <c r="GRV96" s="350"/>
      <c r="GRW96" s="350"/>
      <c r="GRX96" s="350"/>
      <c r="GRY96" s="350"/>
      <c r="GRZ96" s="350"/>
      <c r="GSA96" s="350"/>
      <c r="GSB96" s="350"/>
      <c r="GSC96" s="350"/>
      <c r="GSD96" s="350"/>
      <c r="GSE96" s="350"/>
      <c r="GSF96" s="350"/>
      <c r="GSG96" s="350"/>
      <c r="GSH96" s="350"/>
      <c r="GSI96" s="350"/>
      <c r="GSJ96" s="350"/>
      <c r="GSK96" s="350"/>
      <c r="GSL96" s="350"/>
      <c r="GSM96" s="350"/>
      <c r="GSN96" s="350"/>
      <c r="GSO96" s="350"/>
      <c r="GSP96" s="350"/>
      <c r="GSQ96" s="350"/>
      <c r="GSR96" s="350"/>
      <c r="GSS96" s="350"/>
      <c r="GST96" s="350"/>
      <c r="GSU96" s="350"/>
      <c r="GSV96" s="350"/>
      <c r="GSW96" s="350"/>
      <c r="GSX96" s="350"/>
      <c r="GSY96" s="350"/>
      <c r="GSZ96" s="350"/>
      <c r="GTA96" s="350"/>
      <c r="GTB96" s="350"/>
      <c r="GTC96" s="350"/>
      <c r="GTD96" s="350"/>
      <c r="GTE96" s="350"/>
      <c r="GTF96" s="350"/>
      <c r="GTG96" s="350"/>
      <c r="GTH96" s="350"/>
      <c r="GTI96" s="350"/>
      <c r="GTJ96" s="350"/>
      <c r="GTK96" s="350"/>
      <c r="GTL96" s="350"/>
      <c r="GTM96" s="350"/>
      <c r="GTN96" s="350"/>
      <c r="GTO96" s="350"/>
      <c r="GTP96" s="350"/>
      <c r="GTQ96" s="350"/>
      <c r="GTR96" s="350"/>
      <c r="GTS96" s="350"/>
      <c r="GTT96" s="350"/>
      <c r="GTU96" s="350"/>
      <c r="GTV96" s="350"/>
      <c r="GTW96" s="350"/>
      <c r="GTX96" s="350"/>
      <c r="GTY96" s="350"/>
      <c r="GTZ96" s="350"/>
      <c r="GUA96" s="350"/>
      <c r="GUB96" s="350"/>
      <c r="GUC96" s="350"/>
      <c r="GUD96" s="350"/>
      <c r="GUE96" s="350"/>
      <c r="GUF96" s="350"/>
      <c r="GUG96" s="350"/>
      <c r="GUH96" s="350"/>
      <c r="GUI96" s="350"/>
      <c r="GUJ96" s="350"/>
      <c r="GUK96" s="350"/>
      <c r="GUL96" s="350"/>
      <c r="GUM96" s="350"/>
      <c r="GUN96" s="350"/>
      <c r="GUO96" s="350"/>
      <c r="GUP96" s="350"/>
      <c r="GUQ96" s="350"/>
      <c r="GUR96" s="350"/>
      <c r="GUS96" s="350"/>
      <c r="GUT96" s="350"/>
      <c r="GUU96" s="350"/>
      <c r="GUV96" s="350"/>
      <c r="GUW96" s="350"/>
      <c r="GUX96" s="350"/>
      <c r="GUY96" s="350"/>
      <c r="GUZ96" s="350"/>
      <c r="GVA96" s="350"/>
      <c r="GVB96" s="350"/>
      <c r="GVC96" s="350"/>
      <c r="GVD96" s="350"/>
      <c r="GVE96" s="350"/>
      <c r="GVF96" s="350"/>
      <c r="GVG96" s="350"/>
      <c r="GVH96" s="350"/>
      <c r="GVI96" s="350"/>
      <c r="GVJ96" s="350"/>
      <c r="GVK96" s="350"/>
      <c r="GVL96" s="350"/>
      <c r="GVM96" s="350"/>
      <c r="GVN96" s="350"/>
      <c r="GVO96" s="350"/>
      <c r="GVP96" s="350"/>
      <c r="GVQ96" s="350"/>
      <c r="GVR96" s="350"/>
      <c r="GVS96" s="350"/>
      <c r="GVT96" s="350"/>
      <c r="GVU96" s="350"/>
      <c r="GVV96" s="350"/>
      <c r="GVW96" s="350"/>
      <c r="GVX96" s="350"/>
      <c r="GVY96" s="350"/>
      <c r="GVZ96" s="350"/>
      <c r="GWA96" s="350"/>
      <c r="GWB96" s="350"/>
      <c r="GWC96" s="350"/>
      <c r="GWD96" s="350"/>
      <c r="GWE96" s="350"/>
      <c r="GWF96" s="350"/>
      <c r="GWG96" s="350"/>
      <c r="GWH96" s="350"/>
      <c r="GWI96" s="350"/>
      <c r="GWJ96" s="350"/>
      <c r="GWK96" s="350"/>
      <c r="GWL96" s="350"/>
      <c r="GWM96" s="350"/>
      <c r="GWN96" s="350"/>
      <c r="GWO96" s="350"/>
      <c r="GWP96" s="350"/>
      <c r="GWQ96" s="350"/>
      <c r="GWR96" s="350"/>
      <c r="GWS96" s="350"/>
      <c r="GWT96" s="350"/>
      <c r="GWU96" s="350"/>
      <c r="GWV96" s="350"/>
      <c r="GWW96" s="350"/>
      <c r="GWX96" s="350"/>
      <c r="GWY96" s="350"/>
      <c r="GWZ96" s="350"/>
      <c r="GXA96" s="350"/>
      <c r="GXB96" s="350"/>
      <c r="GXC96" s="350"/>
      <c r="GXD96" s="350"/>
      <c r="GXE96" s="350"/>
      <c r="GXF96" s="350"/>
      <c r="GXG96" s="350"/>
      <c r="GXH96" s="350"/>
      <c r="GXI96" s="350"/>
      <c r="GXJ96" s="350"/>
      <c r="GXK96" s="350"/>
      <c r="GXL96" s="350"/>
      <c r="GXM96" s="350"/>
      <c r="GXN96" s="350"/>
      <c r="GXO96" s="350"/>
      <c r="GXP96" s="350"/>
      <c r="GXQ96" s="350"/>
      <c r="GXR96" s="350"/>
      <c r="GXS96" s="350"/>
      <c r="GXT96" s="350"/>
      <c r="GXU96" s="350"/>
      <c r="GXV96" s="350"/>
      <c r="GXW96" s="350"/>
      <c r="GXX96" s="350"/>
      <c r="GXY96" s="350"/>
      <c r="GXZ96" s="350"/>
      <c r="GYA96" s="350"/>
      <c r="GYB96" s="350"/>
      <c r="GYC96" s="350"/>
      <c r="GYD96" s="350"/>
      <c r="GYE96" s="350"/>
      <c r="GYF96" s="350"/>
      <c r="GYG96" s="350"/>
      <c r="GYH96" s="350"/>
      <c r="GYI96" s="350"/>
      <c r="GYJ96" s="350"/>
      <c r="GYK96" s="350"/>
      <c r="GYL96" s="350"/>
      <c r="GYM96" s="350"/>
      <c r="GYN96" s="350"/>
      <c r="GYO96" s="350"/>
      <c r="GYP96" s="350"/>
      <c r="GYQ96" s="350"/>
      <c r="GYR96" s="350"/>
      <c r="GYS96" s="350"/>
      <c r="GYT96" s="350"/>
      <c r="GYU96" s="350"/>
      <c r="GYV96" s="350"/>
      <c r="GYW96" s="350"/>
      <c r="GYX96" s="350"/>
      <c r="GYY96" s="350"/>
      <c r="GYZ96" s="350"/>
      <c r="GZA96" s="350"/>
      <c r="GZB96" s="350"/>
      <c r="GZC96" s="350"/>
      <c r="GZD96" s="350"/>
      <c r="GZE96" s="350"/>
      <c r="GZF96" s="350"/>
      <c r="GZG96" s="350"/>
      <c r="GZH96" s="350"/>
      <c r="GZI96" s="350"/>
      <c r="GZJ96" s="350"/>
      <c r="GZK96" s="350"/>
      <c r="GZL96" s="350"/>
      <c r="GZM96" s="350"/>
      <c r="GZN96" s="350"/>
      <c r="GZO96" s="350"/>
      <c r="GZP96" s="350"/>
      <c r="GZQ96" s="350"/>
      <c r="GZR96" s="350"/>
      <c r="GZS96" s="350"/>
      <c r="GZT96" s="350"/>
      <c r="GZU96" s="350"/>
      <c r="GZV96" s="350"/>
      <c r="GZW96" s="350"/>
      <c r="GZX96" s="350"/>
      <c r="GZY96" s="350"/>
      <c r="GZZ96" s="350"/>
      <c r="HAA96" s="350"/>
      <c r="HAB96" s="350"/>
      <c r="HAC96" s="350"/>
      <c r="HAD96" s="350"/>
      <c r="HAE96" s="350"/>
      <c r="HAF96" s="350"/>
      <c r="HAG96" s="350"/>
      <c r="HAH96" s="350"/>
      <c r="HAI96" s="350"/>
      <c r="HAJ96" s="350"/>
      <c r="HAK96" s="350"/>
      <c r="HAL96" s="350"/>
      <c r="HAM96" s="350"/>
      <c r="HAN96" s="350"/>
      <c r="HAO96" s="350"/>
      <c r="HAP96" s="350"/>
      <c r="HAQ96" s="350"/>
      <c r="HAR96" s="350"/>
      <c r="HAS96" s="350"/>
      <c r="HAT96" s="350"/>
      <c r="HAU96" s="350"/>
      <c r="HAV96" s="350"/>
      <c r="HAW96" s="350"/>
      <c r="HAX96" s="350"/>
      <c r="HAY96" s="350"/>
      <c r="HAZ96" s="350"/>
      <c r="HBA96" s="350"/>
      <c r="HBB96" s="350"/>
      <c r="HBC96" s="350"/>
      <c r="HBD96" s="350"/>
      <c r="HBE96" s="350"/>
      <c r="HBF96" s="350"/>
      <c r="HBG96" s="350"/>
      <c r="HBH96" s="350"/>
      <c r="HBI96" s="350"/>
      <c r="HBJ96" s="350"/>
      <c r="HBK96" s="350"/>
      <c r="HBL96" s="350"/>
      <c r="HBM96" s="350"/>
      <c r="HBN96" s="350"/>
      <c r="HBO96" s="350"/>
      <c r="HBP96" s="350"/>
      <c r="HBQ96" s="350"/>
      <c r="HBR96" s="350"/>
      <c r="HBS96" s="350"/>
      <c r="HBT96" s="350"/>
      <c r="HBU96" s="350"/>
      <c r="HBV96" s="350"/>
      <c r="HBW96" s="350"/>
      <c r="HBX96" s="350"/>
      <c r="HBY96" s="350"/>
      <c r="HBZ96" s="350"/>
      <c r="HCA96" s="350"/>
      <c r="HCB96" s="350"/>
      <c r="HCC96" s="350"/>
      <c r="HCD96" s="350"/>
      <c r="HCE96" s="350"/>
      <c r="HCF96" s="350"/>
      <c r="HCG96" s="350"/>
      <c r="HCH96" s="350"/>
      <c r="HCI96" s="350"/>
      <c r="HCJ96" s="350"/>
      <c r="HCK96" s="350"/>
      <c r="HCL96" s="350"/>
      <c r="HCM96" s="350"/>
      <c r="HCN96" s="350"/>
      <c r="HCO96" s="350"/>
      <c r="HCP96" s="350"/>
      <c r="HCQ96" s="350"/>
      <c r="HCR96" s="350"/>
      <c r="HCS96" s="350"/>
      <c r="HCT96" s="350"/>
      <c r="HCU96" s="350"/>
      <c r="HCV96" s="350"/>
      <c r="HCW96" s="350"/>
      <c r="HCX96" s="350"/>
      <c r="HCY96" s="350"/>
      <c r="HCZ96" s="350"/>
      <c r="HDA96" s="350"/>
      <c r="HDB96" s="350"/>
      <c r="HDC96" s="350"/>
      <c r="HDD96" s="350"/>
      <c r="HDE96" s="350"/>
      <c r="HDF96" s="350"/>
      <c r="HDG96" s="350"/>
      <c r="HDH96" s="350"/>
      <c r="HDI96" s="350"/>
      <c r="HDJ96" s="350"/>
      <c r="HDK96" s="350"/>
      <c r="HDL96" s="350"/>
      <c r="HDM96" s="350"/>
      <c r="HDN96" s="350"/>
      <c r="HDO96" s="350"/>
      <c r="HDP96" s="350"/>
      <c r="HDQ96" s="350"/>
      <c r="HDR96" s="350"/>
      <c r="HDS96" s="350"/>
      <c r="HDT96" s="350"/>
      <c r="HDU96" s="350"/>
      <c r="HDV96" s="350"/>
      <c r="HDW96" s="350"/>
      <c r="HDX96" s="350"/>
      <c r="HDY96" s="350"/>
      <c r="HDZ96" s="350"/>
      <c r="HEA96" s="350"/>
      <c r="HEB96" s="350"/>
      <c r="HEC96" s="350"/>
      <c r="HED96" s="350"/>
      <c r="HEE96" s="350"/>
      <c r="HEF96" s="350"/>
      <c r="HEG96" s="350"/>
      <c r="HEH96" s="350"/>
      <c r="HEI96" s="350"/>
      <c r="HEJ96" s="350"/>
      <c r="HEK96" s="350"/>
      <c r="HEL96" s="350"/>
      <c r="HEM96" s="350"/>
      <c r="HEN96" s="350"/>
      <c r="HEO96" s="350"/>
      <c r="HEP96" s="350"/>
      <c r="HEQ96" s="350"/>
      <c r="HER96" s="350"/>
      <c r="HES96" s="350"/>
      <c r="HET96" s="350"/>
      <c r="HEU96" s="350"/>
      <c r="HEV96" s="350"/>
      <c r="HEW96" s="350"/>
      <c r="HEX96" s="350"/>
      <c r="HEY96" s="350"/>
      <c r="HEZ96" s="350"/>
      <c r="HFA96" s="350"/>
      <c r="HFB96" s="350"/>
      <c r="HFC96" s="350"/>
      <c r="HFD96" s="350"/>
      <c r="HFE96" s="350"/>
      <c r="HFF96" s="350"/>
      <c r="HFG96" s="350"/>
      <c r="HFH96" s="350"/>
      <c r="HFI96" s="350"/>
      <c r="HFJ96" s="350"/>
      <c r="HFK96" s="350"/>
      <c r="HFL96" s="350"/>
      <c r="HFM96" s="350"/>
      <c r="HFN96" s="350"/>
      <c r="HFO96" s="350"/>
      <c r="HFP96" s="350"/>
      <c r="HFQ96" s="350"/>
      <c r="HFR96" s="350"/>
      <c r="HFS96" s="350"/>
      <c r="HFT96" s="350"/>
      <c r="HFU96" s="350"/>
      <c r="HFV96" s="350"/>
      <c r="HFW96" s="350"/>
      <c r="HFX96" s="350"/>
      <c r="HFY96" s="350"/>
      <c r="HFZ96" s="350"/>
      <c r="HGA96" s="350"/>
      <c r="HGB96" s="350"/>
      <c r="HGC96" s="350"/>
      <c r="HGD96" s="350"/>
      <c r="HGE96" s="350"/>
      <c r="HGF96" s="350"/>
      <c r="HGG96" s="350"/>
      <c r="HGH96" s="350"/>
      <c r="HGI96" s="350"/>
      <c r="HGJ96" s="350"/>
      <c r="HGK96" s="350"/>
      <c r="HGL96" s="350"/>
      <c r="HGM96" s="350"/>
      <c r="HGN96" s="350"/>
      <c r="HGO96" s="350"/>
      <c r="HGP96" s="350"/>
      <c r="HGQ96" s="350"/>
      <c r="HGR96" s="350"/>
      <c r="HGS96" s="350"/>
      <c r="HGT96" s="350"/>
      <c r="HGU96" s="350"/>
      <c r="HGV96" s="350"/>
      <c r="HGW96" s="350"/>
      <c r="HGX96" s="350"/>
      <c r="HGY96" s="350"/>
      <c r="HGZ96" s="350"/>
      <c r="HHA96" s="350"/>
      <c r="HHB96" s="350"/>
      <c r="HHC96" s="350"/>
      <c r="HHD96" s="350"/>
      <c r="HHE96" s="350"/>
      <c r="HHF96" s="350"/>
      <c r="HHG96" s="350"/>
      <c r="HHH96" s="350"/>
      <c r="HHI96" s="350"/>
      <c r="HHJ96" s="350"/>
      <c r="HHK96" s="350"/>
      <c r="HHL96" s="350"/>
      <c r="HHM96" s="350"/>
      <c r="HHN96" s="350"/>
      <c r="HHO96" s="350"/>
      <c r="HHP96" s="350"/>
      <c r="HHQ96" s="350"/>
      <c r="HHR96" s="350"/>
      <c r="HHS96" s="350"/>
      <c r="HHT96" s="350"/>
      <c r="HHU96" s="350"/>
      <c r="HHV96" s="350"/>
      <c r="HHW96" s="350"/>
      <c r="HHX96" s="350"/>
      <c r="HHY96" s="350"/>
      <c r="HHZ96" s="350"/>
      <c r="HIA96" s="350"/>
      <c r="HIB96" s="350"/>
      <c r="HIC96" s="350"/>
      <c r="HID96" s="350"/>
      <c r="HIE96" s="350"/>
      <c r="HIF96" s="350"/>
      <c r="HIG96" s="350"/>
      <c r="HIH96" s="350"/>
      <c r="HII96" s="350"/>
      <c r="HIJ96" s="350"/>
      <c r="HIK96" s="350"/>
      <c r="HIL96" s="350"/>
      <c r="HIM96" s="350"/>
      <c r="HIN96" s="350"/>
      <c r="HIO96" s="350"/>
      <c r="HIP96" s="350"/>
      <c r="HIQ96" s="350"/>
      <c r="HIR96" s="350"/>
      <c r="HIS96" s="350"/>
      <c r="HIT96" s="350"/>
      <c r="HIU96" s="350"/>
      <c r="HIV96" s="350"/>
      <c r="HIW96" s="350"/>
      <c r="HIX96" s="350"/>
      <c r="HIY96" s="350"/>
      <c r="HIZ96" s="350"/>
      <c r="HJA96" s="350"/>
      <c r="HJB96" s="350"/>
      <c r="HJC96" s="350"/>
      <c r="HJD96" s="350"/>
      <c r="HJE96" s="350"/>
      <c r="HJF96" s="350"/>
      <c r="HJG96" s="350"/>
      <c r="HJH96" s="350"/>
      <c r="HJI96" s="350"/>
      <c r="HJJ96" s="350"/>
      <c r="HJK96" s="350"/>
      <c r="HJL96" s="350"/>
      <c r="HJM96" s="350"/>
      <c r="HJN96" s="350"/>
      <c r="HJO96" s="350"/>
      <c r="HJP96" s="350"/>
      <c r="HJQ96" s="350"/>
      <c r="HJR96" s="350"/>
      <c r="HJS96" s="350"/>
      <c r="HJT96" s="350"/>
      <c r="HJU96" s="350"/>
      <c r="HJV96" s="350"/>
      <c r="HJW96" s="350"/>
      <c r="HJX96" s="350"/>
      <c r="HJY96" s="350"/>
      <c r="HJZ96" s="350"/>
      <c r="HKA96" s="350"/>
      <c r="HKB96" s="350"/>
      <c r="HKC96" s="350"/>
      <c r="HKD96" s="350"/>
      <c r="HKE96" s="350"/>
      <c r="HKF96" s="350"/>
      <c r="HKG96" s="350"/>
      <c r="HKH96" s="350"/>
      <c r="HKI96" s="350"/>
      <c r="HKJ96" s="350"/>
      <c r="HKK96" s="350"/>
      <c r="HKL96" s="350"/>
      <c r="HKM96" s="350"/>
      <c r="HKN96" s="350"/>
      <c r="HKO96" s="350"/>
      <c r="HKP96" s="350"/>
      <c r="HKQ96" s="350"/>
      <c r="HKR96" s="350"/>
      <c r="HKS96" s="350"/>
      <c r="HKT96" s="350"/>
      <c r="HKU96" s="350"/>
      <c r="HKV96" s="350"/>
      <c r="HKW96" s="350"/>
      <c r="HKX96" s="350"/>
      <c r="HKY96" s="350"/>
      <c r="HKZ96" s="350"/>
      <c r="HLA96" s="350"/>
      <c r="HLB96" s="350"/>
      <c r="HLC96" s="350"/>
      <c r="HLD96" s="350"/>
      <c r="HLE96" s="350"/>
      <c r="HLF96" s="350"/>
      <c r="HLG96" s="350"/>
      <c r="HLH96" s="350"/>
      <c r="HLI96" s="350"/>
      <c r="HLJ96" s="350"/>
      <c r="HLK96" s="350"/>
      <c r="HLL96" s="350"/>
      <c r="HLM96" s="350"/>
      <c r="HLN96" s="350"/>
      <c r="HLO96" s="350"/>
      <c r="HLP96" s="350"/>
      <c r="HLQ96" s="350"/>
      <c r="HLR96" s="350"/>
      <c r="HLS96" s="350"/>
      <c r="HLT96" s="350"/>
      <c r="HLU96" s="350"/>
      <c r="HLV96" s="350"/>
      <c r="HLW96" s="350"/>
      <c r="HLX96" s="350"/>
      <c r="HLY96" s="350"/>
      <c r="HLZ96" s="350"/>
      <c r="HMA96" s="350"/>
      <c r="HMB96" s="350"/>
      <c r="HMC96" s="350"/>
      <c r="HMD96" s="350"/>
      <c r="HME96" s="350"/>
      <c r="HMF96" s="350"/>
      <c r="HMG96" s="350"/>
      <c r="HMH96" s="350"/>
      <c r="HMI96" s="350"/>
      <c r="HMJ96" s="350"/>
      <c r="HMK96" s="350"/>
      <c r="HML96" s="350"/>
      <c r="HMM96" s="350"/>
      <c r="HMN96" s="350"/>
      <c r="HMO96" s="350"/>
      <c r="HMP96" s="350"/>
      <c r="HMQ96" s="350"/>
      <c r="HMR96" s="350"/>
      <c r="HMS96" s="350"/>
      <c r="HMT96" s="350"/>
      <c r="HMU96" s="350"/>
      <c r="HMV96" s="350"/>
      <c r="HMW96" s="350"/>
      <c r="HMX96" s="350"/>
      <c r="HMY96" s="350"/>
      <c r="HMZ96" s="350"/>
      <c r="HNA96" s="350"/>
      <c r="HNB96" s="350"/>
      <c r="HNC96" s="350"/>
      <c r="HND96" s="350"/>
      <c r="HNE96" s="350"/>
      <c r="HNF96" s="350"/>
      <c r="HNG96" s="350"/>
      <c r="HNH96" s="350"/>
      <c r="HNI96" s="350"/>
      <c r="HNJ96" s="350"/>
      <c r="HNK96" s="350"/>
      <c r="HNL96" s="350"/>
      <c r="HNM96" s="350"/>
      <c r="HNN96" s="350"/>
      <c r="HNO96" s="350"/>
      <c r="HNP96" s="350"/>
      <c r="HNQ96" s="350"/>
      <c r="HNR96" s="350"/>
      <c r="HNS96" s="350"/>
      <c r="HNT96" s="350"/>
      <c r="HNU96" s="350"/>
      <c r="HNV96" s="350"/>
      <c r="HNW96" s="350"/>
      <c r="HNX96" s="350"/>
      <c r="HNY96" s="350"/>
      <c r="HNZ96" s="350"/>
      <c r="HOA96" s="350"/>
      <c r="HOB96" s="350"/>
      <c r="HOC96" s="350"/>
      <c r="HOD96" s="350"/>
      <c r="HOE96" s="350"/>
      <c r="HOF96" s="350"/>
      <c r="HOG96" s="350"/>
      <c r="HOH96" s="350"/>
      <c r="HOI96" s="350"/>
      <c r="HOJ96" s="350"/>
      <c r="HOK96" s="350"/>
      <c r="HOL96" s="350"/>
      <c r="HOM96" s="350"/>
      <c r="HON96" s="350"/>
      <c r="HOO96" s="350"/>
      <c r="HOP96" s="350"/>
      <c r="HOQ96" s="350"/>
      <c r="HOR96" s="350"/>
      <c r="HOS96" s="350"/>
      <c r="HOT96" s="350"/>
      <c r="HOU96" s="350"/>
      <c r="HOV96" s="350"/>
      <c r="HOW96" s="350"/>
      <c r="HOX96" s="350"/>
      <c r="HOY96" s="350"/>
      <c r="HOZ96" s="350"/>
      <c r="HPA96" s="350"/>
      <c r="HPB96" s="350"/>
      <c r="HPC96" s="350"/>
      <c r="HPD96" s="350"/>
      <c r="HPE96" s="350"/>
      <c r="HPF96" s="350"/>
      <c r="HPG96" s="350"/>
      <c r="HPH96" s="350"/>
      <c r="HPI96" s="350"/>
      <c r="HPJ96" s="350"/>
      <c r="HPK96" s="350"/>
      <c r="HPL96" s="350"/>
      <c r="HPM96" s="350"/>
      <c r="HPN96" s="350"/>
      <c r="HPO96" s="350"/>
      <c r="HPP96" s="350"/>
      <c r="HPQ96" s="350"/>
      <c r="HPR96" s="350"/>
      <c r="HPS96" s="350"/>
      <c r="HPT96" s="350"/>
      <c r="HPU96" s="350"/>
      <c r="HPV96" s="350"/>
      <c r="HPW96" s="350"/>
      <c r="HPX96" s="350"/>
      <c r="HPY96" s="350"/>
      <c r="HPZ96" s="350"/>
      <c r="HQA96" s="350"/>
      <c r="HQB96" s="350"/>
      <c r="HQC96" s="350"/>
      <c r="HQD96" s="350"/>
      <c r="HQE96" s="350"/>
      <c r="HQF96" s="350"/>
      <c r="HQG96" s="350"/>
      <c r="HQH96" s="350"/>
      <c r="HQI96" s="350"/>
      <c r="HQJ96" s="350"/>
      <c r="HQK96" s="350"/>
      <c r="HQL96" s="350"/>
      <c r="HQM96" s="350"/>
      <c r="HQN96" s="350"/>
      <c r="HQO96" s="350"/>
      <c r="HQP96" s="350"/>
      <c r="HQQ96" s="350"/>
      <c r="HQR96" s="350"/>
      <c r="HQS96" s="350"/>
      <c r="HQT96" s="350"/>
      <c r="HQU96" s="350"/>
      <c r="HQV96" s="350"/>
      <c r="HQW96" s="350"/>
      <c r="HQX96" s="350"/>
      <c r="HQY96" s="350"/>
      <c r="HQZ96" s="350"/>
      <c r="HRA96" s="350"/>
      <c r="HRB96" s="350"/>
      <c r="HRC96" s="350"/>
      <c r="HRD96" s="350"/>
      <c r="HRE96" s="350"/>
      <c r="HRF96" s="350"/>
      <c r="HRG96" s="350"/>
      <c r="HRH96" s="350"/>
      <c r="HRI96" s="350"/>
      <c r="HRJ96" s="350"/>
      <c r="HRK96" s="350"/>
      <c r="HRL96" s="350"/>
      <c r="HRM96" s="350"/>
      <c r="HRN96" s="350"/>
      <c r="HRO96" s="350"/>
      <c r="HRP96" s="350"/>
      <c r="HRQ96" s="350"/>
      <c r="HRR96" s="350"/>
      <c r="HRS96" s="350"/>
      <c r="HRT96" s="350"/>
      <c r="HRU96" s="350"/>
      <c r="HRV96" s="350"/>
      <c r="HRW96" s="350"/>
      <c r="HRX96" s="350"/>
      <c r="HRY96" s="350"/>
      <c r="HRZ96" s="350"/>
      <c r="HSA96" s="350"/>
      <c r="HSB96" s="350"/>
      <c r="HSC96" s="350"/>
      <c r="HSD96" s="350"/>
      <c r="HSE96" s="350"/>
      <c r="HSF96" s="350"/>
      <c r="HSG96" s="350"/>
      <c r="HSH96" s="350"/>
      <c r="HSI96" s="350"/>
      <c r="HSJ96" s="350"/>
      <c r="HSK96" s="350"/>
      <c r="HSL96" s="350"/>
      <c r="HSM96" s="350"/>
      <c r="HSN96" s="350"/>
      <c r="HSO96" s="350"/>
      <c r="HSP96" s="350"/>
      <c r="HSQ96" s="350"/>
      <c r="HSR96" s="350"/>
      <c r="HSS96" s="350"/>
      <c r="HST96" s="350"/>
      <c r="HSU96" s="350"/>
      <c r="HSV96" s="350"/>
      <c r="HSW96" s="350"/>
      <c r="HSX96" s="350"/>
      <c r="HSY96" s="350"/>
      <c r="HSZ96" s="350"/>
      <c r="HTA96" s="350"/>
      <c r="HTB96" s="350"/>
      <c r="HTC96" s="350"/>
      <c r="HTD96" s="350"/>
      <c r="HTE96" s="350"/>
      <c r="HTF96" s="350"/>
      <c r="HTG96" s="350"/>
      <c r="HTH96" s="350"/>
      <c r="HTI96" s="350"/>
      <c r="HTJ96" s="350"/>
      <c r="HTK96" s="350"/>
      <c r="HTL96" s="350"/>
      <c r="HTM96" s="350"/>
      <c r="HTN96" s="350"/>
      <c r="HTO96" s="350"/>
      <c r="HTP96" s="350"/>
      <c r="HTQ96" s="350"/>
      <c r="HTR96" s="350"/>
      <c r="HTS96" s="350"/>
      <c r="HTT96" s="350"/>
      <c r="HTU96" s="350"/>
      <c r="HTV96" s="350"/>
      <c r="HTW96" s="350"/>
      <c r="HTX96" s="350"/>
      <c r="HTY96" s="350"/>
      <c r="HTZ96" s="350"/>
      <c r="HUA96" s="350"/>
      <c r="HUB96" s="350"/>
      <c r="HUC96" s="350"/>
      <c r="HUD96" s="350"/>
      <c r="HUE96" s="350"/>
      <c r="HUF96" s="350"/>
      <c r="HUG96" s="350"/>
      <c r="HUH96" s="350"/>
      <c r="HUI96" s="350"/>
      <c r="HUJ96" s="350"/>
      <c r="HUK96" s="350"/>
      <c r="HUL96" s="350"/>
      <c r="HUM96" s="350"/>
      <c r="HUN96" s="350"/>
      <c r="HUO96" s="350"/>
      <c r="HUP96" s="350"/>
      <c r="HUQ96" s="350"/>
      <c r="HUR96" s="350"/>
      <c r="HUS96" s="350"/>
      <c r="HUT96" s="350"/>
      <c r="HUU96" s="350"/>
      <c r="HUV96" s="350"/>
      <c r="HUW96" s="350"/>
      <c r="HUX96" s="350"/>
      <c r="HUY96" s="350"/>
      <c r="HUZ96" s="350"/>
      <c r="HVA96" s="350"/>
      <c r="HVB96" s="350"/>
      <c r="HVC96" s="350"/>
      <c r="HVD96" s="350"/>
      <c r="HVE96" s="350"/>
      <c r="HVF96" s="350"/>
      <c r="HVG96" s="350"/>
      <c r="HVH96" s="350"/>
      <c r="HVI96" s="350"/>
      <c r="HVJ96" s="350"/>
      <c r="HVK96" s="350"/>
      <c r="HVL96" s="350"/>
      <c r="HVM96" s="350"/>
      <c r="HVN96" s="350"/>
      <c r="HVO96" s="350"/>
      <c r="HVP96" s="350"/>
      <c r="HVQ96" s="350"/>
      <c r="HVR96" s="350"/>
      <c r="HVS96" s="350"/>
      <c r="HVT96" s="350"/>
      <c r="HVU96" s="350"/>
      <c r="HVV96" s="350"/>
      <c r="HVW96" s="350"/>
      <c r="HVX96" s="350"/>
      <c r="HVY96" s="350"/>
      <c r="HVZ96" s="350"/>
      <c r="HWA96" s="350"/>
      <c r="HWB96" s="350"/>
      <c r="HWC96" s="350"/>
      <c r="HWD96" s="350"/>
      <c r="HWE96" s="350"/>
      <c r="HWF96" s="350"/>
      <c r="HWG96" s="350"/>
      <c r="HWH96" s="350"/>
      <c r="HWI96" s="350"/>
      <c r="HWJ96" s="350"/>
      <c r="HWK96" s="350"/>
      <c r="HWL96" s="350"/>
      <c r="HWM96" s="350"/>
      <c r="HWN96" s="350"/>
      <c r="HWO96" s="350"/>
      <c r="HWP96" s="350"/>
      <c r="HWQ96" s="350"/>
      <c r="HWR96" s="350"/>
      <c r="HWS96" s="350"/>
      <c r="HWT96" s="350"/>
      <c r="HWU96" s="350"/>
      <c r="HWV96" s="350"/>
      <c r="HWW96" s="350"/>
      <c r="HWX96" s="350"/>
      <c r="HWY96" s="350"/>
      <c r="HWZ96" s="350"/>
      <c r="HXA96" s="350"/>
      <c r="HXB96" s="350"/>
      <c r="HXC96" s="350"/>
      <c r="HXD96" s="350"/>
      <c r="HXE96" s="350"/>
      <c r="HXF96" s="350"/>
      <c r="HXG96" s="350"/>
      <c r="HXH96" s="350"/>
      <c r="HXI96" s="350"/>
      <c r="HXJ96" s="350"/>
      <c r="HXK96" s="350"/>
      <c r="HXL96" s="350"/>
      <c r="HXM96" s="350"/>
      <c r="HXN96" s="350"/>
      <c r="HXO96" s="350"/>
      <c r="HXP96" s="350"/>
      <c r="HXQ96" s="350"/>
      <c r="HXR96" s="350"/>
      <c r="HXS96" s="350"/>
      <c r="HXT96" s="350"/>
      <c r="HXU96" s="350"/>
      <c r="HXV96" s="350"/>
      <c r="HXW96" s="350"/>
      <c r="HXX96" s="350"/>
      <c r="HXY96" s="350"/>
      <c r="HXZ96" s="350"/>
      <c r="HYA96" s="350"/>
      <c r="HYB96" s="350"/>
      <c r="HYC96" s="350"/>
      <c r="HYD96" s="350"/>
      <c r="HYE96" s="350"/>
      <c r="HYF96" s="350"/>
      <c r="HYG96" s="350"/>
      <c r="HYH96" s="350"/>
      <c r="HYI96" s="350"/>
      <c r="HYJ96" s="350"/>
      <c r="HYK96" s="350"/>
      <c r="HYL96" s="350"/>
      <c r="HYM96" s="350"/>
      <c r="HYN96" s="350"/>
      <c r="HYO96" s="350"/>
      <c r="HYP96" s="350"/>
      <c r="HYQ96" s="350"/>
      <c r="HYR96" s="350"/>
      <c r="HYS96" s="350"/>
      <c r="HYT96" s="350"/>
      <c r="HYU96" s="350"/>
      <c r="HYV96" s="350"/>
      <c r="HYW96" s="350"/>
      <c r="HYX96" s="350"/>
      <c r="HYY96" s="350"/>
      <c r="HYZ96" s="350"/>
      <c r="HZA96" s="350"/>
      <c r="HZB96" s="350"/>
      <c r="HZC96" s="350"/>
      <c r="HZD96" s="350"/>
      <c r="HZE96" s="350"/>
      <c r="HZF96" s="350"/>
      <c r="HZG96" s="350"/>
      <c r="HZH96" s="350"/>
      <c r="HZI96" s="350"/>
      <c r="HZJ96" s="350"/>
      <c r="HZK96" s="350"/>
      <c r="HZL96" s="350"/>
      <c r="HZM96" s="350"/>
      <c r="HZN96" s="350"/>
      <c r="HZO96" s="350"/>
      <c r="HZP96" s="350"/>
      <c r="HZQ96" s="350"/>
      <c r="HZR96" s="350"/>
      <c r="HZS96" s="350"/>
      <c r="HZT96" s="350"/>
      <c r="HZU96" s="350"/>
      <c r="HZV96" s="350"/>
      <c r="HZW96" s="350"/>
      <c r="HZX96" s="350"/>
      <c r="HZY96" s="350"/>
      <c r="HZZ96" s="350"/>
      <c r="IAA96" s="350"/>
      <c r="IAB96" s="350"/>
      <c r="IAC96" s="350"/>
      <c r="IAD96" s="350"/>
      <c r="IAE96" s="350"/>
      <c r="IAF96" s="350"/>
      <c r="IAG96" s="350"/>
      <c r="IAH96" s="350"/>
      <c r="IAI96" s="350"/>
      <c r="IAJ96" s="350"/>
      <c r="IAK96" s="350"/>
      <c r="IAL96" s="350"/>
      <c r="IAM96" s="350"/>
      <c r="IAN96" s="350"/>
      <c r="IAO96" s="350"/>
      <c r="IAP96" s="350"/>
      <c r="IAQ96" s="350"/>
      <c r="IAR96" s="350"/>
      <c r="IAS96" s="350"/>
      <c r="IAT96" s="350"/>
      <c r="IAU96" s="350"/>
      <c r="IAV96" s="350"/>
      <c r="IAW96" s="350"/>
      <c r="IAX96" s="350"/>
      <c r="IAY96" s="350"/>
      <c r="IAZ96" s="350"/>
      <c r="IBA96" s="350"/>
      <c r="IBB96" s="350"/>
      <c r="IBC96" s="350"/>
      <c r="IBD96" s="350"/>
      <c r="IBE96" s="350"/>
      <c r="IBF96" s="350"/>
      <c r="IBG96" s="350"/>
      <c r="IBH96" s="350"/>
      <c r="IBI96" s="350"/>
      <c r="IBJ96" s="350"/>
      <c r="IBK96" s="350"/>
      <c r="IBL96" s="350"/>
      <c r="IBM96" s="350"/>
      <c r="IBN96" s="350"/>
      <c r="IBO96" s="350"/>
      <c r="IBP96" s="350"/>
      <c r="IBQ96" s="350"/>
      <c r="IBR96" s="350"/>
      <c r="IBS96" s="350"/>
      <c r="IBT96" s="350"/>
      <c r="IBU96" s="350"/>
      <c r="IBV96" s="350"/>
      <c r="IBW96" s="350"/>
      <c r="IBX96" s="350"/>
      <c r="IBY96" s="350"/>
      <c r="IBZ96" s="350"/>
      <c r="ICA96" s="350"/>
      <c r="ICB96" s="350"/>
      <c r="ICC96" s="350"/>
      <c r="ICD96" s="350"/>
      <c r="ICE96" s="350"/>
      <c r="ICF96" s="350"/>
      <c r="ICG96" s="350"/>
      <c r="ICH96" s="350"/>
      <c r="ICI96" s="350"/>
      <c r="ICJ96" s="350"/>
      <c r="ICK96" s="350"/>
      <c r="ICL96" s="350"/>
      <c r="ICM96" s="350"/>
      <c r="ICN96" s="350"/>
      <c r="ICO96" s="350"/>
      <c r="ICP96" s="350"/>
      <c r="ICQ96" s="350"/>
      <c r="ICR96" s="350"/>
      <c r="ICS96" s="350"/>
      <c r="ICT96" s="350"/>
      <c r="ICU96" s="350"/>
      <c r="ICV96" s="350"/>
      <c r="ICW96" s="350"/>
      <c r="ICX96" s="350"/>
      <c r="ICY96" s="350"/>
      <c r="ICZ96" s="350"/>
      <c r="IDA96" s="350"/>
      <c r="IDB96" s="350"/>
      <c r="IDC96" s="350"/>
      <c r="IDD96" s="350"/>
      <c r="IDE96" s="350"/>
      <c r="IDF96" s="350"/>
      <c r="IDG96" s="350"/>
      <c r="IDH96" s="350"/>
      <c r="IDI96" s="350"/>
      <c r="IDJ96" s="350"/>
      <c r="IDK96" s="350"/>
      <c r="IDL96" s="350"/>
      <c r="IDM96" s="350"/>
      <c r="IDN96" s="350"/>
      <c r="IDO96" s="350"/>
      <c r="IDP96" s="350"/>
      <c r="IDQ96" s="350"/>
      <c r="IDR96" s="350"/>
      <c r="IDS96" s="350"/>
      <c r="IDT96" s="350"/>
      <c r="IDU96" s="350"/>
      <c r="IDV96" s="350"/>
      <c r="IDW96" s="350"/>
      <c r="IDX96" s="350"/>
      <c r="IDY96" s="350"/>
      <c r="IDZ96" s="350"/>
      <c r="IEA96" s="350"/>
      <c r="IEB96" s="350"/>
      <c r="IEC96" s="350"/>
      <c r="IED96" s="350"/>
      <c r="IEE96" s="350"/>
      <c r="IEF96" s="350"/>
      <c r="IEG96" s="350"/>
      <c r="IEH96" s="350"/>
      <c r="IEI96" s="350"/>
      <c r="IEJ96" s="350"/>
      <c r="IEK96" s="350"/>
      <c r="IEL96" s="350"/>
      <c r="IEM96" s="350"/>
      <c r="IEN96" s="350"/>
      <c r="IEO96" s="350"/>
      <c r="IEP96" s="350"/>
      <c r="IEQ96" s="350"/>
      <c r="IER96" s="350"/>
      <c r="IES96" s="350"/>
      <c r="IET96" s="350"/>
      <c r="IEU96" s="350"/>
      <c r="IEV96" s="350"/>
      <c r="IEW96" s="350"/>
      <c r="IEX96" s="350"/>
      <c r="IEY96" s="350"/>
      <c r="IEZ96" s="350"/>
      <c r="IFA96" s="350"/>
      <c r="IFB96" s="350"/>
      <c r="IFC96" s="350"/>
      <c r="IFD96" s="350"/>
      <c r="IFE96" s="350"/>
      <c r="IFF96" s="350"/>
      <c r="IFG96" s="350"/>
      <c r="IFH96" s="350"/>
      <c r="IFI96" s="350"/>
      <c r="IFJ96" s="350"/>
      <c r="IFK96" s="350"/>
      <c r="IFL96" s="350"/>
      <c r="IFM96" s="350"/>
      <c r="IFN96" s="350"/>
      <c r="IFO96" s="350"/>
      <c r="IFP96" s="350"/>
      <c r="IFQ96" s="350"/>
      <c r="IFR96" s="350"/>
      <c r="IFS96" s="350"/>
      <c r="IFT96" s="350"/>
      <c r="IFU96" s="350"/>
      <c r="IFV96" s="350"/>
      <c r="IFW96" s="350"/>
      <c r="IFX96" s="350"/>
      <c r="IFY96" s="350"/>
      <c r="IFZ96" s="350"/>
      <c r="IGA96" s="350"/>
      <c r="IGB96" s="350"/>
      <c r="IGC96" s="350"/>
      <c r="IGD96" s="350"/>
      <c r="IGE96" s="350"/>
      <c r="IGF96" s="350"/>
      <c r="IGG96" s="350"/>
      <c r="IGH96" s="350"/>
      <c r="IGI96" s="350"/>
      <c r="IGJ96" s="350"/>
      <c r="IGK96" s="350"/>
      <c r="IGL96" s="350"/>
      <c r="IGM96" s="350"/>
      <c r="IGN96" s="350"/>
      <c r="IGO96" s="350"/>
      <c r="IGP96" s="350"/>
      <c r="IGQ96" s="350"/>
      <c r="IGR96" s="350"/>
      <c r="IGS96" s="350"/>
      <c r="IGT96" s="350"/>
      <c r="IGU96" s="350"/>
      <c r="IGV96" s="350"/>
      <c r="IGW96" s="350"/>
      <c r="IGX96" s="350"/>
      <c r="IGY96" s="350"/>
      <c r="IGZ96" s="350"/>
      <c r="IHA96" s="350"/>
      <c r="IHB96" s="350"/>
      <c r="IHC96" s="350"/>
      <c r="IHD96" s="350"/>
      <c r="IHE96" s="350"/>
      <c r="IHF96" s="350"/>
      <c r="IHG96" s="350"/>
      <c r="IHH96" s="350"/>
      <c r="IHI96" s="350"/>
      <c r="IHJ96" s="350"/>
      <c r="IHK96" s="350"/>
      <c r="IHL96" s="350"/>
      <c r="IHM96" s="350"/>
      <c r="IHN96" s="350"/>
      <c r="IHO96" s="350"/>
      <c r="IHP96" s="350"/>
      <c r="IHQ96" s="350"/>
      <c r="IHR96" s="350"/>
      <c r="IHS96" s="350"/>
      <c r="IHT96" s="350"/>
      <c r="IHU96" s="350"/>
      <c r="IHV96" s="350"/>
      <c r="IHW96" s="350"/>
      <c r="IHX96" s="350"/>
      <c r="IHY96" s="350"/>
      <c r="IHZ96" s="350"/>
      <c r="IIA96" s="350"/>
      <c r="IIB96" s="350"/>
      <c r="IIC96" s="350"/>
      <c r="IID96" s="350"/>
      <c r="IIE96" s="350"/>
      <c r="IIF96" s="350"/>
      <c r="IIG96" s="350"/>
      <c r="IIH96" s="350"/>
      <c r="III96" s="350"/>
      <c r="IIJ96" s="350"/>
      <c r="IIK96" s="350"/>
      <c r="IIL96" s="350"/>
      <c r="IIM96" s="350"/>
      <c r="IIN96" s="350"/>
      <c r="IIO96" s="350"/>
      <c r="IIP96" s="350"/>
      <c r="IIQ96" s="350"/>
      <c r="IIR96" s="350"/>
      <c r="IIS96" s="350"/>
      <c r="IIT96" s="350"/>
      <c r="IIU96" s="350"/>
      <c r="IIV96" s="350"/>
      <c r="IIW96" s="350"/>
      <c r="IIX96" s="350"/>
      <c r="IIY96" s="350"/>
      <c r="IIZ96" s="350"/>
      <c r="IJA96" s="350"/>
      <c r="IJB96" s="350"/>
      <c r="IJC96" s="350"/>
      <c r="IJD96" s="350"/>
      <c r="IJE96" s="350"/>
      <c r="IJF96" s="350"/>
      <c r="IJG96" s="350"/>
      <c r="IJH96" s="350"/>
      <c r="IJI96" s="350"/>
      <c r="IJJ96" s="350"/>
      <c r="IJK96" s="350"/>
      <c r="IJL96" s="350"/>
      <c r="IJM96" s="350"/>
      <c r="IJN96" s="350"/>
      <c r="IJO96" s="350"/>
      <c r="IJP96" s="350"/>
      <c r="IJQ96" s="350"/>
      <c r="IJR96" s="350"/>
      <c r="IJS96" s="350"/>
      <c r="IJT96" s="350"/>
      <c r="IJU96" s="350"/>
      <c r="IJV96" s="350"/>
      <c r="IJW96" s="350"/>
      <c r="IJX96" s="350"/>
      <c r="IJY96" s="350"/>
      <c r="IJZ96" s="350"/>
      <c r="IKA96" s="350"/>
      <c r="IKB96" s="350"/>
      <c r="IKC96" s="350"/>
      <c r="IKD96" s="350"/>
      <c r="IKE96" s="350"/>
      <c r="IKF96" s="350"/>
      <c r="IKG96" s="350"/>
      <c r="IKH96" s="350"/>
      <c r="IKI96" s="350"/>
      <c r="IKJ96" s="350"/>
      <c r="IKK96" s="350"/>
      <c r="IKL96" s="350"/>
      <c r="IKM96" s="350"/>
      <c r="IKN96" s="350"/>
      <c r="IKO96" s="350"/>
      <c r="IKP96" s="350"/>
      <c r="IKQ96" s="350"/>
      <c r="IKR96" s="350"/>
      <c r="IKS96" s="350"/>
      <c r="IKT96" s="350"/>
      <c r="IKU96" s="350"/>
      <c r="IKV96" s="350"/>
      <c r="IKW96" s="350"/>
      <c r="IKX96" s="350"/>
      <c r="IKY96" s="350"/>
      <c r="IKZ96" s="350"/>
      <c r="ILA96" s="350"/>
      <c r="ILB96" s="350"/>
      <c r="ILC96" s="350"/>
      <c r="ILD96" s="350"/>
      <c r="ILE96" s="350"/>
      <c r="ILF96" s="350"/>
      <c r="ILG96" s="350"/>
      <c r="ILH96" s="350"/>
      <c r="ILI96" s="350"/>
      <c r="ILJ96" s="350"/>
      <c r="ILK96" s="350"/>
      <c r="ILL96" s="350"/>
      <c r="ILM96" s="350"/>
      <c r="ILN96" s="350"/>
      <c r="ILO96" s="350"/>
      <c r="ILP96" s="350"/>
      <c r="ILQ96" s="350"/>
      <c r="ILR96" s="350"/>
      <c r="ILS96" s="350"/>
      <c r="ILT96" s="350"/>
      <c r="ILU96" s="350"/>
      <c r="ILV96" s="350"/>
      <c r="ILW96" s="350"/>
      <c r="ILX96" s="350"/>
      <c r="ILY96" s="350"/>
      <c r="ILZ96" s="350"/>
      <c r="IMA96" s="350"/>
      <c r="IMB96" s="350"/>
      <c r="IMC96" s="350"/>
      <c r="IMD96" s="350"/>
      <c r="IME96" s="350"/>
      <c r="IMF96" s="350"/>
      <c r="IMG96" s="350"/>
      <c r="IMH96" s="350"/>
      <c r="IMI96" s="350"/>
      <c r="IMJ96" s="350"/>
      <c r="IMK96" s="350"/>
      <c r="IML96" s="350"/>
      <c r="IMM96" s="350"/>
      <c r="IMN96" s="350"/>
      <c r="IMO96" s="350"/>
      <c r="IMP96" s="350"/>
      <c r="IMQ96" s="350"/>
      <c r="IMR96" s="350"/>
      <c r="IMS96" s="350"/>
      <c r="IMT96" s="350"/>
      <c r="IMU96" s="350"/>
      <c r="IMV96" s="350"/>
      <c r="IMW96" s="350"/>
      <c r="IMX96" s="350"/>
      <c r="IMY96" s="350"/>
      <c r="IMZ96" s="350"/>
      <c r="INA96" s="350"/>
      <c r="INB96" s="350"/>
      <c r="INC96" s="350"/>
      <c r="IND96" s="350"/>
      <c r="INE96" s="350"/>
      <c r="INF96" s="350"/>
      <c r="ING96" s="350"/>
      <c r="INH96" s="350"/>
      <c r="INI96" s="350"/>
      <c r="INJ96" s="350"/>
      <c r="INK96" s="350"/>
      <c r="INL96" s="350"/>
      <c r="INM96" s="350"/>
      <c r="INN96" s="350"/>
      <c r="INO96" s="350"/>
      <c r="INP96" s="350"/>
      <c r="INQ96" s="350"/>
      <c r="INR96" s="350"/>
      <c r="INS96" s="350"/>
      <c r="INT96" s="350"/>
      <c r="INU96" s="350"/>
      <c r="INV96" s="350"/>
      <c r="INW96" s="350"/>
      <c r="INX96" s="350"/>
      <c r="INY96" s="350"/>
      <c r="INZ96" s="350"/>
      <c r="IOA96" s="350"/>
      <c r="IOB96" s="350"/>
      <c r="IOC96" s="350"/>
      <c r="IOD96" s="350"/>
      <c r="IOE96" s="350"/>
      <c r="IOF96" s="350"/>
      <c r="IOG96" s="350"/>
      <c r="IOH96" s="350"/>
      <c r="IOI96" s="350"/>
      <c r="IOJ96" s="350"/>
      <c r="IOK96" s="350"/>
      <c r="IOL96" s="350"/>
      <c r="IOM96" s="350"/>
      <c r="ION96" s="350"/>
      <c r="IOO96" s="350"/>
      <c r="IOP96" s="350"/>
      <c r="IOQ96" s="350"/>
      <c r="IOR96" s="350"/>
      <c r="IOS96" s="350"/>
      <c r="IOT96" s="350"/>
      <c r="IOU96" s="350"/>
      <c r="IOV96" s="350"/>
      <c r="IOW96" s="350"/>
      <c r="IOX96" s="350"/>
      <c r="IOY96" s="350"/>
      <c r="IOZ96" s="350"/>
      <c r="IPA96" s="350"/>
      <c r="IPB96" s="350"/>
      <c r="IPC96" s="350"/>
      <c r="IPD96" s="350"/>
      <c r="IPE96" s="350"/>
      <c r="IPF96" s="350"/>
      <c r="IPG96" s="350"/>
      <c r="IPH96" s="350"/>
      <c r="IPI96" s="350"/>
      <c r="IPJ96" s="350"/>
      <c r="IPK96" s="350"/>
      <c r="IPL96" s="350"/>
      <c r="IPM96" s="350"/>
      <c r="IPN96" s="350"/>
      <c r="IPO96" s="350"/>
      <c r="IPP96" s="350"/>
      <c r="IPQ96" s="350"/>
      <c r="IPR96" s="350"/>
      <c r="IPS96" s="350"/>
      <c r="IPT96" s="350"/>
      <c r="IPU96" s="350"/>
      <c r="IPV96" s="350"/>
      <c r="IPW96" s="350"/>
      <c r="IPX96" s="350"/>
      <c r="IPY96" s="350"/>
      <c r="IPZ96" s="350"/>
      <c r="IQA96" s="350"/>
      <c r="IQB96" s="350"/>
      <c r="IQC96" s="350"/>
      <c r="IQD96" s="350"/>
      <c r="IQE96" s="350"/>
      <c r="IQF96" s="350"/>
      <c r="IQG96" s="350"/>
      <c r="IQH96" s="350"/>
      <c r="IQI96" s="350"/>
      <c r="IQJ96" s="350"/>
      <c r="IQK96" s="350"/>
      <c r="IQL96" s="350"/>
      <c r="IQM96" s="350"/>
      <c r="IQN96" s="350"/>
      <c r="IQO96" s="350"/>
      <c r="IQP96" s="350"/>
      <c r="IQQ96" s="350"/>
      <c r="IQR96" s="350"/>
      <c r="IQS96" s="350"/>
      <c r="IQT96" s="350"/>
      <c r="IQU96" s="350"/>
      <c r="IQV96" s="350"/>
      <c r="IQW96" s="350"/>
      <c r="IQX96" s="350"/>
      <c r="IQY96" s="350"/>
      <c r="IQZ96" s="350"/>
      <c r="IRA96" s="350"/>
      <c r="IRB96" s="350"/>
      <c r="IRC96" s="350"/>
      <c r="IRD96" s="350"/>
      <c r="IRE96" s="350"/>
      <c r="IRF96" s="350"/>
      <c r="IRG96" s="350"/>
      <c r="IRH96" s="350"/>
      <c r="IRI96" s="350"/>
      <c r="IRJ96" s="350"/>
      <c r="IRK96" s="350"/>
      <c r="IRL96" s="350"/>
      <c r="IRM96" s="350"/>
      <c r="IRN96" s="350"/>
      <c r="IRO96" s="350"/>
      <c r="IRP96" s="350"/>
      <c r="IRQ96" s="350"/>
      <c r="IRR96" s="350"/>
      <c r="IRS96" s="350"/>
      <c r="IRT96" s="350"/>
      <c r="IRU96" s="350"/>
      <c r="IRV96" s="350"/>
      <c r="IRW96" s="350"/>
      <c r="IRX96" s="350"/>
      <c r="IRY96" s="350"/>
      <c r="IRZ96" s="350"/>
      <c r="ISA96" s="350"/>
      <c r="ISB96" s="350"/>
      <c r="ISC96" s="350"/>
      <c r="ISD96" s="350"/>
      <c r="ISE96" s="350"/>
      <c r="ISF96" s="350"/>
      <c r="ISG96" s="350"/>
      <c r="ISH96" s="350"/>
      <c r="ISI96" s="350"/>
      <c r="ISJ96" s="350"/>
      <c r="ISK96" s="350"/>
      <c r="ISL96" s="350"/>
      <c r="ISM96" s="350"/>
      <c r="ISN96" s="350"/>
      <c r="ISO96" s="350"/>
      <c r="ISP96" s="350"/>
      <c r="ISQ96" s="350"/>
      <c r="ISR96" s="350"/>
      <c r="ISS96" s="350"/>
      <c r="IST96" s="350"/>
      <c r="ISU96" s="350"/>
      <c r="ISV96" s="350"/>
      <c r="ISW96" s="350"/>
      <c r="ISX96" s="350"/>
      <c r="ISY96" s="350"/>
      <c r="ISZ96" s="350"/>
      <c r="ITA96" s="350"/>
      <c r="ITB96" s="350"/>
      <c r="ITC96" s="350"/>
      <c r="ITD96" s="350"/>
      <c r="ITE96" s="350"/>
      <c r="ITF96" s="350"/>
      <c r="ITG96" s="350"/>
      <c r="ITH96" s="350"/>
      <c r="ITI96" s="350"/>
      <c r="ITJ96" s="350"/>
      <c r="ITK96" s="350"/>
      <c r="ITL96" s="350"/>
      <c r="ITM96" s="350"/>
      <c r="ITN96" s="350"/>
      <c r="ITO96" s="350"/>
      <c r="ITP96" s="350"/>
      <c r="ITQ96" s="350"/>
      <c r="ITR96" s="350"/>
      <c r="ITS96" s="350"/>
      <c r="ITT96" s="350"/>
      <c r="ITU96" s="350"/>
      <c r="ITV96" s="350"/>
      <c r="ITW96" s="350"/>
      <c r="ITX96" s="350"/>
      <c r="ITY96" s="350"/>
      <c r="ITZ96" s="350"/>
      <c r="IUA96" s="350"/>
      <c r="IUB96" s="350"/>
      <c r="IUC96" s="350"/>
      <c r="IUD96" s="350"/>
      <c r="IUE96" s="350"/>
      <c r="IUF96" s="350"/>
      <c r="IUG96" s="350"/>
      <c r="IUH96" s="350"/>
      <c r="IUI96" s="350"/>
      <c r="IUJ96" s="350"/>
      <c r="IUK96" s="350"/>
      <c r="IUL96" s="350"/>
      <c r="IUM96" s="350"/>
      <c r="IUN96" s="350"/>
      <c r="IUO96" s="350"/>
      <c r="IUP96" s="350"/>
      <c r="IUQ96" s="350"/>
      <c r="IUR96" s="350"/>
      <c r="IUS96" s="350"/>
      <c r="IUT96" s="350"/>
      <c r="IUU96" s="350"/>
      <c r="IUV96" s="350"/>
      <c r="IUW96" s="350"/>
      <c r="IUX96" s="350"/>
      <c r="IUY96" s="350"/>
      <c r="IUZ96" s="350"/>
      <c r="IVA96" s="350"/>
      <c r="IVB96" s="350"/>
      <c r="IVC96" s="350"/>
      <c r="IVD96" s="350"/>
      <c r="IVE96" s="350"/>
      <c r="IVF96" s="350"/>
      <c r="IVG96" s="350"/>
      <c r="IVH96" s="350"/>
      <c r="IVI96" s="350"/>
      <c r="IVJ96" s="350"/>
      <c r="IVK96" s="350"/>
      <c r="IVL96" s="350"/>
      <c r="IVM96" s="350"/>
      <c r="IVN96" s="350"/>
      <c r="IVO96" s="350"/>
      <c r="IVP96" s="350"/>
      <c r="IVQ96" s="350"/>
      <c r="IVR96" s="350"/>
      <c r="IVS96" s="350"/>
      <c r="IVT96" s="350"/>
      <c r="IVU96" s="350"/>
      <c r="IVV96" s="350"/>
      <c r="IVW96" s="350"/>
      <c r="IVX96" s="350"/>
      <c r="IVY96" s="350"/>
      <c r="IVZ96" s="350"/>
      <c r="IWA96" s="350"/>
      <c r="IWB96" s="350"/>
      <c r="IWC96" s="350"/>
      <c r="IWD96" s="350"/>
      <c r="IWE96" s="350"/>
      <c r="IWF96" s="350"/>
      <c r="IWG96" s="350"/>
      <c r="IWH96" s="350"/>
      <c r="IWI96" s="350"/>
      <c r="IWJ96" s="350"/>
      <c r="IWK96" s="350"/>
      <c r="IWL96" s="350"/>
      <c r="IWM96" s="350"/>
      <c r="IWN96" s="350"/>
      <c r="IWO96" s="350"/>
      <c r="IWP96" s="350"/>
      <c r="IWQ96" s="350"/>
      <c r="IWR96" s="350"/>
      <c r="IWS96" s="350"/>
      <c r="IWT96" s="350"/>
      <c r="IWU96" s="350"/>
      <c r="IWV96" s="350"/>
      <c r="IWW96" s="350"/>
      <c r="IWX96" s="350"/>
      <c r="IWY96" s="350"/>
      <c r="IWZ96" s="350"/>
      <c r="IXA96" s="350"/>
      <c r="IXB96" s="350"/>
      <c r="IXC96" s="350"/>
      <c r="IXD96" s="350"/>
      <c r="IXE96" s="350"/>
      <c r="IXF96" s="350"/>
      <c r="IXG96" s="350"/>
      <c r="IXH96" s="350"/>
      <c r="IXI96" s="350"/>
      <c r="IXJ96" s="350"/>
      <c r="IXK96" s="350"/>
      <c r="IXL96" s="350"/>
      <c r="IXM96" s="350"/>
      <c r="IXN96" s="350"/>
      <c r="IXO96" s="350"/>
      <c r="IXP96" s="350"/>
      <c r="IXQ96" s="350"/>
      <c r="IXR96" s="350"/>
      <c r="IXS96" s="350"/>
      <c r="IXT96" s="350"/>
      <c r="IXU96" s="350"/>
      <c r="IXV96" s="350"/>
      <c r="IXW96" s="350"/>
      <c r="IXX96" s="350"/>
      <c r="IXY96" s="350"/>
      <c r="IXZ96" s="350"/>
      <c r="IYA96" s="350"/>
      <c r="IYB96" s="350"/>
      <c r="IYC96" s="350"/>
      <c r="IYD96" s="350"/>
      <c r="IYE96" s="350"/>
      <c r="IYF96" s="350"/>
      <c r="IYG96" s="350"/>
      <c r="IYH96" s="350"/>
      <c r="IYI96" s="350"/>
      <c r="IYJ96" s="350"/>
      <c r="IYK96" s="350"/>
      <c r="IYL96" s="350"/>
      <c r="IYM96" s="350"/>
      <c r="IYN96" s="350"/>
      <c r="IYO96" s="350"/>
      <c r="IYP96" s="350"/>
      <c r="IYQ96" s="350"/>
      <c r="IYR96" s="350"/>
      <c r="IYS96" s="350"/>
      <c r="IYT96" s="350"/>
      <c r="IYU96" s="350"/>
      <c r="IYV96" s="350"/>
      <c r="IYW96" s="350"/>
      <c r="IYX96" s="350"/>
      <c r="IYY96" s="350"/>
      <c r="IYZ96" s="350"/>
      <c r="IZA96" s="350"/>
      <c r="IZB96" s="350"/>
      <c r="IZC96" s="350"/>
      <c r="IZD96" s="350"/>
      <c r="IZE96" s="350"/>
      <c r="IZF96" s="350"/>
      <c r="IZG96" s="350"/>
      <c r="IZH96" s="350"/>
      <c r="IZI96" s="350"/>
      <c r="IZJ96" s="350"/>
      <c r="IZK96" s="350"/>
      <c r="IZL96" s="350"/>
      <c r="IZM96" s="350"/>
      <c r="IZN96" s="350"/>
      <c r="IZO96" s="350"/>
      <c r="IZP96" s="350"/>
      <c r="IZQ96" s="350"/>
      <c r="IZR96" s="350"/>
      <c r="IZS96" s="350"/>
      <c r="IZT96" s="350"/>
      <c r="IZU96" s="350"/>
      <c r="IZV96" s="350"/>
      <c r="IZW96" s="350"/>
      <c r="IZX96" s="350"/>
      <c r="IZY96" s="350"/>
      <c r="IZZ96" s="350"/>
      <c r="JAA96" s="350"/>
      <c r="JAB96" s="350"/>
      <c r="JAC96" s="350"/>
      <c r="JAD96" s="350"/>
      <c r="JAE96" s="350"/>
      <c r="JAF96" s="350"/>
      <c r="JAG96" s="350"/>
      <c r="JAH96" s="350"/>
      <c r="JAI96" s="350"/>
      <c r="JAJ96" s="350"/>
      <c r="JAK96" s="350"/>
      <c r="JAL96" s="350"/>
      <c r="JAM96" s="350"/>
      <c r="JAN96" s="350"/>
      <c r="JAO96" s="350"/>
      <c r="JAP96" s="350"/>
      <c r="JAQ96" s="350"/>
      <c r="JAR96" s="350"/>
      <c r="JAS96" s="350"/>
      <c r="JAT96" s="350"/>
      <c r="JAU96" s="350"/>
      <c r="JAV96" s="350"/>
      <c r="JAW96" s="350"/>
      <c r="JAX96" s="350"/>
      <c r="JAY96" s="350"/>
      <c r="JAZ96" s="350"/>
      <c r="JBA96" s="350"/>
      <c r="JBB96" s="350"/>
      <c r="JBC96" s="350"/>
      <c r="JBD96" s="350"/>
      <c r="JBE96" s="350"/>
      <c r="JBF96" s="350"/>
      <c r="JBG96" s="350"/>
      <c r="JBH96" s="350"/>
      <c r="JBI96" s="350"/>
      <c r="JBJ96" s="350"/>
      <c r="JBK96" s="350"/>
      <c r="JBL96" s="350"/>
      <c r="JBM96" s="350"/>
      <c r="JBN96" s="350"/>
      <c r="JBO96" s="350"/>
      <c r="JBP96" s="350"/>
      <c r="JBQ96" s="350"/>
      <c r="JBR96" s="350"/>
      <c r="JBS96" s="350"/>
      <c r="JBT96" s="350"/>
      <c r="JBU96" s="350"/>
      <c r="JBV96" s="350"/>
      <c r="JBW96" s="350"/>
      <c r="JBX96" s="350"/>
      <c r="JBY96" s="350"/>
      <c r="JBZ96" s="350"/>
      <c r="JCA96" s="350"/>
      <c r="JCB96" s="350"/>
      <c r="JCC96" s="350"/>
      <c r="JCD96" s="350"/>
      <c r="JCE96" s="350"/>
      <c r="JCF96" s="350"/>
      <c r="JCG96" s="350"/>
      <c r="JCH96" s="350"/>
      <c r="JCI96" s="350"/>
      <c r="JCJ96" s="350"/>
      <c r="JCK96" s="350"/>
      <c r="JCL96" s="350"/>
      <c r="JCM96" s="350"/>
      <c r="JCN96" s="350"/>
      <c r="JCO96" s="350"/>
      <c r="JCP96" s="350"/>
      <c r="JCQ96" s="350"/>
      <c r="JCR96" s="350"/>
      <c r="JCS96" s="350"/>
      <c r="JCT96" s="350"/>
      <c r="JCU96" s="350"/>
      <c r="JCV96" s="350"/>
      <c r="JCW96" s="350"/>
      <c r="JCX96" s="350"/>
      <c r="JCY96" s="350"/>
      <c r="JCZ96" s="350"/>
      <c r="JDA96" s="350"/>
      <c r="JDB96" s="350"/>
      <c r="JDC96" s="350"/>
      <c r="JDD96" s="350"/>
      <c r="JDE96" s="350"/>
      <c r="JDF96" s="350"/>
      <c r="JDG96" s="350"/>
      <c r="JDH96" s="350"/>
      <c r="JDI96" s="350"/>
      <c r="JDJ96" s="350"/>
      <c r="JDK96" s="350"/>
      <c r="JDL96" s="350"/>
      <c r="JDM96" s="350"/>
      <c r="JDN96" s="350"/>
      <c r="JDO96" s="350"/>
      <c r="JDP96" s="350"/>
      <c r="JDQ96" s="350"/>
      <c r="JDR96" s="350"/>
      <c r="JDS96" s="350"/>
      <c r="JDT96" s="350"/>
      <c r="JDU96" s="350"/>
      <c r="JDV96" s="350"/>
      <c r="JDW96" s="350"/>
      <c r="JDX96" s="350"/>
      <c r="JDY96" s="350"/>
      <c r="JDZ96" s="350"/>
      <c r="JEA96" s="350"/>
      <c r="JEB96" s="350"/>
      <c r="JEC96" s="350"/>
      <c r="JED96" s="350"/>
      <c r="JEE96" s="350"/>
      <c r="JEF96" s="350"/>
      <c r="JEG96" s="350"/>
      <c r="JEH96" s="350"/>
      <c r="JEI96" s="350"/>
      <c r="JEJ96" s="350"/>
      <c r="JEK96" s="350"/>
      <c r="JEL96" s="350"/>
      <c r="JEM96" s="350"/>
      <c r="JEN96" s="350"/>
      <c r="JEO96" s="350"/>
      <c r="JEP96" s="350"/>
      <c r="JEQ96" s="350"/>
      <c r="JER96" s="350"/>
      <c r="JES96" s="350"/>
      <c r="JET96" s="350"/>
      <c r="JEU96" s="350"/>
      <c r="JEV96" s="350"/>
      <c r="JEW96" s="350"/>
      <c r="JEX96" s="350"/>
      <c r="JEY96" s="350"/>
      <c r="JEZ96" s="350"/>
      <c r="JFA96" s="350"/>
      <c r="JFB96" s="350"/>
      <c r="JFC96" s="350"/>
      <c r="JFD96" s="350"/>
      <c r="JFE96" s="350"/>
      <c r="JFF96" s="350"/>
      <c r="JFG96" s="350"/>
      <c r="JFH96" s="350"/>
      <c r="JFI96" s="350"/>
      <c r="JFJ96" s="350"/>
      <c r="JFK96" s="350"/>
      <c r="JFL96" s="350"/>
      <c r="JFM96" s="350"/>
      <c r="JFN96" s="350"/>
      <c r="JFO96" s="350"/>
      <c r="JFP96" s="350"/>
      <c r="JFQ96" s="350"/>
      <c r="JFR96" s="350"/>
      <c r="JFS96" s="350"/>
      <c r="JFT96" s="350"/>
      <c r="JFU96" s="350"/>
      <c r="JFV96" s="350"/>
      <c r="JFW96" s="350"/>
      <c r="JFX96" s="350"/>
      <c r="JFY96" s="350"/>
      <c r="JFZ96" s="350"/>
      <c r="JGA96" s="350"/>
      <c r="JGB96" s="350"/>
      <c r="JGC96" s="350"/>
      <c r="JGD96" s="350"/>
      <c r="JGE96" s="350"/>
      <c r="JGF96" s="350"/>
      <c r="JGG96" s="350"/>
      <c r="JGH96" s="350"/>
      <c r="JGI96" s="350"/>
      <c r="JGJ96" s="350"/>
      <c r="JGK96" s="350"/>
      <c r="JGL96" s="350"/>
      <c r="JGM96" s="350"/>
      <c r="JGN96" s="350"/>
      <c r="JGO96" s="350"/>
      <c r="JGP96" s="350"/>
      <c r="JGQ96" s="350"/>
      <c r="JGR96" s="350"/>
      <c r="JGS96" s="350"/>
      <c r="JGT96" s="350"/>
      <c r="JGU96" s="350"/>
      <c r="JGV96" s="350"/>
      <c r="JGW96" s="350"/>
      <c r="JGX96" s="350"/>
      <c r="JGY96" s="350"/>
      <c r="JGZ96" s="350"/>
      <c r="JHA96" s="350"/>
      <c r="JHB96" s="350"/>
      <c r="JHC96" s="350"/>
      <c r="JHD96" s="350"/>
      <c r="JHE96" s="350"/>
      <c r="JHF96" s="350"/>
      <c r="JHG96" s="350"/>
      <c r="JHH96" s="350"/>
      <c r="JHI96" s="350"/>
      <c r="JHJ96" s="350"/>
      <c r="JHK96" s="350"/>
      <c r="JHL96" s="350"/>
      <c r="JHM96" s="350"/>
      <c r="JHN96" s="350"/>
      <c r="JHO96" s="350"/>
      <c r="JHP96" s="350"/>
      <c r="JHQ96" s="350"/>
      <c r="JHR96" s="350"/>
      <c r="JHS96" s="350"/>
      <c r="JHT96" s="350"/>
      <c r="JHU96" s="350"/>
      <c r="JHV96" s="350"/>
      <c r="JHW96" s="350"/>
      <c r="JHX96" s="350"/>
      <c r="JHY96" s="350"/>
      <c r="JHZ96" s="350"/>
      <c r="JIA96" s="350"/>
      <c r="JIB96" s="350"/>
      <c r="JIC96" s="350"/>
      <c r="JID96" s="350"/>
      <c r="JIE96" s="350"/>
      <c r="JIF96" s="350"/>
      <c r="JIG96" s="350"/>
      <c r="JIH96" s="350"/>
      <c r="JII96" s="350"/>
      <c r="JIJ96" s="350"/>
      <c r="JIK96" s="350"/>
      <c r="JIL96" s="350"/>
      <c r="JIM96" s="350"/>
      <c r="JIN96" s="350"/>
      <c r="JIO96" s="350"/>
      <c r="JIP96" s="350"/>
      <c r="JIQ96" s="350"/>
      <c r="JIR96" s="350"/>
      <c r="JIS96" s="350"/>
      <c r="JIT96" s="350"/>
      <c r="JIU96" s="350"/>
      <c r="JIV96" s="350"/>
      <c r="JIW96" s="350"/>
      <c r="JIX96" s="350"/>
      <c r="JIY96" s="350"/>
      <c r="JIZ96" s="350"/>
      <c r="JJA96" s="350"/>
      <c r="JJB96" s="350"/>
      <c r="JJC96" s="350"/>
      <c r="JJD96" s="350"/>
      <c r="JJE96" s="350"/>
      <c r="JJF96" s="350"/>
      <c r="JJG96" s="350"/>
      <c r="JJH96" s="350"/>
      <c r="JJI96" s="350"/>
      <c r="JJJ96" s="350"/>
      <c r="JJK96" s="350"/>
      <c r="JJL96" s="350"/>
      <c r="JJM96" s="350"/>
      <c r="JJN96" s="350"/>
      <c r="JJO96" s="350"/>
      <c r="JJP96" s="350"/>
      <c r="JJQ96" s="350"/>
      <c r="JJR96" s="350"/>
      <c r="JJS96" s="350"/>
      <c r="JJT96" s="350"/>
      <c r="JJU96" s="350"/>
      <c r="JJV96" s="350"/>
      <c r="JJW96" s="350"/>
      <c r="JJX96" s="350"/>
      <c r="JJY96" s="350"/>
      <c r="JJZ96" s="350"/>
      <c r="JKA96" s="350"/>
      <c r="JKB96" s="350"/>
      <c r="JKC96" s="350"/>
      <c r="JKD96" s="350"/>
      <c r="JKE96" s="350"/>
      <c r="JKF96" s="350"/>
      <c r="JKG96" s="350"/>
      <c r="JKH96" s="350"/>
      <c r="JKI96" s="350"/>
      <c r="JKJ96" s="350"/>
      <c r="JKK96" s="350"/>
      <c r="JKL96" s="350"/>
      <c r="JKM96" s="350"/>
      <c r="JKN96" s="350"/>
      <c r="JKO96" s="350"/>
      <c r="JKP96" s="350"/>
      <c r="JKQ96" s="350"/>
      <c r="JKR96" s="350"/>
      <c r="JKS96" s="350"/>
      <c r="JKT96" s="350"/>
      <c r="JKU96" s="350"/>
      <c r="JKV96" s="350"/>
      <c r="JKW96" s="350"/>
      <c r="JKX96" s="350"/>
      <c r="JKY96" s="350"/>
      <c r="JKZ96" s="350"/>
      <c r="JLA96" s="350"/>
      <c r="JLB96" s="350"/>
      <c r="JLC96" s="350"/>
      <c r="JLD96" s="350"/>
      <c r="JLE96" s="350"/>
      <c r="JLF96" s="350"/>
      <c r="JLG96" s="350"/>
      <c r="JLH96" s="350"/>
      <c r="JLI96" s="350"/>
      <c r="JLJ96" s="350"/>
      <c r="JLK96" s="350"/>
      <c r="JLL96" s="350"/>
      <c r="JLM96" s="350"/>
      <c r="JLN96" s="350"/>
      <c r="JLO96" s="350"/>
      <c r="JLP96" s="350"/>
      <c r="JLQ96" s="350"/>
      <c r="JLR96" s="350"/>
      <c r="JLS96" s="350"/>
      <c r="JLT96" s="350"/>
      <c r="JLU96" s="350"/>
      <c r="JLV96" s="350"/>
      <c r="JLW96" s="350"/>
      <c r="JLX96" s="350"/>
      <c r="JLY96" s="350"/>
      <c r="JLZ96" s="350"/>
      <c r="JMA96" s="350"/>
      <c r="JMB96" s="350"/>
      <c r="JMC96" s="350"/>
      <c r="JMD96" s="350"/>
      <c r="JME96" s="350"/>
      <c r="JMF96" s="350"/>
      <c r="JMG96" s="350"/>
      <c r="JMH96" s="350"/>
      <c r="JMI96" s="350"/>
      <c r="JMJ96" s="350"/>
      <c r="JMK96" s="350"/>
      <c r="JML96" s="350"/>
      <c r="JMM96" s="350"/>
      <c r="JMN96" s="350"/>
      <c r="JMO96" s="350"/>
      <c r="JMP96" s="350"/>
      <c r="JMQ96" s="350"/>
      <c r="JMR96" s="350"/>
      <c r="JMS96" s="350"/>
      <c r="JMT96" s="350"/>
      <c r="JMU96" s="350"/>
      <c r="JMV96" s="350"/>
      <c r="JMW96" s="350"/>
      <c r="JMX96" s="350"/>
      <c r="JMY96" s="350"/>
      <c r="JMZ96" s="350"/>
      <c r="JNA96" s="350"/>
      <c r="JNB96" s="350"/>
      <c r="JNC96" s="350"/>
      <c r="JND96" s="350"/>
      <c r="JNE96" s="350"/>
      <c r="JNF96" s="350"/>
      <c r="JNG96" s="350"/>
      <c r="JNH96" s="350"/>
      <c r="JNI96" s="350"/>
      <c r="JNJ96" s="350"/>
      <c r="JNK96" s="350"/>
      <c r="JNL96" s="350"/>
      <c r="JNM96" s="350"/>
      <c r="JNN96" s="350"/>
      <c r="JNO96" s="350"/>
      <c r="JNP96" s="350"/>
      <c r="JNQ96" s="350"/>
      <c r="JNR96" s="350"/>
      <c r="JNS96" s="350"/>
      <c r="JNT96" s="350"/>
      <c r="JNU96" s="350"/>
      <c r="JNV96" s="350"/>
      <c r="JNW96" s="350"/>
      <c r="JNX96" s="350"/>
      <c r="JNY96" s="350"/>
      <c r="JNZ96" s="350"/>
      <c r="JOA96" s="350"/>
      <c r="JOB96" s="350"/>
      <c r="JOC96" s="350"/>
      <c r="JOD96" s="350"/>
      <c r="JOE96" s="350"/>
      <c r="JOF96" s="350"/>
      <c r="JOG96" s="350"/>
      <c r="JOH96" s="350"/>
      <c r="JOI96" s="350"/>
      <c r="JOJ96" s="350"/>
      <c r="JOK96" s="350"/>
      <c r="JOL96" s="350"/>
      <c r="JOM96" s="350"/>
      <c r="JON96" s="350"/>
      <c r="JOO96" s="350"/>
      <c r="JOP96" s="350"/>
      <c r="JOQ96" s="350"/>
      <c r="JOR96" s="350"/>
      <c r="JOS96" s="350"/>
      <c r="JOT96" s="350"/>
      <c r="JOU96" s="350"/>
      <c r="JOV96" s="350"/>
      <c r="JOW96" s="350"/>
      <c r="JOX96" s="350"/>
      <c r="JOY96" s="350"/>
      <c r="JOZ96" s="350"/>
      <c r="JPA96" s="350"/>
      <c r="JPB96" s="350"/>
      <c r="JPC96" s="350"/>
      <c r="JPD96" s="350"/>
      <c r="JPE96" s="350"/>
      <c r="JPF96" s="350"/>
      <c r="JPG96" s="350"/>
      <c r="JPH96" s="350"/>
      <c r="JPI96" s="350"/>
      <c r="JPJ96" s="350"/>
      <c r="JPK96" s="350"/>
      <c r="JPL96" s="350"/>
      <c r="JPM96" s="350"/>
      <c r="JPN96" s="350"/>
      <c r="JPO96" s="350"/>
      <c r="JPP96" s="350"/>
      <c r="JPQ96" s="350"/>
      <c r="JPR96" s="350"/>
      <c r="JPS96" s="350"/>
      <c r="JPT96" s="350"/>
      <c r="JPU96" s="350"/>
      <c r="JPV96" s="350"/>
      <c r="JPW96" s="350"/>
      <c r="JPX96" s="350"/>
      <c r="JPY96" s="350"/>
      <c r="JPZ96" s="350"/>
      <c r="JQA96" s="350"/>
      <c r="JQB96" s="350"/>
      <c r="JQC96" s="350"/>
      <c r="JQD96" s="350"/>
      <c r="JQE96" s="350"/>
      <c r="JQF96" s="350"/>
      <c r="JQG96" s="350"/>
      <c r="JQH96" s="350"/>
      <c r="JQI96" s="350"/>
      <c r="JQJ96" s="350"/>
      <c r="JQK96" s="350"/>
      <c r="JQL96" s="350"/>
      <c r="JQM96" s="350"/>
      <c r="JQN96" s="350"/>
      <c r="JQO96" s="350"/>
      <c r="JQP96" s="350"/>
      <c r="JQQ96" s="350"/>
      <c r="JQR96" s="350"/>
      <c r="JQS96" s="350"/>
      <c r="JQT96" s="350"/>
      <c r="JQU96" s="350"/>
      <c r="JQV96" s="350"/>
      <c r="JQW96" s="350"/>
      <c r="JQX96" s="350"/>
      <c r="JQY96" s="350"/>
      <c r="JQZ96" s="350"/>
      <c r="JRA96" s="350"/>
      <c r="JRB96" s="350"/>
      <c r="JRC96" s="350"/>
      <c r="JRD96" s="350"/>
      <c r="JRE96" s="350"/>
      <c r="JRF96" s="350"/>
      <c r="JRG96" s="350"/>
      <c r="JRH96" s="350"/>
      <c r="JRI96" s="350"/>
      <c r="JRJ96" s="350"/>
      <c r="JRK96" s="350"/>
      <c r="JRL96" s="350"/>
      <c r="JRM96" s="350"/>
      <c r="JRN96" s="350"/>
      <c r="JRO96" s="350"/>
      <c r="JRP96" s="350"/>
      <c r="JRQ96" s="350"/>
      <c r="JRR96" s="350"/>
      <c r="JRS96" s="350"/>
      <c r="JRT96" s="350"/>
      <c r="JRU96" s="350"/>
      <c r="JRV96" s="350"/>
      <c r="JRW96" s="350"/>
      <c r="JRX96" s="350"/>
      <c r="JRY96" s="350"/>
      <c r="JRZ96" s="350"/>
      <c r="JSA96" s="350"/>
      <c r="JSB96" s="350"/>
      <c r="JSC96" s="350"/>
      <c r="JSD96" s="350"/>
      <c r="JSE96" s="350"/>
      <c r="JSF96" s="350"/>
      <c r="JSG96" s="350"/>
      <c r="JSH96" s="350"/>
      <c r="JSI96" s="350"/>
      <c r="JSJ96" s="350"/>
      <c r="JSK96" s="350"/>
      <c r="JSL96" s="350"/>
      <c r="JSM96" s="350"/>
      <c r="JSN96" s="350"/>
      <c r="JSO96" s="350"/>
      <c r="JSP96" s="350"/>
      <c r="JSQ96" s="350"/>
      <c r="JSR96" s="350"/>
      <c r="JSS96" s="350"/>
      <c r="JST96" s="350"/>
      <c r="JSU96" s="350"/>
      <c r="JSV96" s="350"/>
      <c r="JSW96" s="350"/>
      <c r="JSX96" s="350"/>
      <c r="JSY96" s="350"/>
      <c r="JSZ96" s="350"/>
      <c r="JTA96" s="350"/>
      <c r="JTB96" s="350"/>
      <c r="JTC96" s="350"/>
      <c r="JTD96" s="350"/>
      <c r="JTE96" s="350"/>
      <c r="JTF96" s="350"/>
      <c r="JTG96" s="350"/>
      <c r="JTH96" s="350"/>
      <c r="JTI96" s="350"/>
      <c r="JTJ96" s="350"/>
      <c r="JTK96" s="350"/>
      <c r="JTL96" s="350"/>
      <c r="JTM96" s="350"/>
      <c r="JTN96" s="350"/>
      <c r="JTO96" s="350"/>
      <c r="JTP96" s="350"/>
      <c r="JTQ96" s="350"/>
      <c r="JTR96" s="350"/>
      <c r="JTS96" s="350"/>
      <c r="JTT96" s="350"/>
      <c r="JTU96" s="350"/>
      <c r="JTV96" s="350"/>
      <c r="JTW96" s="350"/>
      <c r="JTX96" s="350"/>
      <c r="JTY96" s="350"/>
      <c r="JTZ96" s="350"/>
      <c r="JUA96" s="350"/>
      <c r="JUB96" s="350"/>
      <c r="JUC96" s="350"/>
      <c r="JUD96" s="350"/>
      <c r="JUE96" s="350"/>
      <c r="JUF96" s="350"/>
      <c r="JUG96" s="350"/>
      <c r="JUH96" s="350"/>
      <c r="JUI96" s="350"/>
      <c r="JUJ96" s="350"/>
      <c r="JUK96" s="350"/>
      <c r="JUL96" s="350"/>
      <c r="JUM96" s="350"/>
      <c r="JUN96" s="350"/>
      <c r="JUO96" s="350"/>
      <c r="JUP96" s="350"/>
      <c r="JUQ96" s="350"/>
      <c r="JUR96" s="350"/>
      <c r="JUS96" s="350"/>
      <c r="JUT96" s="350"/>
      <c r="JUU96" s="350"/>
      <c r="JUV96" s="350"/>
      <c r="JUW96" s="350"/>
      <c r="JUX96" s="350"/>
      <c r="JUY96" s="350"/>
      <c r="JUZ96" s="350"/>
      <c r="JVA96" s="350"/>
      <c r="JVB96" s="350"/>
      <c r="JVC96" s="350"/>
      <c r="JVD96" s="350"/>
      <c r="JVE96" s="350"/>
      <c r="JVF96" s="350"/>
      <c r="JVG96" s="350"/>
      <c r="JVH96" s="350"/>
      <c r="JVI96" s="350"/>
      <c r="JVJ96" s="350"/>
      <c r="JVK96" s="350"/>
      <c r="JVL96" s="350"/>
      <c r="JVM96" s="350"/>
      <c r="JVN96" s="350"/>
      <c r="JVO96" s="350"/>
      <c r="JVP96" s="350"/>
      <c r="JVQ96" s="350"/>
      <c r="JVR96" s="350"/>
      <c r="JVS96" s="350"/>
      <c r="JVT96" s="350"/>
      <c r="JVU96" s="350"/>
      <c r="JVV96" s="350"/>
      <c r="JVW96" s="350"/>
      <c r="JVX96" s="350"/>
      <c r="JVY96" s="350"/>
      <c r="JVZ96" s="350"/>
      <c r="JWA96" s="350"/>
      <c r="JWB96" s="350"/>
      <c r="JWC96" s="350"/>
      <c r="JWD96" s="350"/>
      <c r="JWE96" s="350"/>
      <c r="JWF96" s="350"/>
      <c r="JWG96" s="350"/>
      <c r="JWH96" s="350"/>
      <c r="JWI96" s="350"/>
      <c r="JWJ96" s="350"/>
      <c r="JWK96" s="350"/>
      <c r="JWL96" s="350"/>
      <c r="JWM96" s="350"/>
      <c r="JWN96" s="350"/>
      <c r="JWO96" s="350"/>
      <c r="JWP96" s="350"/>
      <c r="JWQ96" s="350"/>
      <c r="JWR96" s="350"/>
      <c r="JWS96" s="350"/>
      <c r="JWT96" s="350"/>
      <c r="JWU96" s="350"/>
      <c r="JWV96" s="350"/>
      <c r="JWW96" s="350"/>
      <c r="JWX96" s="350"/>
      <c r="JWY96" s="350"/>
      <c r="JWZ96" s="350"/>
      <c r="JXA96" s="350"/>
      <c r="JXB96" s="350"/>
      <c r="JXC96" s="350"/>
      <c r="JXD96" s="350"/>
      <c r="JXE96" s="350"/>
      <c r="JXF96" s="350"/>
      <c r="JXG96" s="350"/>
      <c r="JXH96" s="350"/>
      <c r="JXI96" s="350"/>
      <c r="JXJ96" s="350"/>
      <c r="JXK96" s="350"/>
      <c r="JXL96" s="350"/>
      <c r="JXM96" s="350"/>
      <c r="JXN96" s="350"/>
      <c r="JXO96" s="350"/>
      <c r="JXP96" s="350"/>
      <c r="JXQ96" s="350"/>
      <c r="JXR96" s="350"/>
      <c r="JXS96" s="350"/>
      <c r="JXT96" s="350"/>
      <c r="JXU96" s="350"/>
      <c r="JXV96" s="350"/>
      <c r="JXW96" s="350"/>
      <c r="JXX96" s="350"/>
      <c r="JXY96" s="350"/>
      <c r="JXZ96" s="350"/>
      <c r="JYA96" s="350"/>
      <c r="JYB96" s="350"/>
      <c r="JYC96" s="350"/>
      <c r="JYD96" s="350"/>
      <c r="JYE96" s="350"/>
      <c r="JYF96" s="350"/>
      <c r="JYG96" s="350"/>
      <c r="JYH96" s="350"/>
      <c r="JYI96" s="350"/>
      <c r="JYJ96" s="350"/>
      <c r="JYK96" s="350"/>
      <c r="JYL96" s="350"/>
      <c r="JYM96" s="350"/>
      <c r="JYN96" s="350"/>
      <c r="JYO96" s="350"/>
      <c r="JYP96" s="350"/>
      <c r="JYQ96" s="350"/>
      <c r="JYR96" s="350"/>
      <c r="JYS96" s="350"/>
      <c r="JYT96" s="350"/>
      <c r="JYU96" s="350"/>
      <c r="JYV96" s="350"/>
      <c r="JYW96" s="350"/>
      <c r="JYX96" s="350"/>
      <c r="JYY96" s="350"/>
      <c r="JYZ96" s="350"/>
      <c r="JZA96" s="350"/>
      <c r="JZB96" s="350"/>
      <c r="JZC96" s="350"/>
      <c r="JZD96" s="350"/>
      <c r="JZE96" s="350"/>
      <c r="JZF96" s="350"/>
      <c r="JZG96" s="350"/>
      <c r="JZH96" s="350"/>
      <c r="JZI96" s="350"/>
      <c r="JZJ96" s="350"/>
      <c r="JZK96" s="350"/>
      <c r="JZL96" s="350"/>
      <c r="JZM96" s="350"/>
      <c r="JZN96" s="350"/>
      <c r="JZO96" s="350"/>
      <c r="JZP96" s="350"/>
      <c r="JZQ96" s="350"/>
      <c r="JZR96" s="350"/>
      <c r="JZS96" s="350"/>
      <c r="JZT96" s="350"/>
      <c r="JZU96" s="350"/>
      <c r="JZV96" s="350"/>
      <c r="JZW96" s="350"/>
      <c r="JZX96" s="350"/>
      <c r="JZY96" s="350"/>
      <c r="JZZ96" s="350"/>
      <c r="KAA96" s="350"/>
      <c r="KAB96" s="350"/>
      <c r="KAC96" s="350"/>
      <c r="KAD96" s="350"/>
      <c r="KAE96" s="350"/>
      <c r="KAF96" s="350"/>
      <c r="KAG96" s="350"/>
      <c r="KAH96" s="350"/>
      <c r="KAI96" s="350"/>
      <c r="KAJ96" s="350"/>
      <c r="KAK96" s="350"/>
      <c r="KAL96" s="350"/>
      <c r="KAM96" s="350"/>
      <c r="KAN96" s="350"/>
      <c r="KAO96" s="350"/>
      <c r="KAP96" s="350"/>
      <c r="KAQ96" s="350"/>
      <c r="KAR96" s="350"/>
      <c r="KAS96" s="350"/>
      <c r="KAT96" s="350"/>
      <c r="KAU96" s="350"/>
      <c r="KAV96" s="350"/>
      <c r="KAW96" s="350"/>
      <c r="KAX96" s="350"/>
      <c r="KAY96" s="350"/>
      <c r="KAZ96" s="350"/>
      <c r="KBA96" s="350"/>
      <c r="KBB96" s="350"/>
      <c r="KBC96" s="350"/>
      <c r="KBD96" s="350"/>
      <c r="KBE96" s="350"/>
      <c r="KBF96" s="350"/>
      <c r="KBG96" s="350"/>
      <c r="KBH96" s="350"/>
      <c r="KBI96" s="350"/>
      <c r="KBJ96" s="350"/>
      <c r="KBK96" s="350"/>
      <c r="KBL96" s="350"/>
      <c r="KBM96" s="350"/>
      <c r="KBN96" s="350"/>
      <c r="KBO96" s="350"/>
      <c r="KBP96" s="350"/>
      <c r="KBQ96" s="350"/>
      <c r="KBR96" s="350"/>
      <c r="KBS96" s="350"/>
      <c r="KBT96" s="350"/>
      <c r="KBU96" s="350"/>
      <c r="KBV96" s="350"/>
      <c r="KBW96" s="350"/>
      <c r="KBX96" s="350"/>
      <c r="KBY96" s="350"/>
      <c r="KBZ96" s="350"/>
      <c r="KCA96" s="350"/>
      <c r="KCB96" s="350"/>
      <c r="KCC96" s="350"/>
      <c r="KCD96" s="350"/>
      <c r="KCE96" s="350"/>
      <c r="KCF96" s="350"/>
      <c r="KCG96" s="350"/>
      <c r="KCH96" s="350"/>
      <c r="KCI96" s="350"/>
      <c r="KCJ96" s="350"/>
      <c r="KCK96" s="350"/>
      <c r="KCL96" s="350"/>
      <c r="KCM96" s="350"/>
      <c r="KCN96" s="350"/>
      <c r="KCO96" s="350"/>
      <c r="KCP96" s="350"/>
      <c r="KCQ96" s="350"/>
      <c r="KCR96" s="350"/>
      <c r="KCS96" s="350"/>
      <c r="KCT96" s="350"/>
      <c r="KCU96" s="350"/>
      <c r="KCV96" s="350"/>
      <c r="KCW96" s="350"/>
      <c r="KCX96" s="350"/>
      <c r="KCY96" s="350"/>
      <c r="KCZ96" s="350"/>
      <c r="KDA96" s="350"/>
      <c r="KDB96" s="350"/>
      <c r="KDC96" s="350"/>
      <c r="KDD96" s="350"/>
      <c r="KDE96" s="350"/>
      <c r="KDF96" s="350"/>
      <c r="KDG96" s="350"/>
      <c r="KDH96" s="350"/>
      <c r="KDI96" s="350"/>
      <c r="KDJ96" s="350"/>
      <c r="KDK96" s="350"/>
      <c r="KDL96" s="350"/>
      <c r="KDM96" s="350"/>
      <c r="KDN96" s="350"/>
      <c r="KDO96" s="350"/>
      <c r="KDP96" s="350"/>
      <c r="KDQ96" s="350"/>
      <c r="KDR96" s="350"/>
      <c r="KDS96" s="350"/>
      <c r="KDT96" s="350"/>
      <c r="KDU96" s="350"/>
      <c r="KDV96" s="350"/>
      <c r="KDW96" s="350"/>
      <c r="KDX96" s="350"/>
      <c r="KDY96" s="350"/>
      <c r="KDZ96" s="350"/>
      <c r="KEA96" s="350"/>
      <c r="KEB96" s="350"/>
      <c r="KEC96" s="350"/>
      <c r="KED96" s="350"/>
      <c r="KEE96" s="350"/>
      <c r="KEF96" s="350"/>
      <c r="KEG96" s="350"/>
      <c r="KEH96" s="350"/>
      <c r="KEI96" s="350"/>
      <c r="KEJ96" s="350"/>
      <c r="KEK96" s="350"/>
      <c r="KEL96" s="350"/>
      <c r="KEM96" s="350"/>
      <c r="KEN96" s="350"/>
      <c r="KEO96" s="350"/>
      <c r="KEP96" s="350"/>
      <c r="KEQ96" s="350"/>
      <c r="KER96" s="350"/>
      <c r="KES96" s="350"/>
      <c r="KET96" s="350"/>
      <c r="KEU96" s="350"/>
      <c r="KEV96" s="350"/>
      <c r="KEW96" s="350"/>
      <c r="KEX96" s="350"/>
      <c r="KEY96" s="350"/>
      <c r="KEZ96" s="350"/>
      <c r="KFA96" s="350"/>
      <c r="KFB96" s="350"/>
      <c r="KFC96" s="350"/>
      <c r="KFD96" s="350"/>
      <c r="KFE96" s="350"/>
      <c r="KFF96" s="350"/>
      <c r="KFG96" s="350"/>
      <c r="KFH96" s="350"/>
      <c r="KFI96" s="350"/>
      <c r="KFJ96" s="350"/>
      <c r="KFK96" s="350"/>
      <c r="KFL96" s="350"/>
      <c r="KFM96" s="350"/>
      <c r="KFN96" s="350"/>
      <c r="KFO96" s="350"/>
      <c r="KFP96" s="350"/>
      <c r="KFQ96" s="350"/>
      <c r="KFR96" s="350"/>
      <c r="KFS96" s="350"/>
      <c r="KFT96" s="350"/>
      <c r="KFU96" s="350"/>
      <c r="KFV96" s="350"/>
      <c r="KFW96" s="350"/>
      <c r="KFX96" s="350"/>
      <c r="KFY96" s="350"/>
      <c r="KFZ96" s="350"/>
      <c r="KGA96" s="350"/>
      <c r="KGB96" s="350"/>
      <c r="KGC96" s="350"/>
      <c r="KGD96" s="350"/>
      <c r="KGE96" s="350"/>
      <c r="KGF96" s="350"/>
      <c r="KGG96" s="350"/>
      <c r="KGH96" s="350"/>
      <c r="KGI96" s="350"/>
      <c r="KGJ96" s="350"/>
      <c r="KGK96" s="350"/>
      <c r="KGL96" s="350"/>
      <c r="KGM96" s="350"/>
      <c r="KGN96" s="350"/>
      <c r="KGO96" s="350"/>
      <c r="KGP96" s="350"/>
      <c r="KGQ96" s="350"/>
      <c r="KGR96" s="350"/>
      <c r="KGS96" s="350"/>
      <c r="KGT96" s="350"/>
      <c r="KGU96" s="350"/>
      <c r="KGV96" s="350"/>
      <c r="KGW96" s="350"/>
      <c r="KGX96" s="350"/>
      <c r="KGY96" s="350"/>
      <c r="KGZ96" s="350"/>
      <c r="KHA96" s="350"/>
      <c r="KHB96" s="350"/>
      <c r="KHC96" s="350"/>
      <c r="KHD96" s="350"/>
      <c r="KHE96" s="350"/>
      <c r="KHF96" s="350"/>
      <c r="KHG96" s="350"/>
      <c r="KHH96" s="350"/>
      <c r="KHI96" s="350"/>
      <c r="KHJ96" s="350"/>
      <c r="KHK96" s="350"/>
      <c r="KHL96" s="350"/>
      <c r="KHM96" s="350"/>
      <c r="KHN96" s="350"/>
      <c r="KHO96" s="350"/>
      <c r="KHP96" s="350"/>
      <c r="KHQ96" s="350"/>
      <c r="KHR96" s="350"/>
      <c r="KHS96" s="350"/>
      <c r="KHT96" s="350"/>
      <c r="KHU96" s="350"/>
      <c r="KHV96" s="350"/>
      <c r="KHW96" s="350"/>
      <c r="KHX96" s="350"/>
      <c r="KHY96" s="350"/>
      <c r="KHZ96" s="350"/>
      <c r="KIA96" s="350"/>
      <c r="KIB96" s="350"/>
      <c r="KIC96" s="350"/>
      <c r="KID96" s="350"/>
      <c r="KIE96" s="350"/>
      <c r="KIF96" s="350"/>
      <c r="KIG96" s="350"/>
      <c r="KIH96" s="350"/>
      <c r="KII96" s="350"/>
      <c r="KIJ96" s="350"/>
      <c r="KIK96" s="350"/>
      <c r="KIL96" s="350"/>
      <c r="KIM96" s="350"/>
      <c r="KIN96" s="350"/>
      <c r="KIO96" s="350"/>
      <c r="KIP96" s="350"/>
      <c r="KIQ96" s="350"/>
      <c r="KIR96" s="350"/>
      <c r="KIS96" s="350"/>
      <c r="KIT96" s="350"/>
      <c r="KIU96" s="350"/>
      <c r="KIV96" s="350"/>
      <c r="KIW96" s="350"/>
      <c r="KIX96" s="350"/>
      <c r="KIY96" s="350"/>
      <c r="KIZ96" s="350"/>
      <c r="KJA96" s="350"/>
      <c r="KJB96" s="350"/>
      <c r="KJC96" s="350"/>
      <c r="KJD96" s="350"/>
      <c r="KJE96" s="350"/>
      <c r="KJF96" s="350"/>
      <c r="KJG96" s="350"/>
      <c r="KJH96" s="350"/>
      <c r="KJI96" s="350"/>
      <c r="KJJ96" s="350"/>
      <c r="KJK96" s="350"/>
      <c r="KJL96" s="350"/>
      <c r="KJM96" s="350"/>
      <c r="KJN96" s="350"/>
      <c r="KJO96" s="350"/>
      <c r="KJP96" s="350"/>
      <c r="KJQ96" s="350"/>
      <c r="KJR96" s="350"/>
      <c r="KJS96" s="350"/>
      <c r="KJT96" s="350"/>
      <c r="KJU96" s="350"/>
      <c r="KJV96" s="350"/>
      <c r="KJW96" s="350"/>
      <c r="KJX96" s="350"/>
      <c r="KJY96" s="350"/>
      <c r="KJZ96" s="350"/>
      <c r="KKA96" s="350"/>
      <c r="KKB96" s="350"/>
      <c r="KKC96" s="350"/>
      <c r="KKD96" s="350"/>
      <c r="KKE96" s="350"/>
      <c r="KKF96" s="350"/>
      <c r="KKG96" s="350"/>
      <c r="KKH96" s="350"/>
      <c r="KKI96" s="350"/>
      <c r="KKJ96" s="350"/>
      <c r="KKK96" s="350"/>
      <c r="KKL96" s="350"/>
      <c r="KKM96" s="350"/>
      <c r="KKN96" s="350"/>
      <c r="KKO96" s="350"/>
      <c r="KKP96" s="350"/>
      <c r="KKQ96" s="350"/>
      <c r="KKR96" s="350"/>
      <c r="KKS96" s="350"/>
      <c r="KKT96" s="350"/>
      <c r="KKU96" s="350"/>
      <c r="KKV96" s="350"/>
      <c r="KKW96" s="350"/>
      <c r="KKX96" s="350"/>
      <c r="KKY96" s="350"/>
      <c r="KKZ96" s="350"/>
      <c r="KLA96" s="350"/>
      <c r="KLB96" s="350"/>
      <c r="KLC96" s="350"/>
      <c r="KLD96" s="350"/>
      <c r="KLE96" s="350"/>
      <c r="KLF96" s="350"/>
      <c r="KLG96" s="350"/>
      <c r="KLH96" s="350"/>
      <c r="KLI96" s="350"/>
      <c r="KLJ96" s="350"/>
      <c r="KLK96" s="350"/>
      <c r="KLL96" s="350"/>
      <c r="KLM96" s="350"/>
      <c r="KLN96" s="350"/>
      <c r="KLO96" s="350"/>
      <c r="KLP96" s="350"/>
      <c r="KLQ96" s="350"/>
      <c r="KLR96" s="350"/>
      <c r="KLS96" s="350"/>
      <c r="KLT96" s="350"/>
      <c r="KLU96" s="350"/>
      <c r="KLV96" s="350"/>
      <c r="KLW96" s="350"/>
      <c r="KLX96" s="350"/>
      <c r="KLY96" s="350"/>
      <c r="KLZ96" s="350"/>
      <c r="KMA96" s="350"/>
      <c r="KMB96" s="350"/>
      <c r="KMC96" s="350"/>
      <c r="KMD96" s="350"/>
      <c r="KME96" s="350"/>
      <c r="KMF96" s="350"/>
      <c r="KMG96" s="350"/>
      <c r="KMH96" s="350"/>
      <c r="KMI96" s="350"/>
      <c r="KMJ96" s="350"/>
      <c r="KMK96" s="350"/>
      <c r="KML96" s="350"/>
      <c r="KMM96" s="350"/>
      <c r="KMN96" s="350"/>
      <c r="KMO96" s="350"/>
      <c r="KMP96" s="350"/>
      <c r="KMQ96" s="350"/>
      <c r="KMR96" s="350"/>
      <c r="KMS96" s="350"/>
      <c r="KMT96" s="350"/>
      <c r="KMU96" s="350"/>
      <c r="KMV96" s="350"/>
      <c r="KMW96" s="350"/>
      <c r="KMX96" s="350"/>
      <c r="KMY96" s="350"/>
      <c r="KMZ96" s="350"/>
      <c r="KNA96" s="350"/>
      <c r="KNB96" s="350"/>
      <c r="KNC96" s="350"/>
      <c r="KND96" s="350"/>
      <c r="KNE96" s="350"/>
      <c r="KNF96" s="350"/>
      <c r="KNG96" s="350"/>
      <c r="KNH96" s="350"/>
      <c r="KNI96" s="350"/>
      <c r="KNJ96" s="350"/>
      <c r="KNK96" s="350"/>
      <c r="KNL96" s="350"/>
      <c r="KNM96" s="350"/>
      <c r="KNN96" s="350"/>
      <c r="KNO96" s="350"/>
      <c r="KNP96" s="350"/>
      <c r="KNQ96" s="350"/>
      <c r="KNR96" s="350"/>
      <c r="KNS96" s="350"/>
      <c r="KNT96" s="350"/>
      <c r="KNU96" s="350"/>
      <c r="KNV96" s="350"/>
      <c r="KNW96" s="350"/>
      <c r="KNX96" s="350"/>
      <c r="KNY96" s="350"/>
      <c r="KNZ96" s="350"/>
      <c r="KOA96" s="350"/>
      <c r="KOB96" s="350"/>
      <c r="KOC96" s="350"/>
      <c r="KOD96" s="350"/>
      <c r="KOE96" s="350"/>
      <c r="KOF96" s="350"/>
      <c r="KOG96" s="350"/>
      <c r="KOH96" s="350"/>
      <c r="KOI96" s="350"/>
      <c r="KOJ96" s="350"/>
      <c r="KOK96" s="350"/>
      <c r="KOL96" s="350"/>
      <c r="KOM96" s="350"/>
      <c r="KON96" s="350"/>
      <c r="KOO96" s="350"/>
      <c r="KOP96" s="350"/>
      <c r="KOQ96" s="350"/>
      <c r="KOR96" s="350"/>
      <c r="KOS96" s="350"/>
      <c r="KOT96" s="350"/>
      <c r="KOU96" s="350"/>
      <c r="KOV96" s="350"/>
      <c r="KOW96" s="350"/>
      <c r="KOX96" s="350"/>
      <c r="KOY96" s="350"/>
      <c r="KOZ96" s="350"/>
      <c r="KPA96" s="350"/>
      <c r="KPB96" s="350"/>
      <c r="KPC96" s="350"/>
      <c r="KPD96" s="350"/>
      <c r="KPE96" s="350"/>
      <c r="KPF96" s="350"/>
      <c r="KPG96" s="350"/>
      <c r="KPH96" s="350"/>
      <c r="KPI96" s="350"/>
      <c r="KPJ96" s="350"/>
      <c r="KPK96" s="350"/>
      <c r="KPL96" s="350"/>
      <c r="KPM96" s="350"/>
      <c r="KPN96" s="350"/>
      <c r="KPO96" s="350"/>
      <c r="KPP96" s="350"/>
      <c r="KPQ96" s="350"/>
      <c r="KPR96" s="350"/>
      <c r="KPS96" s="350"/>
      <c r="KPT96" s="350"/>
      <c r="KPU96" s="350"/>
      <c r="KPV96" s="350"/>
      <c r="KPW96" s="350"/>
      <c r="KPX96" s="350"/>
      <c r="KPY96" s="350"/>
      <c r="KPZ96" s="350"/>
      <c r="KQA96" s="350"/>
      <c r="KQB96" s="350"/>
      <c r="KQC96" s="350"/>
      <c r="KQD96" s="350"/>
      <c r="KQE96" s="350"/>
      <c r="KQF96" s="350"/>
      <c r="KQG96" s="350"/>
      <c r="KQH96" s="350"/>
      <c r="KQI96" s="350"/>
      <c r="KQJ96" s="350"/>
      <c r="KQK96" s="350"/>
      <c r="KQL96" s="350"/>
      <c r="KQM96" s="350"/>
      <c r="KQN96" s="350"/>
      <c r="KQO96" s="350"/>
      <c r="KQP96" s="350"/>
      <c r="KQQ96" s="350"/>
      <c r="KQR96" s="350"/>
      <c r="KQS96" s="350"/>
      <c r="KQT96" s="350"/>
      <c r="KQU96" s="350"/>
      <c r="KQV96" s="350"/>
      <c r="KQW96" s="350"/>
      <c r="KQX96" s="350"/>
      <c r="KQY96" s="350"/>
      <c r="KQZ96" s="350"/>
      <c r="KRA96" s="350"/>
      <c r="KRB96" s="350"/>
      <c r="KRC96" s="350"/>
      <c r="KRD96" s="350"/>
      <c r="KRE96" s="350"/>
      <c r="KRF96" s="350"/>
      <c r="KRG96" s="350"/>
      <c r="KRH96" s="350"/>
      <c r="KRI96" s="350"/>
      <c r="KRJ96" s="350"/>
      <c r="KRK96" s="350"/>
      <c r="KRL96" s="350"/>
      <c r="KRM96" s="350"/>
      <c r="KRN96" s="350"/>
      <c r="KRO96" s="350"/>
      <c r="KRP96" s="350"/>
      <c r="KRQ96" s="350"/>
      <c r="KRR96" s="350"/>
      <c r="KRS96" s="350"/>
      <c r="KRT96" s="350"/>
      <c r="KRU96" s="350"/>
      <c r="KRV96" s="350"/>
      <c r="KRW96" s="350"/>
      <c r="KRX96" s="350"/>
      <c r="KRY96" s="350"/>
      <c r="KRZ96" s="350"/>
      <c r="KSA96" s="350"/>
      <c r="KSB96" s="350"/>
      <c r="KSC96" s="350"/>
      <c r="KSD96" s="350"/>
      <c r="KSE96" s="350"/>
      <c r="KSF96" s="350"/>
      <c r="KSG96" s="350"/>
      <c r="KSH96" s="350"/>
      <c r="KSI96" s="350"/>
      <c r="KSJ96" s="350"/>
      <c r="KSK96" s="350"/>
      <c r="KSL96" s="350"/>
      <c r="KSM96" s="350"/>
      <c r="KSN96" s="350"/>
      <c r="KSO96" s="350"/>
      <c r="KSP96" s="350"/>
      <c r="KSQ96" s="350"/>
      <c r="KSR96" s="350"/>
      <c r="KSS96" s="350"/>
      <c r="KST96" s="350"/>
      <c r="KSU96" s="350"/>
      <c r="KSV96" s="350"/>
      <c r="KSW96" s="350"/>
      <c r="KSX96" s="350"/>
      <c r="KSY96" s="350"/>
      <c r="KSZ96" s="350"/>
      <c r="KTA96" s="350"/>
      <c r="KTB96" s="350"/>
      <c r="KTC96" s="350"/>
      <c r="KTD96" s="350"/>
      <c r="KTE96" s="350"/>
      <c r="KTF96" s="350"/>
      <c r="KTG96" s="350"/>
      <c r="KTH96" s="350"/>
      <c r="KTI96" s="350"/>
      <c r="KTJ96" s="350"/>
      <c r="KTK96" s="350"/>
      <c r="KTL96" s="350"/>
      <c r="KTM96" s="350"/>
      <c r="KTN96" s="350"/>
      <c r="KTO96" s="350"/>
      <c r="KTP96" s="350"/>
      <c r="KTQ96" s="350"/>
      <c r="KTR96" s="350"/>
      <c r="KTS96" s="350"/>
      <c r="KTT96" s="350"/>
      <c r="KTU96" s="350"/>
      <c r="KTV96" s="350"/>
      <c r="KTW96" s="350"/>
      <c r="KTX96" s="350"/>
      <c r="KTY96" s="350"/>
      <c r="KTZ96" s="350"/>
      <c r="KUA96" s="350"/>
      <c r="KUB96" s="350"/>
      <c r="KUC96" s="350"/>
      <c r="KUD96" s="350"/>
      <c r="KUE96" s="350"/>
      <c r="KUF96" s="350"/>
      <c r="KUG96" s="350"/>
      <c r="KUH96" s="350"/>
      <c r="KUI96" s="350"/>
      <c r="KUJ96" s="350"/>
      <c r="KUK96" s="350"/>
      <c r="KUL96" s="350"/>
      <c r="KUM96" s="350"/>
      <c r="KUN96" s="350"/>
      <c r="KUO96" s="350"/>
      <c r="KUP96" s="350"/>
      <c r="KUQ96" s="350"/>
      <c r="KUR96" s="350"/>
      <c r="KUS96" s="350"/>
      <c r="KUT96" s="350"/>
      <c r="KUU96" s="350"/>
      <c r="KUV96" s="350"/>
      <c r="KUW96" s="350"/>
      <c r="KUX96" s="350"/>
      <c r="KUY96" s="350"/>
      <c r="KUZ96" s="350"/>
      <c r="KVA96" s="350"/>
      <c r="KVB96" s="350"/>
      <c r="KVC96" s="350"/>
      <c r="KVD96" s="350"/>
      <c r="KVE96" s="350"/>
      <c r="KVF96" s="350"/>
      <c r="KVG96" s="350"/>
      <c r="KVH96" s="350"/>
      <c r="KVI96" s="350"/>
      <c r="KVJ96" s="350"/>
      <c r="KVK96" s="350"/>
      <c r="KVL96" s="350"/>
      <c r="KVM96" s="350"/>
      <c r="KVN96" s="350"/>
      <c r="KVO96" s="350"/>
      <c r="KVP96" s="350"/>
      <c r="KVQ96" s="350"/>
      <c r="KVR96" s="350"/>
      <c r="KVS96" s="350"/>
      <c r="KVT96" s="350"/>
      <c r="KVU96" s="350"/>
      <c r="KVV96" s="350"/>
      <c r="KVW96" s="350"/>
      <c r="KVX96" s="350"/>
      <c r="KVY96" s="350"/>
      <c r="KVZ96" s="350"/>
      <c r="KWA96" s="350"/>
      <c r="KWB96" s="350"/>
      <c r="KWC96" s="350"/>
      <c r="KWD96" s="350"/>
      <c r="KWE96" s="350"/>
      <c r="KWF96" s="350"/>
      <c r="KWG96" s="350"/>
      <c r="KWH96" s="350"/>
      <c r="KWI96" s="350"/>
      <c r="KWJ96" s="350"/>
      <c r="KWK96" s="350"/>
      <c r="KWL96" s="350"/>
      <c r="KWM96" s="350"/>
      <c r="KWN96" s="350"/>
      <c r="KWO96" s="350"/>
      <c r="KWP96" s="350"/>
      <c r="KWQ96" s="350"/>
      <c r="KWR96" s="350"/>
      <c r="KWS96" s="350"/>
      <c r="KWT96" s="350"/>
      <c r="KWU96" s="350"/>
      <c r="KWV96" s="350"/>
      <c r="KWW96" s="350"/>
      <c r="KWX96" s="350"/>
      <c r="KWY96" s="350"/>
      <c r="KWZ96" s="350"/>
      <c r="KXA96" s="350"/>
      <c r="KXB96" s="350"/>
      <c r="KXC96" s="350"/>
      <c r="KXD96" s="350"/>
      <c r="KXE96" s="350"/>
      <c r="KXF96" s="350"/>
      <c r="KXG96" s="350"/>
      <c r="KXH96" s="350"/>
      <c r="KXI96" s="350"/>
      <c r="KXJ96" s="350"/>
      <c r="KXK96" s="350"/>
      <c r="KXL96" s="350"/>
      <c r="KXM96" s="350"/>
      <c r="KXN96" s="350"/>
      <c r="KXO96" s="350"/>
      <c r="KXP96" s="350"/>
      <c r="KXQ96" s="350"/>
      <c r="KXR96" s="350"/>
      <c r="KXS96" s="350"/>
      <c r="KXT96" s="350"/>
      <c r="KXU96" s="350"/>
      <c r="KXV96" s="350"/>
      <c r="KXW96" s="350"/>
      <c r="KXX96" s="350"/>
      <c r="KXY96" s="350"/>
      <c r="KXZ96" s="350"/>
      <c r="KYA96" s="350"/>
      <c r="KYB96" s="350"/>
      <c r="KYC96" s="350"/>
      <c r="KYD96" s="350"/>
      <c r="KYE96" s="350"/>
      <c r="KYF96" s="350"/>
      <c r="KYG96" s="350"/>
      <c r="KYH96" s="350"/>
      <c r="KYI96" s="350"/>
      <c r="KYJ96" s="350"/>
      <c r="KYK96" s="350"/>
      <c r="KYL96" s="350"/>
      <c r="KYM96" s="350"/>
      <c r="KYN96" s="350"/>
      <c r="KYO96" s="350"/>
      <c r="KYP96" s="350"/>
      <c r="KYQ96" s="350"/>
      <c r="KYR96" s="350"/>
      <c r="KYS96" s="350"/>
      <c r="KYT96" s="350"/>
      <c r="KYU96" s="350"/>
      <c r="KYV96" s="350"/>
      <c r="KYW96" s="350"/>
      <c r="KYX96" s="350"/>
      <c r="KYY96" s="350"/>
      <c r="KYZ96" s="350"/>
      <c r="KZA96" s="350"/>
      <c r="KZB96" s="350"/>
      <c r="KZC96" s="350"/>
      <c r="KZD96" s="350"/>
      <c r="KZE96" s="350"/>
      <c r="KZF96" s="350"/>
      <c r="KZG96" s="350"/>
      <c r="KZH96" s="350"/>
      <c r="KZI96" s="350"/>
      <c r="KZJ96" s="350"/>
      <c r="KZK96" s="350"/>
      <c r="KZL96" s="350"/>
      <c r="KZM96" s="350"/>
      <c r="KZN96" s="350"/>
      <c r="KZO96" s="350"/>
      <c r="KZP96" s="350"/>
      <c r="KZQ96" s="350"/>
      <c r="KZR96" s="350"/>
      <c r="KZS96" s="350"/>
      <c r="KZT96" s="350"/>
      <c r="KZU96" s="350"/>
      <c r="KZV96" s="350"/>
      <c r="KZW96" s="350"/>
      <c r="KZX96" s="350"/>
      <c r="KZY96" s="350"/>
      <c r="KZZ96" s="350"/>
      <c r="LAA96" s="350"/>
      <c r="LAB96" s="350"/>
      <c r="LAC96" s="350"/>
      <c r="LAD96" s="350"/>
      <c r="LAE96" s="350"/>
      <c r="LAF96" s="350"/>
      <c r="LAG96" s="350"/>
      <c r="LAH96" s="350"/>
      <c r="LAI96" s="350"/>
      <c r="LAJ96" s="350"/>
      <c r="LAK96" s="350"/>
      <c r="LAL96" s="350"/>
      <c r="LAM96" s="350"/>
      <c r="LAN96" s="350"/>
      <c r="LAO96" s="350"/>
      <c r="LAP96" s="350"/>
      <c r="LAQ96" s="350"/>
      <c r="LAR96" s="350"/>
      <c r="LAS96" s="350"/>
      <c r="LAT96" s="350"/>
      <c r="LAU96" s="350"/>
      <c r="LAV96" s="350"/>
      <c r="LAW96" s="350"/>
      <c r="LAX96" s="350"/>
      <c r="LAY96" s="350"/>
      <c r="LAZ96" s="350"/>
      <c r="LBA96" s="350"/>
      <c r="LBB96" s="350"/>
      <c r="LBC96" s="350"/>
      <c r="LBD96" s="350"/>
      <c r="LBE96" s="350"/>
      <c r="LBF96" s="350"/>
      <c r="LBG96" s="350"/>
      <c r="LBH96" s="350"/>
      <c r="LBI96" s="350"/>
      <c r="LBJ96" s="350"/>
      <c r="LBK96" s="350"/>
      <c r="LBL96" s="350"/>
      <c r="LBM96" s="350"/>
      <c r="LBN96" s="350"/>
      <c r="LBO96" s="350"/>
      <c r="LBP96" s="350"/>
      <c r="LBQ96" s="350"/>
      <c r="LBR96" s="350"/>
      <c r="LBS96" s="350"/>
      <c r="LBT96" s="350"/>
      <c r="LBU96" s="350"/>
      <c r="LBV96" s="350"/>
      <c r="LBW96" s="350"/>
      <c r="LBX96" s="350"/>
      <c r="LBY96" s="350"/>
      <c r="LBZ96" s="350"/>
      <c r="LCA96" s="350"/>
      <c r="LCB96" s="350"/>
      <c r="LCC96" s="350"/>
      <c r="LCD96" s="350"/>
      <c r="LCE96" s="350"/>
      <c r="LCF96" s="350"/>
      <c r="LCG96" s="350"/>
      <c r="LCH96" s="350"/>
      <c r="LCI96" s="350"/>
      <c r="LCJ96" s="350"/>
      <c r="LCK96" s="350"/>
      <c r="LCL96" s="350"/>
      <c r="LCM96" s="350"/>
      <c r="LCN96" s="350"/>
      <c r="LCO96" s="350"/>
      <c r="LCP96" s="350"/>
      <c r="LCQ96" s="350"/>
      <c r="LCR96" s="350"/>
      <c r="LCS96" s="350"/>
      <c r="LCT96" s="350"/>
      <c r="LCU96" s="350"/>
      <c r="LCV96" s="350"/>
      <c r="LCW96" s="350"/>
      <c r="LCX96" s="350"/>
      <c r="LCY96" s="350"/>
      <c r="LCZ96" s="350"/>
      <c r="LDA96" s="350"/>
      <c r="LDB96" s="350"/>
      <c r="LDC96" s="350"/>
      <c r="LDD96" s="350"/>
      <c r="LDE96" s="350"/>
      <c r="LDF96" s="350"/>
      <c r="LDG96" s="350"/>
      <c r="LDH96" s="350"/>
      <c r="LDI96" s="350"/>
      <c r="LDJ96" s="350"/>
      <c r="LDK96" s="350"/>
      <c r="LDL96" s="350"/>
      <c r="LDM96" s="350"/>
      <c r="LDN96" s="350"/>
      <c r="LDO96" s="350"/>
      <c r="LDP96" s="350"/>
      <c r="LDQ96" s="350"/>
      <c r="LDR96" s="350"/>
      <c r="LDS96" s="350"/>
      <c r="LDT96" s="350"/>
      <c r="LDU96" s="350"/>
      <c r="LDV96" s="350"/>
      <c r="LDW96" s="350"/>
      <c r="LDX96" s="350"/>
      <c r="LDY96" s="350"/>
      <c r="LDZ96" s="350"/>
      <c r="LEA96" s="350"/>
      <c r="LEB96" s="350"/>
      <c r="LEC96" s="350"/>
      <c r="LED96" s="350"/>
      <c r="LEE96" s="350"/>
      <c r="LEF96" s="350"/>
      <c r="LEG96" s="350"/>
      <c r="LEH96" s="350"/>
      <c r="LEI96" s="350"/>
      <c r="LEJ96" s="350"/>
      <c r="LEK96" s="350"/>
      <c r="LEL96" s="350"/>
      <c r="LEM96" s="350"/>
      <c r="LEN96" s="350"/>
      <c r="LEO96" s="350"/>
      <c r="LEP96" s="350"/>
      <c r="LEQ96" s="350"/>
      <c r="LER96" s="350"/>
      <c r="LES96" s="350"/>
      <c r="LET96" s="350"/>
      <c r="LEU96" s="350"/>
      <c r="LEV96" s="350"/>
      <c r="LEW96" s="350"/>
      <c r="LEX96" s="350"/>
      <c r="LEY96" s="350"/>
      <c r="LEZ96" s="350"/>
      <c r="LFA96" s="350"/>
      <c r="LFB96" s="350"/>
      <c r="LFC96" s="350"/>
      <c r="LFD96" s="350"/>
      <c r="LFE96" s="350"/>
      <c r="LFF96" s="350"/>
      <c r="LFG96" s="350"/>
      <c r="LFH96" s="350"/>
      <c r="LFI96" s="350"/>
      <c r="LFJ96" s="350"/>
      <c r="LFK96" s="350"/>
      <c r="LFL96" s="350"/>
      <c r="LFM96" s="350"/>
      <c r="LFN96" s="350"/>
      <c r="LFO96" s="350"/>
      <c r="LFP96" s="350"/>
      <c r="LFQ96" s="350"/>
      <c r="LFR96" s="350"/>
      <c r="LFS96" s="350"/>
      <c r="LFT96" s="350"/>
      <c r="LFU96" s="350"/>
      <c r="LFV96" s="350"/>
      <c r="LFW96" s="350"/>
      <c r="LFX96" s="350"/>
      <c r="LFY96" s="350"/>
      <c r="LFZ96" s="350"/>
      <c r="LGA96" s="350"/>
      <c r="LGB96" s="350"/>
      <c r="LGC96" s="350"/>
      <c r="LGD96" s="350"/>
      <c r="LGE96" s="350"/>
      <c r="LGF96" s="350"/>
      <c r="LGG96" s="350"/>
      <c r="LGH96" s="350"/>
      <c r="LGI96" s="350"/>
      <c r="LGJ96" s="350"/>
      <c r="LGK96" s="350"/>
      <c r="LGL96" s="350"/>
      <c r="LGM96" s="350"/>
      <c r="LGN96" s="350"/>
      <c r="LGO96" s="350"/>
      <c r="LGP96" s="350"/>
      <c r="LGQ96" s="350"/>
      <c r="LGR96" s="350"/>
      <c r="LGS96" s="350"/>
      <c r="LGT96" s="350"/>
      <c r="LGU96" s="350"/>
      <c r="LGV96" s="350"/>
      <c r="LGW96" s="350"/>
      <c r="LGX96" s="350"/>
      <c r="LGY96" s="350"/>
      <c r="LGZ96" s="350"/>
      <c r="LHA96" s="350"/>
      <c r="LHB96" s="350"/>
      <c r="LHC96" s="350"/>
      <c r="LHD96" s="350"/>
      <c r="LHE96" s="350"/>
      <c r="LHF96" s="350"/>
      <c r="LHG96" s="350"/>
      <c r="LHH96" s="350"/>
      <c r="LHI96" s="350"/>
      <c r="LHJ96" s="350"/>
      <c r="LHK96" s="350"/>
      <c r="LHL96" s="350"/>
      <c r="LHM96" s="350"/>
      <c r="LHN96" s="350"/>
      <c r="LHO96" s="350"/>
      <c r="LHP96" s="350"/>
      <c r="LHQ96" s="350"/>
      <c r="LHR96" s="350"/>
      <c r="LHS96" s="350"/>
      <c r="LHT96" s="350"/>
      <c r="LHU96" s="350"/>
      <c r="LHV96" s="350"/>
      <c r="LHW96" s="350"/>
      <c r="LHX96" s="350"/>
      <c r="LHY96" s="350"/>
      <c r="LHZ96" s="350"/>
      <c r="LIA96" s="350"/>
      <c r="LIB96" s="350"/>
      <c r="LIC96" s="350"/>
      <c r="LID96" s="350"/>
      <c r="LIE96" s="350"/>
      <c r="LIF96" s="350"/>
      <c r="LIG96" s="350"/>
      <c r="LIH96" s="350"/>
      <c r="LII96" s="350"/>
      <c r="LIJ96" s="350"/>
      <c r="LIK96" s="350"/>
      <c r="LIL96" s="350"/>
      <c r="LIM96" s="350"/>
      <c r="LIN96" s="350"/>
      <c r="LIO96" s="350"/>
      <c r="LIP96" s="350"/>
      <c r="LIQ96" s="350"/>
      <c r="LIR96" s="350"/>
      <c r="LIS96" s="350"/>
      <c r="LIT96" s="350"/>
      <c r="LIU96" s="350"/>
      <c r="LIV96" s="350"/>
      <c r="LIW96" s="350"/>
      <c r="LIX96" s="350"/>
      <c r="LIY96" s="350"/>
      <c r="LIZ96" s="350"/>
      <c r="LJA96" s="350"/>
      <c r="LJB96" s="350"/>
      <c r="LJC96" s="350"/>
      <c r="LJD96" s="350"/>
      <c r="LJE96" s="350"/>
      <c r="LJF96" s="350"/>
      <c r="LJG96" s="350"/>
      <c r="LJH96" s="350"/>
      <c r="LJI96" s="350"/>
      <c r="LJJ96" s="350"/>
      <c r="LJK96" s="350"/>
      <c r="LJL96" s="350"/>
      <c r="LJM96" s="350"/>
      <c r="LJN96" s="350"/>
      <c r="LJO96" s="350"/>
      <c r="LJP96" s="350"/>
      <c r="LJQ96" s="350"/>
      <c r="LJR96" s="350"/>
      <c r="LJS96" s="350"/>
      <c r="LJT96" s="350"/>
      <c r="LJU96" s="350"/>
      <c r="LJV96" s="350"/>
      <c r="LJW96" s="350"/>
      <c r="LJX96" s="350"/>
      <c r="LJY96" s="350"/>
      <c r="LJZ96" s="350"/>
      <c r="LKA96" s="350"/>
      <c r="LKB96" s="350"/>
      <c r="LKC96" s="350"/>
      <c r="LKD96" s="350"/>
      <c r="LKE96" s="350"/>
      <c r="LKF96" s="350"/>
      <c r="LKG96" s="350"/>
      <c r="LKH96" s="350"/>
      <c r="LKI96" s="350"/>
      <c r="LKJ96" s="350"/>
      <c r="LKK96" s="350"/>
      <c r="LKL96" s="350"/>
      <c r="LKM96" s="350"/>
      <c r="LKN96" s="350"/>
      <c r="LKO96" s="350"/>
      <c r="LKP96" s="350"/>
      <c r="LKQ96" s="350"/>
      <c r="LKR96" s="350"/>
      <c r="LKS96" s="350"/>
      <c r="LKT96" s="350"/>
      <c r="LKU96" s="350"/>
      <c r="LKV96" s="350"/>
      <c r="LKW96" s="350"/>
      <c r="LKX96" s="350"/>
      <c r="LKY96" s="350"/>
      <c r="LKZ96" s="350"/>
      <c r="LLA96" s="350"/>
      <c r="LLB96" s="350"/>
      <c r="LLC96" s="350"/>
      <c r="LLD96" s="350"/>
      <c r="LLE96" s="350"/>
      <c r="LLF96" s="350"/>
      <c r="LLG96" s="350"/>
      <c r="LLH96" s="350"/>
      <c r="LLI96" s="350"/>
      <c r="LLJ96" s="350"/>
      <c r="LLK96" s="350"/>
      <c r="LLL96" s="350"/>
      <c r="LLM96" s="350"/>
      <c r="LLN96" s="350"/>
      <c r="LLO96" s="350"/>
      <c r="LLP96" s="350"/>
      <c r="LLQ96" s="350"/>
      <c r="LLR96" s="350"/>
      <c r="LLS96" s="350"/>
      <c r="LLT96" s="350"/>
      <c r="LLU96" s="350"/>
      <c r="LLV96" s="350"/>
      <c r="LLW96" s="350"/>
      <c r="LLX96" s="350"/>
      <c r="LLY96" s="350"/>
      <c r="LLZ96" s="350"/>
      <c r="LMA96" s="350"/>
      <c r="LMB96" s="350"/>
      <c r="LMC96" s="350"/>
      <c r="LMD96" s="350"/>
      <c r="LME96" s="350"/>
      <c r="LMF96" s="350"/>
      <c r="LMG96" s="350"/>
      <c r="LMH96" s="350"/>
      <c r="LMI96" s="350"/>
      <c r="LMJ96" s="350"/>
      <c r="LMK96" s="350"/>
      <c r="LML96" s="350"/>
      <c r="LMM96" s="350"/>
      <c r="LMN96" s="350"/>
      <c r="LMO96" s="350"/>
      <c r="LMP96" s="350"/>
      <c r="LMQ96" s="350"/>
      <c r="LMR96" s="350"/>
      <c r="LMS96" s="350"/>
      <c r="LMT96" s="350"/>
      <c r="LMU96" s="350"/>
      <c r="LMV96" s="350"/>
      <c r="LMW96" s="350"/>
      <c r="LMX96" s="350"/>
      <c r="LMY96" s="350"/>
      <c r="LMZ96" s="350"/>
      <c r="LNA96" s="350"/>
      <c r="LNB96" s="350"/>
      <c r="LNC96" s="350"/>
      <c r="LND96" s="350"/>
      <c r="LNE96" s="350"/>
      <c r="LNF96" s="350"/>
      <c r="LNG96" s="350"/>
      <c r="LNH96" s="350"/>
      <c r="LNI96" s="350"/>
      <c r="LNJ96" s="350"/>
      <c r="LNK96" s="350"/>
      <c r="LNL96" s="350"/>
      <c r="LNM96" s="350"/>
      <c r="LNN96" s="350"/>
      <c r="LNO96" s="350"/>
      <c r="LNP96" s="350"/>
      <c r="LNQ96" s="350"/>
      <c r="LNR96" s="350"/>
      <c r="LNS96" s="350"/>
      <c r="LNT96" s="350"/>
      <c r="LNU96" s="350"/>
      <c r="LNV96" s="350"/>
      <c r="LNW96" s="350"/>
      <c r="LNX96" s="350"/>
      <c r="LNY96" s="350"/>
      <c r="LNZ96" s="350"/>
      <c r="LOA96" s="350"/>
      <c r="LOB96" s="350"/>
      <c r="LOC96" s="350"/>
      <c r="LOD96" s="350"/>
      <c r="LOE96" s="350"/>
      <c r="LOF96" s="350"/>
      <c r="LOG96" s="350"/>
      <c r="LOH96" s="350"/>
      <c r="LOI96" s="350"/>
      <c r="LOJ96" s="350"/>
      <c r="LOK96" s="350"/>
      <c r="LOL96" s="350"/>
      <c r="LOM96" s="350"/>
      <c r="LON96" s="350"/>
      <c r="LOO96" s="350"/>
      <c r="LOP96" s="350"/>
      <c r="LOQ96" s="350"/>
      <c r="LOR96" s="350"/>
      <c r="LOS96" s="350"/>
      <c r="LOT96" s="350"/>
      <c r="LOU96" s="350"/>
      <c r="LOV96" s="350"/>
      <c r="LOW96" s="350"/>
      <c r="LOX96" s="350"/>
      <c r="LOY96" s="350"/>
      <c r="LOZ96" s="350"/>
      <c r="LPA96" s="350"/>
      <c r="LPB96" s="350"/>
      <c r="LPC96" s="350"/>
      <c r="LPD96" s="350"/>
      <c r="LPE96" s="350"/>
      <c r="LPF96" s="350"/>
      <c r="LPG96" s="350"/>
      <c r="LPH96" s="350"/>
      <c r="LPI96" s="350"/>
      <c r="LPJ96" s="350"/>
      <c r="LPK96" s="350"/>
      <c r="LPL96" s="350"/>
      <c r="LPM96" s="350"/>
      <c r="LPN96" s="350"/>
      <c r="LPO96" s="350"/>
      <c r="LPP96" s="350"/>
      <c r="LPQ96" s="350"/>
      <c r="LPR96" s="350"/>
      <c r="LPS96" s="350"/>
      <c r="LPT96" s="350"/>
      <c r="LPU96" s="350"/>
      <c r="LPV96" s="350"/>
      <c r="LPW96" s="350"/>
      <c r="LPX96" s="350"/>
      <c r="LPY96" s="350"/>
      <c r="LPZ96" s="350"/>
      <c r="LQA96" s="350"/>
      <c r="LQB96" s="350"/>
      <c r="LQC96" s="350"/>
      <c r="LQD96" s="350"/>
      <c r="LQE96" s="350"/>
      <c r="LQF96" s="350"/>
      <c r="LQG96" s="350"/>
      <c r="LQH96" s="350"/>
      <c r="LQI96" s="350"/>
      <c r="LQJ96" s="350"/>
      <c r="LQK96" s="350"/>
      <c r="LQL96" s="350"/>
      <c r="LQM96" s="350"/>
      <c r="LQN96" s="350"/>
      <c r="LQO96" s="350"/>
      <c r="LQP96" s="350"/>
      <c r="LQQ96" s="350"/>
      <c r="LQR96" s="350"/>
      <c r="LQS96" s="350"/>
      <c r="LQT96" s="350"/>
      <c r="LQU96" s="350"/>
      <c r="LQV96" s="350"/>
      <c r="LQW96" s="350"/>
      <c r="LQX96" s="350"/>
      <c r="LQY96" s="350"/>
      <c r="LQZ96" s="350"/>
      <c r="LRA96" s="350"/>
      <c r="LRB96" s="350"/>
      <c r="LRC96" s="350"/>
      <c r="LRD96" s="350"/>
      <c r="LRE96" s="350"/>
      <c r="LRF96" s="350"/>
      <c r="LRG96" s="350"/>
      <c r="LRH96" s="350"/>
      <c r="LRI96" s="350"/>
      <c r="LRJ96" s="350"/>
      <c r="LRK96" s="350"/>
      <c r="LRL96" s="350"/>
      <c r="LRM96" s="350"/>
      <c r="LRN96" s="350"/>
      <c r="LRO96" s="350"/>
      <c r="LRP96" s="350"/>
      <c r="LRQ96" s="350"/>
      <c r="LRR96" s="350"/>
      <c r="LRS96" s="350"/>
      <c r="LRT96" s="350"/>
      <c r="LRU96" s="350"/>
      <c r="LRV96" s="350"/>
      <c r="LRW96" s="350"/>
      <c r="LRX96" s="350"/>
      <c r="LRY96" s="350"/>
      <c r="LRZ96" s="350"/>
      <c r="LSA96" s="350"/>
      <c r="LSB96" s="350"/>
      <c r="LSC96" s="350"/>
      <c r="LSD96" s="350"/>
      <c r="LSE96" s="350"/>
      <c r="LSF96" s="350"/>
      <c r="LSG96" s="350"/>
      <c r="LSH96" s="350"/>
      <c r="LSI96" s="350"/>
      <c r="LSJ96" s="350"/>
      <c r="LSK96" s="350"/>
      <c r="LSL96" s="350"/>
      <c r="LSM96" s="350"/>
      <c r="LSN96" s="350"/>
      <c r="LSO96" s="350"/>
      <c r="LSP96" s="350"/>
      <c r="LSQ96" s="350"/>
      <c r="LSR96" s="350"/>
      <c r="LSS96" s="350"/>
      <c r="LST96" s="350"/>
      <c r="LSU96" s="350"/>
      <c r="LSV96" s="350"/>
      <c r="LSW96" s="350"/>
      <c r="LSX96" s="350"/>
      <c r="LSY96" s="350"/>
      <c r="LSZ96" s="350"/>
      <c r="LTA96" s="350"/>
      <c r="LTB96" s="350"/>
      <c r="LTC96" s="350"/>
      <c r="LTD96" s="350"/>
      <c r="LTE96" s="350"/>
      <c r="LTF96" s="350"/>
      <c r="LTG96" s="350"/>
      <c r="LTH96" s="350"/>
      <c r="LTI96" s="350"/>
      <c r="LTJ96" s="350"/>
      <c r="LTK96" s="350"/>
      <c r="LTL96" s="350"/>
      <c r="LTM96" s="350"/>
      <c r="LTN96" s="350"/>
      <c r="LTO96" s="350"/>
      <c r="LTP96" s="350"/>
      <c r="LTQ96" s="350"/>
      <c r="LTR96" s="350"/>
      <c r="LTS96" s="350"/>
      <c r="LTT96" s="350"/>
      <c r="LTU96" s="350"/>
      <c r="LTV96" s="350"/>
      <c r="LTW96" s="350"/>
      <c r="LTX96" s="350"/>
      <c r="LTY96" s="350"/>
      <c r="LTZ96" s="350"/>
      <c r="LUA96" s="350"/>
      <c r="LUB96" s="350"/>
      <c r="LUC96" s="350"/>
      <c r="LUD96" s="350"/>
      <c r="LUE96" s="350"/>
      <c r="LUF96" s="350"/>
      <c r="LUG96" s="350"/>
      <c r="LUH96" s="350"/>
      <c r="LUI96" s="350"/>
      <c r="LUJ96" s="350"/>
      <c r="LUK96" s="350"/>
      <c r="LUL96" s="350"/>
      <c r="LUM96" s="350"/>
      <c r="LUN96" s="350"/>
      <c r="LUO96" s="350"/>
      <c r="LUP96" s="350"/>
      <c r="LUQ96" s="350"/>
      <c r="LUR96" s="350"/>
      <c r="LUS96" s="350"/>
      <c r="LUT96" s="350"/>
      <c r="LUU96" s="350"/>
      <c r="LUV96" s="350"/>
      <c r="LUW96" s="350"/>
      <c r="LUX96" s="350"/>
      <c r="LUY96" s="350"/>
      <c r="LUZ96" s="350"/>
      <c r="LVA96" s="350"/>
      <c r="LVB96" s="350"/>
      <c r="LVC96" s="350"/>
      <c r="LVD96" s="350"/>
      <c r="LVE96" s="350"/>
      <c r="LVF96" s="350"/>
      <c r="LVG96" s="350"/>
      <c r="LVH96" s="350"/>
      <c r="LVI96" s="350"/>
      <c r="LVJ96" s="350"/>
      <c r="LVK96" s="350"/>
      <c r="LVL96" s="350"/>
      <c r="LVM96" s="350"/>
      <c r="LVN96" s="350"/>
      <c r="LVO96" s="350"/>
      <c r="LVP96" s="350"/>
      <c r="LVQ96" s="350"/>
      <c r="LVR96" s="350"/>
      <c r="LVS96" s="350"/>
      <c r="LVT96" s="350"/>
      <c r="LVU96" s="350"/>
      <c r="LVV96" s="350"/>
      <c r="LVW96" s="350"/>
      <c r="LVX96" s="350"/>
      <c r="LVY96" s="350"/>
      <c r="LVZ96" s="350"/>
      <c r="LWA96" s="350"/>
      <c r="LWB96" s="350"/>
      <c r="LWC96" s="350"/>
      <c r="LWD96" s="350"/>
      <c r="LWE96" s="350"/>
      <c r="LWF96" s="350"/>
      <c r="LWG96" s="350"/>
      <c r="LWH96" s="350"/>
      <c r="LWI96" s="350"/>
      <c r="LWJ96" s="350"/>
      <c r="LWK96" s="350"/>
      <c r="LWL96" s="350"/>
      <c r="LWM96" s="350"/>
      <c r="LWN96" s="350"/>
      <c r="LWO96" s="350"/>
      <c r="LWP96" s="350"/>
      <c r="LWQ96" s="350"/>
      <c r="LWR96" s="350"/>
      <c r="LWS96" s="350"/>
      <c r="LWT96" s="350"/>
      <c r="LWU96" s="350"/>
      <c r="LWV96" s="350"/>
      <c r="LWW96" s="350"/>
      <c r="LWX96" s="350"/>
      <c r="LWY96" s="350"/>
      <c r="LWZ96" s="350"/>
      <c r="LXA96" s="350"/>
      <c r="LXB96" s="350"/>
      <c r="LXC96" s="350"/>
      <c r="LXD96" s="350"/>
      <c r="LXE96" s="350"/>
      <c r="LXF96" s="350"/>
      <c r="LXG96" s="350"/>
      <c r="LXH96" s="350"/>
      <c r="LXI96" s="350"/>
      <c r="LXJ96" s="350"/>
      <c r="LXK96" s="350"/>
      <c r="LXL96" s="350"/>
      <c r="LXM96" s="350"/>
      <c r="LXN96" s="350"/>
      <c r="LXO96" s="350"/>
      <c r="LXP96" s="350"/>
      <c r="LXQ96" s="350"/>
      <c r="LXR96" s="350"/>
      <c r="LXS96" s="350"/>
      <c r="LXT96" s="350"/>
      <c r="LXU96" s="350"/>
      <c r="LXV96" s="350"/>
      <c r="LXW96" s="350"/>
      <c r="LXX96" s="350"/>
      <c r="LXY96" s="350"/>
      <c r="LXZ96" s="350"/>
      <c r="LYA96" s="350"/>
      <c r="LYB96" s="350"/>
      <c r="LYC96" s="350"/>
      <c r="LYD96" s="350"/>
      <c r="LYE96" s="350"/>
      <c r="LYF96" s="350"/>
      <c r="LYG96" s="350"/>
      <c r="LYH96" s="350"/>
      <c r="LYI96" s="350"/>
      <c r="LYJ96" s="350"/>
      <c r="LYK96" s="350"/>
      <c r="LYL96" s="350"/>
      <c r="LYM96" s="350"/>
      <c r="LYN96" s="350"/>
      <c r="LYO96" s="350"/>
      <c r="LYP96" s="350"/>
      <c r="LYQ96" s="350"/>
      <c r="LYR96" s="350"/>
      <c r="LYS96" s="350"/>
      <c r="LYT96" s="350"/>
      <c r="LYU96" s="350"/>
      <c r="LYV96" s="350"/>
      <c r="LYW96" s="350"/>
      <c r="LYX96" s="350"/>
      <c r="LYY96" s="350"/>
      <c r="LYZ96" s="350"/>
      <c r="LZA96" s="350"/>
      <c r="LZB96" s="350"/>
      <c r="LZC96" s="350"/>
      <c r="LZD96" s="350"/>
      <c r="LZE96" s="350"/>
      <c r="LZF96" s="350"/>
      <c r="LZG96" s="350"/>
      <c r="LZH96" s="350"/>
      <c r="LZI96" s="350"/>
      <c r="LZJ96" s="350"/>
      <c r="LZK96" s="350"/>
      <c r="LZL96" s="350"/>
      <c r="LZM96" s="350"/>
      <c r="LZN96" s="350"/>
      <c r="LZO96" s="350"/>
      <c r="LZP96" s="350"/>
      <c r="LZQ96" s="350"/>
      <c r="LZR96" s="350"/>
      <c r="LZS96" s="350"/>
      <c r="LZT96" s="350"/>
      <c r="LZU96" s="350"/>
      <c r="LZV96" s="350"/>
      <c r="LZW96" s="350"/>
      <c r="LZX96" s="350"/>
      <c r="LZY96" s="350"/>
      <c r="LZZ96" s="350"/>
      <c r="MAA96" s="350"/>
      <c r="MAB96" s="350"/>
      <c r="MAC96" s="350"/>
      <c r="MAD96" s="350"/>
      <c r="MAE96" s="350"/>
      <c r="MAF96" s="350"/>
      <c r="MAG96" s="350"/>
      <c r="MAH96" s="350"/>
      <c r="MAI96" s="350"/>
      <c r="MAJ96" s="350"/>
      <c r="MAK96" s="350"/>
      <c r="MAL96" s="350"/>
      <c r="MAM96" s="350"/>
      <c r="MAN96" s="350"/>
      <c r="MAO96" s="350"/>
      <c r="MAP96" s="350"/>
      <c r="MAQ96" s="350"/>
      <c r="MAR96" s="350"/>
      <c r="MAS96" s="350"/>
      <c r="MAT96" s="350"/>
      <c r="MAU96" s="350"/>
      <c r="MAV96" s="350"/>
      <c r="MAW96" s="350"/>
      <c r="MAX96" s="350"/>
      <c r="MAY96" s="350"/>
      <c r="MAZ96" s="350"/>
      <c r="MBA96" s="350"/>
      <c r="MBB96" s="350"/>
      <c r="MBC96" s="350"/>
      <c r="MBD96" s="350"/>
      <c r="MBE96" s="350"/>
      <c r="MBF96" s="350"/>
      <c r="MBG96" s="350"/>
      <c r="MBH96" s="350"/>
      <c r="MBI96" s="350"/>
      <c r="MBJ96" s="350"/>
      <c r="MBK96" s="350"/>
      <c r="MBL96" s="350"/>
      <c r="MBM96" s="350"/>
      <c r="MBN96" s="350"/>
      <c r="MBO96" s="350"/>
      <c r="MBP96" s="350"/>
      <c r="MBQ96" s="350"/>
      <c r="MBR96" s="350"/>
      <c r="MBS96" s="350"/>
      <c r="MBT96" s="350"/>
      <c r="MBU96" s="350"/>
      <c r="MBV96" s="350"/>
      <c r="MBW96" s="350"/>
      <c r="MBX96" s="350"/>
      <c r="MBY96" s="350"/>
      <c r="MBZ96" s="350"/>
      <c r="MCA96" s="350"/>
      <c r="MCB96" s="350"/>
      <c r="MCC96" s="350"/>
      <c r="MCD96" s="350"/>
      <c r="MCE96" s="350"/>
      <c r="MCF96" s="350"/>
      <c r="MCG96" s="350"/>
      <c r="MCH96" s="350"/>
      <c r="MCI96" s="350"/>
      <c r="MCJ96" s="350"/>
      <c r="MCK96" s="350"/>
      <c r="MCL96" s="350"/>
      <c r="MCM96" s="350"/>
      <c r="MCN96" s="350"/>
      <c r="MCO96" s="350"/>
      <c r="MCP96" s="350"/>
      <c r="MCQ96" s="350"/>
      <c r="MCR96" s="350"/>
      <c r="MCS96" s="350"/>
      <c r="MCT96" s="350"/>
      <c r="MCU96" s="350"/>
      <c r="MCV96" s="350"/>
      <c r="MCW96" s="350"/>
      <c r="MCX96" s="350"/>
      <c r="MCY96" s="350"/>
      <c r="MCZ96" s="350"/>
      <c r="MDA96" s="350"/>
      <c r="MDB96" s="350"/>
      <c r="MDC96" s="350"/>
      <c r="MDD96" s="350"/>
      <c r="MDE96" s="350"/>
      <c r="MDF96" s="350"/>
      <c r="MDG96" s="350"/>
      <c r="MDH96" s="350"/>
      <c r="MDI96" s="350"/>
      <c r="MDJ96" s="350"/>
      <c r="MDK96" s="350"/>
      <c r="MDL96" s="350"/>
      <c r="MDM96" s="350"/>
      <c r="MDN96" s="350"/>
      <c r="MDO96" s="350"/>
      <c r="MDP96" s="350"/>
      <c r="MDQ96" s="350"/>
      <c r="MDR96" s="350"/>
      <c r="MDS96" s="350"/>
      <c r="MDT96" s="350"/>
      <c r="MDU96" s="350"/>
      <c r="MDV96" s="350"/>
      <c r="MDW96" s="350"/>
      <c r="MDX96" s="350"/>
      <c r="MDY96" s="350"/>
      <c r="MDZ96" s="350"/>
      <c r="MEA96" s="350"/>
      <c r="MEB96" s="350"/>
      <c r="MEC96" s="350"/>
      <c r="MED96" s="350"/>
      <c r="MEE96" s="350"/>
      <c r="MEF96" s="350"/>
      <c r="MEG96" s="350"/>
      <c r="MEH96" s="350"/>
      <c r="MEI96" s="350"/>
      <c r="MEJ96" s="350"/>
      <c r="MEK96" s="350"/>
      <c r="MEL96" s="350"/>
      <c r="MEM96" s="350"/>
      <c r="MEN96" s="350"/>
      <c r="MEO96" s="350"/>
      <c r="MEP96" s="350"/>
      <c r="MEQ96" s="350"/>
      <c r="MER96" s="350"/>
      <c r="MES96" s="350"/>
      <c r="MET96" s="350"/>
      <c r="MEU96" s="350"/>
      <c r="MEV96" s="350"/>
      <c r="MEW96" s="350"/>
      <c r="MEX96" s="350"/>
      <c r="MEY96" s="350"/>
      <c r="MEZ96" s="350"/>
      <c r="MFA96" s="350"/>
      <c r="MFB96" s="350"/>
      <c r="MFC96" s="350"/>
      <c r="MFD96" s="350"/>
      <c r="MFE96" s="350"/>
      <c r="MFF96" s="350"/>
      <c r="MFG96" s="350"/>
      <c r="MFH96" s="350"/>
      <c r="MFI96" s="350"/>
      <c r="MFJ96" s="350"/>
      <c r="MFK96" s="350"/>
      <c r="MFL96" s="350"/>
      <c r="MFM96" s="350"/>
      <c r="MFN96" s="350"/>
      <c r="MFO96" s="350"/>
      <c r="MFP96" s="350"/>
      <c r="MFQ96" s="350"/>
      <c r="MFR96" s="350"/>
      <c r="MFS96" s="350"/>
      <c r="MFT96" s="350"/>
      <c r="MFU96" s="350"/>
      <c r="MFV96" s="350"/>
      <c r="MFW96" s="350"/>
      <c r="MFX96" s="350"/>
      <c r="MFY96" s="350"/>
      <c r="MFZ96" s="350"/>
      <c r="MGA96" s="350"/>
      <c r="MGB96" s="350"/>
      <c r="MGC96" s="350"/>
      <c r="MGD96" s="350"/>
      <c r="MGE96" s="350"/>
      <c r="MGF96" s="350"/>
      <c r="MGG96" s="350"/>
      <c r="MGH96" s="350"/>
      <c r="MGI96" s="350"/>
      <c r="MGJ96" s="350"/>
      <c r="MGK96" s="350"/>
      <c r="MGL96" s="350"/>
      <c r="MGM96" s="350"/>
      <c r="MGN96" s="350"/>
      <c r="MGO96" s="350"/>
      <c r="MGP96" s="350"/>
      <c r="MGQ96" s="350"/>
      <c r="MGR96" s="350"/>
      <c r="MGS96" s="350"/>
      <c r="MGT96" s="350"/>
      <c r="MGU96" s="350"/>
      <c r="MGV96" s="350"/>
      <c r="MGW96" s="350"/>
      <c r="MGX96" s="350"/>
      <c r="MGY96" s="350"/>
      <c r="MGZ96" s="350"/>
      <c r="MHA96" s="350"/>
      <c r="MHB96" s="350"/>
      <c r="MHC96" s="350"/>
      <c r="MHD96" s="350"/>
      <c r="MHE96" s="350"/>
      <c r="MHF96" s="350"/>
      <c r="MHG96" s="350"/>
      <c r="MHH96" s="350"/>
      <c r="MHI96" s="350"/>
      <c r="MHJ96" s="350"/>
      <c r="MHK96" s="350"/>
      <c r="MHL96" s="350"/>
      <c r="MHM96" s="350"/>
      <c r="MHN96" s="350"/>
      <c r="MHO96" s="350"/>
      <c r="MHP96" s="350"/>
      <c r="MHQ96" s="350"/>
      <c r="MHR96" s="350"/>
      <c r="MHS96" s="350"/>
      <c r="MHT96" s="350"/>
      <c r="MHU96" s="350"/>
      <c r="MHV96" s="350"/>
      <c r="MHW96" s="350"/>
      <c r="MHX96" s="350"/>
      <c r="MHY96" s="350"/>
      <c r="MHZ96" s="350"/>
      <c r="MIA96" s="350"/>
      <c r="MIB96" s="350"/>
      <c r="MIC96" s="350"/>
      <c r="MID96" s="350"/>
      <c r="MIE96" s="350"/>
      <c r="MIF96" s="350"/>
      <c r="MIG96" s="350"/>
      <c r="MIH96" s="350"/>
      <c r="MII96" s="350"/>
      <c r="MIJ96" s="350"/>
      <c r="MIK96" s="350"/>
      <c r="MIL96" s="350"/>
      <c r="MIM96" s="350"/>
      <c r="MIN96" s="350"/>
      <c r="MIO96" s="350"/>
      <c r="MIP96" s="350"/>
      <c r="MIQ96" s="350"/>
      <c r="MIR96" s="350"/>
      <c r="MIS96" s="350"/>
      <c r="MIT96" s="350"/>
      <c r="MIU96" s="350"/>
      <c r="MIV96" s="350"/>
      <c r="MIW96" s="350"/>
      <c r="MIX96" s="350"/>
      <c r="MIY96" s="350"/>
      <c r="MIZ96" s="350"/>
      <c r="MJA96" s="350"/>
      <c r="MJB96" s="350"/>
      <c r="MJC96" s="350"/>
      <c r="MJD96" s="350"/>
      <c r="MJE96" s="350"/>
      <c r="MJF96" s="350"/>
      <c r="MJG96" s="350"/>
      <c r="MJH96" s="350"/>
      <c r="MJI96" s="350"/>
      <c r="MJJ96" s="350"/>
      <c r="MJK96" s="350"/>
      <c r="MJL96" s="350"/>
      <c r="MJM96" s="350"/>
      <c r="MJN96" s="350"/>
      <c r="MJO96" s="350"/>
      <c r="MJP96" s="350"/>
      <c r="MJQ96" s="350"/>
      <c r="MJR96" s="350"/>
      <c r="MJS96" s="350"/>
      <c r="MJT96" s="350"/>
      <c r="MJU96" s="350"/>
      <c r="MJV96" s="350"/>
      <c r="MJW96" s="350"/>
      <c r="MJX96" s="350"/>
      <c r="MJY96" s="350"/>
      <c r="MJZ96" s="350"/>
      <c r="MKA96" s="350"/>
      <c r="MKB96" s="350"/>
      <c r="MKC96" s="350"/>
      <c r="MKD96" s="350"/>
      <c r="MKE96" s="350"/>
      <c r="MKF96" s="350"/>
      <c r="MKG96" s="350"/>
      <c r="MKH96" s="350"/>
      <c r="MKI96" s="350"/>
      <c r="MKJ96" s="350"/>
      <c r="MKK96" s="350"/>
      <c r="MKL96" s="350"/>
      <c r="MKM96" s="350"/>
      <c r="MKN96" s="350"/>
      <c r="MKO96" s="350"/>
      <c r="MKP96" s="350"/>
      <c r="MKQ96" s="350"/>
      <c r="MKR96" s="350"/>
      <c r="MKS96" s="350"/>
      <c r="MKT96" s="350"/>
      <c r="MKU96" s="350"/>
      <c r="MKV96" s="350"/>
      <c r="MKW96" s="350"/>
      <c r="MKX96" s="350"/>
      <c r="MKY96" s="350"/>
      <c r="MKZ96" s="350"/>
      <c r="MLA96" s="350"/>
      <c r="MLB96" s="350"/>
      <c r="MLC96" s="350"/>
      <c r="MLD96" s="350"/>
      <c r="MLE96" s="350"/>
      <c r="MLF96" s="350"/>
      <c r="MLG96" s="350"/>
      <c r="MLH96" s="350"/>
      <c r="MLI96" s="350"/>
      <c r="MLJ96" s="350"/>
      <c r="MLK96" s="350"/>
      <c r="MLL96" s="350"/>
      <c r="MLM96" s="350"/>
      <c r="MLN96" s="350"/>
      <c r="MLO96" s="350"/>
      <c r="MLP96" s="350"/>
      <c r="MLQ96" s="350"/>
      <c r="MLR96" s="350"/>
      <c r="MLS96" s="350"/>
      <c r="MLT96" s="350"/>
      <c r="MLU96" s="350"/>
      <c r="MLV96" s="350"/>
      <c r="MLW96" s="350"/>
      <c r="MLX96" s="350"/>
      <c r="MLY96" s="350"/>
      <c r="MLZ96" s="350"/>
      <c r="MMA96" s="350"/>
      <c r="MMB96" s="350"/>
      <c r="MMC96" s="350"/>
      <c r="MMD96" s="350"/>
      <c r="MME96" s="350"/>
      <c r="MMF96" s="350"/>
      <c r="MMG96" s="350"/>
      <c r="MMH96" s="350"/>
      <c r="MMI96" s="350"/>
      <c r="MMJ96" s="350"/>
      <c r="MMK96" s="350"/>
      <c r="MML96" s="350"/>
      <c r="MMM96" s="350"/>
      <c r="MMN96" s="350"/>
      <c r="MMO96" s="350"/>
      <c r="MMP96" s="350"/>
      <c r="MMQ96" s="350"/>
      <c r="MMR96" s="350"/>
      <c r="MMS96" s="350"/>
      <c r="MMT96" s="350"/>
      <c r="MMU96" s="350"/>
      <c r="MMV96" s="350"/>
      <c r="MMW96" s="350"/>
      <c r="MMX96" s="350"/>
      <c r="MMY96" s="350"/>
      <c r="MMZ96" s="350"/>
      <c r="MNA96" s="350"/>
      <c r="MNB96" s="350"/>
      <c r="MNC96" s="350"/>
      <c r="MND96" s="350"/>
      <c r="MNE96" s="350"/>
      <c r="MNF96" s="350"/>
      <c r="MNG96" s="350"/>
      <c r="MNH96" s="350"/>
      <c r="MNI96" s="350"/>
      <c r="MNJ96" s="350"/>
      <c r="MNK96" s="350"/>
      <c r="MNL96" s="350"/>
      <c r="MNM96" s="350"/>
      <c r="MNN96" s="350"/>
      <c r="MNO96" s="350"/>
      <c r="MNP96" s="350"/>
      <c r="MNQ96" s="350"/>
      <c r="MNR96" s="350"/>
      <c r="MNS96" s="350"/>
      <c r="MNT96" s="350"/>
      <c r="MNU96" s="350"/>
      <c r="MNV96" s="350"/>
      <c r="MNW96" s="350"/>
      <c r="MNX96" s="350"/>
      <c r="MNY96" s="350"/>
      <c r="MNZ96" s="350"/>
      <c r="MOA96" s="350"/>
      <c r="MOB96" s="350"/>
      <c r="MOC96" s="350"/>
      <c r="MOD96" s="350"/>
      <c r="MOE96" s="350"/>
      <c r="MOF96" s="350"/>
      <c r="MOG96" s="350"/>
      <c r="MOH96" s="350"/>
      <c r="MOI96" s="350"/>
      <c r="MOJ96" s="350"/>
      <c r="MOK96" s="350"/>
      <c r="MOL96" s="350"/>
      <c r="MOM96" s="350"/>
      <c r="MON96" s="350"/>
      <c r="MOO96" s="350"/>
      <c r="MOP96" s="350"/>
      <c r="MOQ96" s="350"/>
      <c r="MOR96" s="350"/>
      <c r="MOS96" s="350"/>
      <c r="MOT96" s="350"/>
      <c r="MOU96" s="350"/>
      <c r="MOV96" s="350"/>
      <c r="MOW96" s="350"/>
      <c r="MOX96" s="350"/>
      <c r="MOY96" s="350"/>
      <c r="MOZ96" s="350"/>
      <c r="MPA96" s="350"/>
      <c r="MPB96" s="350"/>
      <c r="MPC96" s="350"/>
      <c r="MPD96" s="350"/>
      <c r="MPE96" s="350"/>
      <c r="MPF96" s="350"/>
      <c r="MPG96" s="350"/>
      <c r="MPH96" s="350"/>
      <c r="MPI96" s="350"/>
      <c r="MPJ96" s="350"/>
      <c r="MPK96" s="350"/>
      <c r="MPL96" s="350"/>
      <c r="MPM96" s="350"/>
      <c r="MPN96" s="350"/>
      <c r="MPO96" s="350"/>
      <c r="MPP96" s="350"/>
      <c r="MPQ96" s="350"/>
      <c r="MPR96" s="350"/>
      <c r="MPS96" s="350"/>
      <c r="MPT96" s="350"/>
      <c r="MPU96" s="350"/>
      <c r="MPV96" s="350"/>
      <c r="MPW96" s="350"/>
      <c r="MPX96" s="350"/>
      <c r="MPY96" s="350"/>
      <c r="MPZ96" s="350"/>
      <c r="MQA96" s="350"/>
      <c r="MQB96" s="350"/>
      <c r="MQC96" s="350"/>
      <c r="MQD96" s="350"/>
      <c r="MQE96" s="350"/>
      <c r="MQF96" s="350"/>
      <c r="MQG96" s="350"/>
      <c r="MQH96" s="350"/>
      <c r="MQI96" s="350"/>
      <c r="MQJ96" s="350"/>
      <c r="MQK96" s="350"/>
      <c r="MQL96" s="350"/>
      <c r="MQM96" s="350"/>
      <c r="MQN96" s="350"/>
      <c r="MQO96" s="350"/>
      <c r="MQP96" s="350"/>
      <c r="MQQ96" s="350"/>
      <c r="MQR96" s="350"/>
      <c r="MQS96" s="350"/>
      <c r="MQT96" s="350"/>
      <c r="MQU96" s="350"/>
      <c r="MQV96" s="350"/>
      <c r="MQW96" s="350"/>
      <c r="MQX96" s="350"/>
      <c r="MQY96" s="350"/>
      <c r="MQZ96" s="350"/>
      <c r="MRA96" s="350"/>
      <c r="MRB96" s="350"/>
      <c r="MRC96" s="350"/>
      <c r="MRD96" s="350"/>
      <c r="MRE96" s="350"/>
      <c r="MRF96" s="350"/>
      <c r="MRG96" s="350"/>
      <c r="MRH96" s="350"/>
      <c r="MRI96" s="350"/>
      <c r="MRJ96" s="350"/>
      <c r="MRK96" s="350"/>
      <c r="MRL96" s="350"/>
      <c r="MRM96" s="350"/>
      <c r="MRN96" s="350"/>
      <c r="MRO96" s="350"/>
      <c r="MRP96" s="350"/>
      <c r="MRQ96" s="350"/>
      <c r="MRR96" s="350"/>
      <c r="MRS96" s="350"/>
      <c r="MRT96" s="350"/>
      <c r="MRU96" s="350"/>
      <c r="MRV96" s="350"/>
      <c r="MRW96" s="350"/>
      <c r="MRX96" s="350"/>
      <c r="MRY96" s="350"/>
      <c r="MRZ96" s="350"/>
      <c r="MSA96" s="350"/>
      <c r="MSB96" s="350"/>
      <c r="MSC96" s="350"/>
      <c r="MSD96" s="350"/>
      <c r="MSE96" s="350"/>
      <c r="MSF96" s="350"/>
      <c r="MSG96" s="350"/>
      <c r="MSH96" s="350"/>
      <c r="MSI96" s="350"/>
      <c r="MSJ96" s="350"/>
      <c r="MSK96" s="350"/>
      <c r="MSL96" s="350"/>
      <c r="MSM96" s="350"/>
      <c r="MSN96" s="350"/>
      <c r="MSO96" s="350"/>
      <c r="MSP96" s="350"/>
      <c r="MSQ96" s="350"/>
      <c r="MSR96" s="350"/>
      <c r="MSS96" s="350"/>
      <c r="MST96" s="350"/>
      <c r="MSU96" s="350"/>
      <c r="MSV96" s="350"/>
      <c r="MSW96" s="350"/>
      <c r="MSX96" s="350"/>
      <c r="MSY96" s="350"/>
      <c r="MSZ96" s="350"/>
      <c r="MTA96" s="350"/>
      <c r="MTB96" s="350"/>
      <c r="MTC96" s="350"/>
      <c r="MTD96" s="350"/>
      <c r="MTE96" s="350"/>
      <c r="MTF96" s="350"/>
      <c r="MTG96" s="350"/>
      <c r="MTH96" s="350"/>
      <c r="MTI96" s="350"/>
      <c r="MTJ96" s="350"/>
      <c r="MTK96" s="350"/>
      <c r="MTL96" s="350"/>
      <c r="MTM96" s="350"/>
      <c r="MTN96" s="350"/>
      <c r="MTO96" s="350"/>
      <c r="MTP96" s="350"/>
      <c r="MTQ96" s="350"/>
      <c r="MTR96" s="350"/>
      <c r="MTS96" s="350"/>
      <c r="MTT96" s="350"/>
      <c r="MTU96" s="350"/>
      <c r="MTV96" s="350"/>
      <c r="MTW96" s="350"/>
      <c r="MTX96" s="350"/>
      <c r="MTY96" s="350"/>
      <c r="MTZ96" s="350"/>
      <c r="MUA96" s="350"/>
      <c r="MUB96" s="350"/>
      <c r="MUC96" s="350"/>
      <c r="MUD96" s="350"/>
      <c r="MUE96" s="350"/>
      <c r="MUF96" s="350"/>
      <c r="MUG96" s="350"/>
      <c r="MUH96" s="350"/>
      <c r="MUI96" s="350"/>
      <c r="MUJ96" s="350"/>
      <c r="MUK96" s="350"/>
      <c r="MUL96" s="350"/>
      <c r="MUM96" s="350"/>
      <c r="MUN96" s="350"/>
      <c r="MUO96" s="350"/>
      <c r="MUP96" s="350"/>
      <c r="MUQ96" s="350"/>
      <c r="MUR96" s="350"/>
      <c r="MUS96" s="350"/>
      <c r="MUT96" s="350"/>
      <c r="MUU96" s="350"/>
      <c r="MUV96" s="350"/>
      <c r="MUW96" s="350"/>
      <c r="MUX96" s="350"/>
      <c r="MUY96" s="350"/>
      <c r="MUZ96" s="350"/>
      <c r="MVA96" s="350"/>
      <c r="MVB96" s="350"/>
      <c r="MVC96" s="350"/>
      <c r="MVD96" s="350"/>
      <c r="MVE96" s="350"/>
      <c r="MVF96" s="350"/>
      <c r="MVG96" s="350"/>
      <c r="MVH96" s="350"/>
      <c r="MVI96" s="350"/>
      <c r="MVJ96" s="350"/>
      <c r="MVK96" s="350"/>
      <c r="MVL96" s="350"/>
      <c r="MVM96" s="350"/>
      <c r="MVN96" s="350"/>
      <c r="MVO96" s="350"/>
      <c r="MVP96" s="350"/>
      <c r="MVQ96" s="350"/>
      <c r="MVR96" s="350"/>
      <c r="MVS96" s="350"/>
      <c r="MVT96" s="350"/>
      <c r="MVU96" s="350"/>
      <c r="MVV96" s="350"/>
      <c r="MVW96" s="350"/>
      <c r="MVX96" s="350"/>
      <c r="MVY96" s="350"/>
      <c r="MVZ96" s="350"/>
      <c r="MWA96" s="350"/>
      <c r="MWB96" s="350"/>
      <c r="MWC96" s="350"/>
      <c r="MWD96" s="350"/>
      <c r="MWE96" s="350"/>
      <c r="MWF96" s="350"/>
      <c r="MWG96" s="350"/>
      <c r="MWH96" s="350"/>
      <c r="MWI96" s="350"/>
      <c r="MWJ96" s="350"/>
      <c r="MWK96" s="350"/>
      <c r="MWL96" s="350"/>
      <c r="MWM96" s="350"/>
      <c r="MWN96" s="350"/>
      <c r="MWO96" s="350"/>
      <c r="MWP96" s="350"/>
      <c r="MWQ96" s="350"/>
      <c r="MWR96" s="350"/>
      <c r="MWS96" s="350"/>
      <c r="MWT96" s="350"/>
      <c r="MWU96" s="350"/>
      <c r="MWV96" s="350"/>
      <c r="MWW96" s="350"/>
      <c r="MWX96" s="350"/>
      <c r="MWY96" s="350"/>
      <c r="MWZ96" s="350"/>
      <c r="MXA96" s="350"/>
      <c r="MXB96" s="350"/>
      <c r="MXC96" s="350"/>
      <c r="MXD96" s="350"/>
      <c r="MXE96" s="350"/>
      <c r="MXF96" s="350"/>
      <c r="MXG96" s="350"/>
      <c r="MXH96" s="350"/>
      <c r="MXI96" s="350"/>
      <c r="MXJ96" s="350"/>
      <c r="MXK96" s="350"/>
      <c r="MXL96" s="350"/>
      <c r="MXM96" s="350"/>
      <c r="MXN96" s="350"/>
      <c r="MXO96" s="350"/>
      <c r="MXP96" s="350"/>
      <c r="MXQ96" s="350"/>
      <c r="MXR96" s="350"/>
      <c r="MXS96" s="350"/>
      <c r="MXT96" s="350"/>
      <c r="MXU96" s="350"/>
      <c r="MXV96" s="350"/>
      <c r="MXW96" s="350"/>
      <c r="MXX96" s="350"/>
      <c r="MXY96" s="350"/>
      <c r="MXZ96" s="350"/>
      <c r="MYA96" s="350"/>
      <c r="MYB96" s="350"/>
      <c r="MYC96" s="350"/>
      <c r="MYD96" s="350"/>
      <c r="MYE96" s="350"/>
      <c r="MYF96" s="350"/>
      <c r="MYG96" s="350"/>
      <c r="MYH96" s="350"/>
      <c r="MYI96" s="350"/>
      <c r="MYJ96" s="350"/>
      <c r="MYK96" s="350"/>
      <c r="MYL96" s="350"/>
      <c r="MYM96" s="350"/>
      <c r="MYN96" s="350"/>
      <c r="MYO96" s="350"/>
      <c r="MYP96" s="350"/>
      <c r="MYQ96" s="350"/>
      <c r="MYR96" s="350"/>
      <c r="MYS96" s="350"/>
      <c r="MYT96" s="350"/>
      <c r="MYU96" s="350"/>
      <c r="MYV96" s="350"/>
      <c r="MYW96" s="350"/>
      <c r="MYX96" s="350"/>
      <c r="MYY96" s="350"/>
      <c r="MYZ96" s="350"/>
      <c r="MZA96" s="350"/>
      <c r="MZB96" s="350"/>
      <c r="MZC96" s="350"/>
      <c r="MZD96" s="350"/>
      <c r="MZE96" s="350"/>
      <c r="MZF96" s="350"/>
      <c r="MZG96" s="350"/>
      <c r="MZH96" s="350"/>
      <c r="MZI96" s="350"/>
      <c r="MZJ96" s="350"/>
      <c r="MZK96" s="350"/>
      <c r="MZL96" s="350"/>
      <c r="MZM96" s="350"/>
      <c r="MZN96" s="350"/>
      <c r="MZO96" s="350"/>
      <c r="MZP96" s="350"/>
      <c r="MZQ96" s="350"/>
      <c r="MZR96" s="350"/>
      <c r="MZS96" s="350"/>
      <c r="MZT96" s="350"/>
      <c r="MZU96" s="350"/>
      <c r="MZV96" s="350"/>
      <c r="MZW96" s="350"/>
      <c r="MZX96" s="350"/>
      <c r="MZY96" s="350"/>
      <c r="MZZ96" s="350"/>
      <c r="NAA96" s="350"/>
      <c r="NAB96" s="350"/>
      <c r="NAC96" s="350"/>
      <c r="NAD96" s="350"/>
      <c r="NAE96" s="350"/>
      <c r="NAF96" s="350"/>
      <c r="NAG96" s="350"/>
      <c r="NAH96" s="350"/>
      <c r="NAI96" s="350"/>
      <c r="NAJ96" s="350"/>
      <c r="NAK96" s="350"/>
      <c r="NAL96" s="350"/>
      <c r="NAM96" s="350"/>
      <c r="NAN96" s="350"/>
      <c r="NAO96" s="350"/>
      <c r="NAP96" s="350"/>
      <c r="NAQ96" s="350"/>
      <c r="NAR96" s="350"/>
      <c r="NAS96" s="350"/>
      <c r="NAT96" s="350"/>
      <c r="NAU96" s="350"/>
      <c r="NAV96" s="350"/>
      <c r="NAW96" s="350"/>
      <c r="NAX96" s="350"/>
      <c r="NAY96" s="350"/>
      <c r="NAZ96" s="350"/>
      <c r="NBA96" s="350"/>
      <c r="NBB96" s="350"/>
      <c r="NBC96" s="350"/>
      <c r="NBD96" s="350"/>
      <c r="NBE96" s="350"/>
      <c r="NBF96" s="350"/>
      <c r="NBG96" s="350"/>
      <c r="NBH96" s="350"/>
      <c r="NBI96" s="350"/>
      <c r="NBJ96" s="350"/>
      <c r="NBK96" s="350"/>
      <c r="NBL96" s="350"/>
      <c r="NBM96" s="350"/>
      <c r="NBN96" s="350"/>
      <c r="NBO96" s="350"/>
      <c r="NBP96" s="350"/>
      <c r="NBQ96" s="350"/>
      <c r="NBR96" s="350"/>
      <c r="NBS96" s="350"/>
      <c r="NBT96" s="350"/>
      <c r="NBU96" s="350"/>
      <c r="NBV96" s="350"/>
      <c r="NBW96" s="350"/>
      <c r="NBX96" s="350"/>
      <c r="NBY96" s="350"/>
      <c r="NBZ96" s="350"/>
      <c r="NCA96" s="350"/>
      <c r="NCB96" s="350"/>
      <c r="NCC96" s="350"/>
      <c r="NCD96" s="350"/>
      <c r="NCE96" s="350"/>
      <c r="NCF96" s="350"/>
      <c r="NCG96" s="350"/>
      <c r="NCH96" s="350"/>
      <c r="NCI96" s="350"/>
      <c r="NCJ96" s="350"/>
      <c r="NCK96" s="350"/>
      <c r="NCL96" s="350"/>
      <c r="NCM96" s="350"/>
      <c r="NCN96" s="350"/>
      <c r="NCO96" s="350"/>
      <c r="NCP96" s="350"/>
      <c r="NCQ96" s="350"/>
      <c r="NCR96" s="350"/>
      <c r="NCS96" s="350"/>
      <c r="NCT96" s="350"/>
      <c r="NCU96" s="350"/>
      <c r="NCV96" s="350"/>
      <c r="NCW96" s="350"/>
      <c r="NCX96" s="350"/>
      <c r="NCY96" s="350"/>
      <c r="NCZ96" s="350"/>
      <c r="NDA96" s="350"/>
      <c r="NDB96" s="350"/>
      <c r="NDC96" s="350"/>
      <c r="NDD96" s="350"/>
      <c r="NDE96" s="350"/>
      <c r="NDF96" s="350"/>
      <c r="NDG96" s="350"/>
      <c r="NDH96" s="350"/>
      <c r="NDI96" s="350"/>
      <c r="NDJ96" s="350"/>
      <c r="NDK96" s="350"/>
      <c r="NDL96" s="350"/>
      <c r="NDM96" s="350"/>
      <c r="NDN96" s="350"/>
      <c r="NDO96" s="350"/>
      <c r="NDP96" s="350"/>
      <c r="NDQ96" s="350"/>
      <c r="NDR96" s="350"/>
      <c r="NDS96" s="350"/>
      <c r="NDT96" s="350"/>
      <c r="NDU96" s="350"/>
      <c r="NDV96" s="350"/>
      <c r="NDW96" s="350"/>
      <c r="NDX96" s="350"/>
      <c r="NDY96" s="350"/>
      <c r="NDZ96" s="350"/>
      <c r="NEA96" s="350"/>
      <c r="NEB96" s="350"/>
      <c r="NEC96" s="350"/>
      <c r="NED96" s="350"/>
      <c r="NEE96" s="350"/>
      <c r="NEF96" s="350"/>
      <c r="NEG96" s="350"/>
      <c r="NEH96" s="350"/>
      <c r="NEI96" s="350"/>
      <c r="NEJ96" s="350"/>
      <c r="NEK96" s="350"/>
      <c r="NEL96" s="350"/>
      <c r="NEM96" s="350"/>
      <c r="NEN96" s="350"/>
      <c r="NEO96" s="350"/>
      <c r="NEP96" s="350"/>
      <c r="NEQ96" s="350"/>
      <c r="NER96" s="350"/>
      <c r="NES96" s="350"/>
      <c r="NET96" s="350"/>
      <c r="NEU96" s="350"/>
      <c r="NEV96" s="350"/>
      <c r="NEW96" s="350"/>
      <c r="NEX96" s="350"/>
      <c r="NEY96" s="350"/>
      <c r="NEZ96" s="350"/>
      <c r="NFA96" s="350"/>
      <c r="NFB96" s="350"/>
      <c r="NFC96" s="350"/>
      <c r="NFD96" s="350"/>
      <c r="NFE96" s="350"/>
      <c r="NFF96" s="350"/>
      <c r="NFG96" s="350"/>
      <c r="NFH96" s="350"/>
      <c r="NFI96" s="350"/>
      <c r="NFJ96" s="350"/>
      <c r="NFK96" s="350"/>
      <c r="NFL96" s="350"/>
      <c r="NFM96" s="350"/>
      <c r="NFN96" s="350"/>
      <c r="NFO96" s="350"/>
      <c r="NFP96" s="350"/>
      <c r="NFQ96" s="350"/>
      <c r="NFR96" s="350"/>
      <c r="NFS96" s="350"/>
      <c r="NFT96" s="350"/>
      <c r="NFU96" s="350"/>
      <c r="NFV96" s="350"/>
      <c r="NFW96" s="350"/>
      <c r="NFX96" s="350"/>
      <c r="NFY96" s="350"/>
      <c r="NFZ96" s="350"/>
      <c r="NGA96" s="350"/>
      <c r="NGB96" s="350"/>
      <c r="NGC96" s="350"/>
      <c r="NGD96" s="350"/>
      <c r="NGE96" s="350"/>
      <c r="NGF96" s="350"/>
      <c r="NGG96" s="350"/>
      <c r="NGH96" s="350"/>
      <c r="NGI96" s="350"/>
      <c r="NGJ96" s="350"/>
      <c r="NGK96" s="350"/>
      <c r="NGL96" s="350"/>
      <c r="NGM96" s="350"/>
      <c r="NGN96" s="350"/>
      <c r="NGO96" s="350"/>
      <c r="NGP96" s="350"/>
      <c r="NGQ96" s="350"/>
      <c r="NGR96" s="350"/>
      <c r="NGS96" s="350"/>
      <c r="NGT96" s="350"/>
      <c r="NGU96" s="350"/>
      <c r="NGV96" s="350"/>
      <c r="NGW96" s="350"/>
      <c r="NGX96" s="350"/>
      <c r="NGY96" s="350"/>
      <c r="NGZ96" s="350"/>
      <c r="NHA96" s="350"/>
      <c r="NHB96" s="350"/>
      <c r="NHC96" s="350"/>
      <c r="NHD96" s="350"/>
      <c r="NHE96" s="350"/>
      <c r="NHF96" s="350"/>
      <c r="NHG96" s="350"/>
      <c r="NHH96" s="350"/>
      <c r="NHI96" s="350"/>
      <c r="NHJ96" s="350"/>
      <c r="NHK96" s="350"/>
      <c r="NHL96" s="350"/>
      <c r="NHM96" s="350"/>
      <c r="NHN96" s="350"/>
      <c r="NHO96" s="350"/>
      <c r="NHP96" s="350"/>
      <c r="NHQ96" s="350"/>
      <c r="NHR96" s="350"/>
      <c r="NHS96" s="350"/>
      <c r="NHT96" s="350"/>
      <c r="NHU96" s="350"/>
      <c r="NHV96" s="350"/>
      <c r="NHW96" s="350"/>
      <c r="NHX96" s="350"/>
      <c r="NHY96" s="350"/>
      <c r="NHZ96" s="350"/>
      <c r="NIA96" s="350"/>
      <c r="NIB96" s="350"/>
      <c r="NIC96" s="350"/>
      <c r="NID96" s="350"/>
      <c r="NIE96" s="350"/>
      <c r="NIF96" s="350"/>
      <c r="NIG96" s="350"/>
      <c r="NIH96" s="350"/>
      <c r="NII96" s="350"/>
      <c r="NIJ96" s="350"/>
      <c r="NIK96" s="350"/>
      <c r="NIL96" s="350"/>
      <c r="NIM96" s="350"/>
      <c r="NIN96" s="350"/>
      <c r="NIO96" s="350"/>
      <c r="NIP96" s="350"/>
      <c r="NIQ96" s="350"/>
      <c r="NIR96" s="350"/>
      <c r="NIS96" s="350"/>
      <c r="NIT96" s="350"/>
      <c r="NIU96" s="350"/>
      <c r="NIV96" s="350"/>
      <c r="NIW96" s="350"/>
      <c r="NIX96" s="350"/>
      <c r="NIY96" s="350"/>
      <c r="NIZ96" s="350"/>
      <c r="NJA96" s="350"/>
      <c r="NJB96" s="350"/>
      <c r="NJC96" s="350"/>
      <c r="NJD96" s="350"/>
      <c r="NJE96" s="350"/>
      <c r="NJF96" s="350"/>
      <c r="NJG96" s="350"/>
      <c r="NJH96" s="350"/>
      <c r="NJI96" s="350"/>
      <c r="NJJ96" s="350"/>
      <c r="NJK96" s="350"/>
      <c r="NJL96" s="350"/>
      <c r="NJM96" s="350"/>
      <c r="NJN96" s="350"/>
      <c r="NJO96" s="350"/>
      <c r="NJP96" s="350"/>
      <c r="NJQ96" s="350"/>
      <c r="NJR96" s="350"/>
      <c r="NJS96" s="350"/>
      <c r="NJT96" s="350"/>
      <c r="NJU96" s="350"/>
      <c r="NJV96" s="350"/>
      <c r="NJW96" s="350"/>
      <c r="NJX96" s="350"/>
      <c r="NJY96" s="350"/>
      <c r="NJZ96" s="350"/>
      <c r="NKA96" s="350"/>
      <c r="NKB96" s="350"/>
      <c r="NKC96" s="350"/>
      <c r="NKD96" s="350"/>
      <c r="NKE96" s="350"/>
      <c r="NKF96" s="350"/>
      <c r="NKG96" s="350"/>
      <c r="NKH96" s="350"/>
      <c r="NKI96" s="350"/>
      <c r="NKJ96" s="350"/>
      <c r="NKK96" s="350"/>
      <c r="NKL96" s="350"/>
      <c r="NKM96" s="350"/>
      <c r="NKN96" s="350"/>
      <c r="NKO96" s="350"/>
      <c r="NKP96" s="350"/>
      <c r="NKQ96" s="350"/>
      <c r="NKR96" s="350"/>
      <c r="NKS96" s="350"/>
      <c r="NKT96" s="350"/>
      <c r="NKU96" s="350"/>
      <c r="NKV96" s="350"/>
      <c r="NKW96" s="350"/>
      <c r="NKX96" s="350"/>
      <c r="NKY96" s="350"/>
      <c r="NKZ96" s="350"/>
      <c r="NLA96" s="350"/>
      <c r="NLB96" s="350"/>
      <c r="NLC96" s="350"/>
      <c r="NLD96" s="350"/>
      <c r="NLE96" s="350"/>
      <c r="NLF96" s="350"/>
      <c r="NLG96" s="350"/>
      <c r="NLH96" s="350"/>
      <c r="NLI96" s="350"/>
      <c r="NLJ96" s="350"/>
      <c r="NLK96" s="350"/>
      <c r="NLL96" s="350"/>
      <c r="NLM96" s="350"/>
      <c r="NLN96" s="350"/>
      <c r="NLO96" s="350"/>
      <c r="NLP96" s="350"/>
      <c r="NLQ96" s="350"/>
      <c r="NLR96" s="350"/>
      <c r="NLS96" s="350"/>
      <c r="NLT96" s="350"/>
      <c r="NLU96" s="350"/>
      <c r="NLV96" s="350"/>
      <c r="NLW96" s="350"/>
      <c r="NLX96" s="350"/>
      <c r="NLY96" s="350"/>
      <c r="NLZ96" s="350"/>
      <c r="NMA96" s="350"/>
      <c r="NMB96" s="350"/>
      <c r="NMC96" s="350"/>
      <c r="NMD96" s="350"/>
      <c r="NME96" s="350"/>
      <c r="NMF96" s="350"/>
      <c r="NMG96" s="350"/>
      <c r="NMH96" s="350"/>
      <c r="NMI96" s="350"/>
      <c r="NMJ96" s="350"/>
      <c r="NMK96" s="350"/>
      <c r="NML96" s="350"/>
      <c r="NMM96" s="350"/>
      <c r="NMN96" s="350"/>
      <c r="NMO96" s="350"/>
      <c r="NMP96" s="350"/>
      <c r="NMQ96" s="350"/>
      <c r="NMR96" s="350"/>
      <c r="NMS96" s="350"/>
      <c r="NMT96" s="350"/>
      <c r="NMU96" s="350"/>
      <c r="NMV96" s="350"/>
      <c r="NMW96" s="350"/>
      <c r="NMX96" s="350"/>
      <c r="NMY96" s="350"/>
      <c r="NMZ96" s="350"/>
      <c r="NNA96" s="350"/>
      <c r="NNB96" s="350"/>
      <c r="NNC96" s="350"/>
      <c r="NND96" s="350"/>
      <c r="NNE96" s="350"/>
      <c r="NNF96" s="350"/>
      <c r="NNG96" s="350"/>
      <c r="NNH96" s="350"/>
      <c r="NNI96" s="350"/>
      <c r="NNJ96" s="350"/>
      <c r="NNK96" s="350"/>
      <c r="NNL96" s="350"/>
      <c r="NNM96" s="350"/>
      <c r="NNN96" s="350"/>
      <c r="NNO96" s="350"/>
      <c r="NNP96" s="350"/>
      <c r="NNQ96" s="350"/>
      <c r="NNR96" s="350"/>
      <c r="NNS96" s="350"/>
      <c r="NNT96" s="350"/>
      <c r="NNU96" s="350"/>
      <c r="NNV96" s="350"/>
      <c r="NNW96" s="350"/>
      <c r="NNX96" s="350"/>
      <c r="NNY96" s="350"/>
      <c r="NNZ96" s="350"/>
      <c r="NOA96" s="350"/>
      <c r="NOB96" s="350"/>
      <c r="NOC96" s="350"/>
      <c r="NOD96" s="350"/>
      <c r="NOE96" s="350"/>
      <c r="NOF96" s="350"/>
      <c r="NOG96" s="350"/>
      <c r="NOH96" s="350"/>
      <c r="NOI96" s="350"/>
      <c r="NOJ96" s="350"/>
      <c r="NOK96" s="350"/>
      <c r="NOL96" s="350"/>
      <c r="NOM96" s="350"/>
      <c r="NON96" s="350"/>
      <c r="NOO96" s="350"/>
      <c r="NOP96" s="350"/>
      <c r="NOQ96" s="350"/>
      <c r="NOR96" s="350"/>
      <c r="NOS96" s="350"/>
      <c r="NOT96" s="350"/>
      <c r="NOU96" s="350"/>
      <c r="NOV96" s="350"/>
      <c r="NOW96" s="350"/>
      <c r="NOX96" s="350"/>
      <c r="NOY96" s="350"/>
      <c r="NOZ96" s="350"/>
      <c r="NPA96" s="350"/>
      <c r="NPB96" s="350"/>
      <c r="NPC96" s="350"/>
      <c r="NPD96" s="350"/>
      <c r="NPE96" s="350"/>
      <c r="NPF96" s="350"/>
      <c r="NPG96" s="350"/>
      <c r="NPH96" s="350"/>
      <c r="NPI96" s="350"/>
      <c r="NPJ96" s="350"/>
      <c r="NPK96" s="350"/>
      <c r="NPL96" s="350"/>
      <c r="NPM96" s="350"/>
      <c r="NPN96" s="350"/>
      <c r="NPO96" s="350"/>
      <c r="NPP96" s="350"/>
      <c r="NPQ96" s="350"/>
      <c r="NPR96" s="350"/>
      <c r="NPS96" s="350"/>
      <c r="NPT96" s="350"/>
      <c r="NPU96" s="350"/>
      <c r="NPV96" s="350"/>
      <c r="NPW96" s="350"/>
      <c r="NPX96" s="350"/>
      <c r="NPY96" s="350"/>
      <c r="NPZ96" s="350"/>
      <c r="NQA96" s="350"/>
      <c r="NQB96" s="350"/>
      <c r="NQC96" s="350"/>
      <c r="NQD96" s="350"/>
      <c r="NQE96" s="350"/>
      <c r="NQF96" s="350"/>
      <c r="NQG96" s="350"/>
      <c r="NQH96" s="350"/>
      <c r="NQI96" s="350"/>
      <c r="NQJ96" s="350"/>
      <c r="NQK96" s="350"/>
      <c r="NQL96" s="350"/>
      <c r="NQM96" s="350"/>
      <c r="NQN96" s="350"/>
      <c r="NQO96" s="350"/>
      <c r="NQP96" s="350"/>
      <c r="NQQ96" s="350"/>
      <c r="NQR96" s="350"/>
      <c r="NQS96" s="350"/>
      <c r="NQT96" s="350"/>
      <c r="NQU96" s="350"/>
      <c r="NQV96" s="350"/>
      <c r="NQW96" s="350"/>
      <c r="NQX96" s="350"/>
      <c r="NQY96" s="350"/>
      <c r="NQZ96" s="350"/>
      <c r="NRA96" s="350"/>
      <c r="NRB96" s="350"/>
      <c r="NRC96" s="350"/>
      <c r="NRD96" s="350"/>
      <c r="NRE96" s="350"/>
      <c r="NRF96" s="350"/>
      <c r="NRG96" s="350"/>
      <c r="NRH96" s="350"/>
      <c r="NRI96" s="350"/>
      <c r="NRJ96" s="350"/>
      <c r="NRK96" s="350"/>
      <c r="NRL96" s="350"/>
      <c r="NRM96" s="350"/>
      <c r="NRN96" s="350"/>
      <c r="NRO96" s="350"/>
      <c r="NRP96" s="350"/>
      <c r="NRQ96" s="350"/>
      <c r="NRR96" s="350"/>
      <c r="NRS96" s="350"/>
      <c r="NRT96" s="350"/>
      <c r="NRU96" s="350"/>
      <c r="NRV96" s="350"/>
      <c r="NRW96" s="350"/>
      <c r="NRX96" s="350"/>
      <c r="NRY96" s="350"/>
      <c r="NRZ96" s="350"/>
      <c r="NSA96" s="350"/>
      <c r="NSB96" s="350"/>
      <c r="NSC96" s="350"/>
      <c r="NSD96" s="350"/>
      <c r="NSE96" s="350"/>
      <c r="NSF96" s="350"/>
      <c r="NSG96" s="350"/>
      <c r="NSH96" s="350"/>
      <c r="NSI96" s="350"/>
      <c r="NSJ96" s="350"/>
      <c r="NSK96" s="350"/>
      <c r="NSL96" s="350"/>
      <c r="NSM96" s="350"/>
      <c r="NSN96" s="350"/>
      <c r="NSO96" s="350"/>
      <c r="NSP96" s="350"/>
      <c r="NSQ96" s="350"/>
      <c r="NSR96" s="350"/>
      <c r="NSS96" s="350"/>
      <c r="NST96" s="350"/>
      <c r="NSU96" s="350"/>
      <c r="NSV96" s="350"/>
      <c r="NSW96" s="350"/>
      <c r="NSX96" s="350"/>
      <c r="NSY96" s="350"/>
      <c r="NSZ96" s="350"/>
      <c r="NTA96" s="350"/>
      <c r="NTB96" s="350"/>
      <c r="NTC96" s="350"/>
      <c r="NTD96" s="350"/>
      <c r="NTE96" s="350"/>
      <c r="NTF96" s="350"/>
      <c r="NTG96" s="350"/>
      <c r="NTH96" s="350"/>
      <c r="NTI96" s="350"/>
      <c r="NTJ96" s="350"/>
      <c r="NTK96" s="350"/>
      <c r="NTL96" s="350"/>
      <c r="NTM96" s="350"/>
      <c r="NTN96" s="350"/>
      <c r="NTO96" s="350"/>
      <c r="NTP96" s="350"/>
      <c r="NTQ96" s="350"/>
      <c r="NTR96" s="350"/>
      <c r="NTS96" s="350"/>
      <c r="NTT96" s="350"/>
      <c r="NTU96" s="350"/>
      <c r="NTV96" s="350"/>
      <c r="NTW96" s="350"/>
      <c r="NTX96" s="350"/>
      <c r="NTY96" s="350"/>
      <c r="NTZ96" s="350"/>
      <c r="NUA96" s="350"/>
      <c r="NUB96" s="350"/>
      <c r="NUC96" s="350"/>
      <c r="NUD96" s="350"/>
      <c r="NUE96" s="350"/>
      <c r="NUF96" s="350"/>
      <c r="NUG96" s="350"/>
      <c r="NUH96" s="350"/>
      <c r="NUI96" s="350"/>
      <c r="NUJ96" s="350"/>
      <c r="NUK96" s="350"/>
      <c r="NUL96" s="350"/>
      <c r="NUM96" s="350"/>
      <c r="NUN96" s="350"/>
      <c r="NUO96" s="350"/>
      <c r="NUP96" s="350"/>
      <c r="NUQ96" s="350"/>
      <c r="NUR96" s="350"/>
      <c r="NUS96" s="350"/>
      <c r="NUT96" s="350"/>
      <c r="NUU96" s="350"/>
      <c r="NUV96" s="350"/>
      <c r="NUW96" s="350"/>
      <c r="NUX96" s="350"/>
      <c r="NUY96" s="350"/>
      <c r="NUZ96" s="350"/>
      <c r="NVA96" s="350"/>
      <c r="NVB96" s="350"/>
      <c r="NVC96" s="350"/>
      <c r="NVD96" s="350"/>
      <c r="NVE96" s="350"/>
      <c r="NVF96" s="350"/>
      <c r="NVG96" s="350"/>
      <c r="NVH96" s="350"/>
      <c r="NVI96" s="350"/>
      <c r="NVJ96" s="350"/>
      <c r="NVK96" s="350"/>
      <c r="NVL96" s="350"/>
      <c r="NVM96" s="350"/>
      <c r="NVN96" s="350"/>
      <c r="NVO96" s="350"/>
      <c r="NVP96" s="350"/>
      <c r="NVQ96" s="350"/>
      <c r="NVR96" s="350"/>
      <c r="NVS96" s="350"/>
      <c r="NVT96" s="350"/>
      <c r="NVU96" s="350"/>
      <c r="NVV96" s="350"/>
      <c r="NVW96" s="350"/>
      <c r="NVX96" s="350"/>
      <c r="NVY96" s="350"/>
      <c r="NVZ96" s="350"/>
      <c r="NWA96" s="350"/>
      <c r="NWB96" s="350"/>
      <c r="NWC96" s="350"/>
      <c r="NWD96" s="350"/>
      <c r="NWE96" s="350"/>
      <c r="NWF96" s="350"/>
      <c r="NWG96" s="350"/>
      <c r="NWH96" s="350"/>
      <c r="NWI96" s="350"/>
      <c r="NWJ96" s="350"/>
      <c r="NWK96" s="350"/>
      <c r="NWL96" s="350"/>
      <c r="NWM96" s="350"/>
      <c r="NWN96" s="350"/>
      <c r="NWO96" s="350"/>
      <c r="NWP96" s="350"/>
      <c r="NWQ96" s="350"/>
      <c r="NWR96" s="350"/>
      <c r="NWS96" s="350"/>
      <c r="NWT96" s="350"/>
      <c r="NWU96" s="350"/>
      <c r="NWV96" s="350"/>
      <c r="NWW96" s="350"/>
      <c r="NWX96" s="350"/>
      <c r="NWY96" s="350"/>
      <c r="NWZ96" s="350"/>
      <c r="NXA96" s="350"/>
      <c r="NXB96" s="350"/>
      <c r="NXC96" s="350"/>
      <c r="NXD96" s="350"/>
      <c r="NXE96" s="350"/>
      <c r="NXF96" s="350"/>
      <c r="NXG96" s="350"/>
      <c r="NXH96" s="350"/>
      <c r="NXI96" s="350"/>
      <c r="NXJ96" s="350"/>
      <c r="NXK96" s="350"/>
      <c r="NXL96" s="350"/>
      <c r="NXM96" s="350"/>
      <c r="NXN96" s="350"/>
      <c r="NXO96" s="350"/>
      <c r="NXP96" s="350"/>
      <c r="NXQ96" s="350"/>
      <c r="NXR96" s="350"/>
      <c r="NXS96" s="350"/>
      <c r="NXT96" s="350"/>
      <c r="NXU96" s="350"/>
      <c r="NXV96" s="350"/>
      <c r="NXW96" s="350"/>
      <c r="NXX96" s="350"/>
      <c r="NXY96" s="350"/>
      <c r="NXZ96" s="350"/>
      <c r="NYA96" s="350"/>
      <c r="NYB96" s="350"/>
      <c r="NYC96" s="350"/>
      <c r="NYD96" s="350"/>
      <c r="NYE96" s="350"/>
      <c r="NYF96" s="350"/>
      <c r="NYG96" s="350"/>
      <c r="NYH96" s="350"/>
      <c r="NYI96" s="350"/>
      <c r="NYJ96" s="350"/>
      <c r="NYK96" s="350"/>
      <c r="NYL96" s="350"/>
      <c r="NYM96" s="350"/>
      <c r="NYN96" s="350"/>
      <c r="NYO96" s="350"/>
      <c r="NYP96" s="350"/>
      <c r="NYQ96" s="350"/>
      <c r="NYR96" s="350"/>
      <c r="NYS96" s="350"/>
      <c r="NYT96" s="350"/>
      <c r="NYU96" s="350"/>
      <c r="NYV96" s="350"/>
      <c r="NYW96" s="350"/>
      <c r="NYX96" s="350"/>
      <c r="NYY96" s="350"/>
      <c r="NYZ96" s="350"/>
      <c r="NZA96" s="350"/>
      <c r="NZB96" s="350"/>
      <c r="NZC96" s="350"/>
      <c r="NZD96" s="350"/>
      <c r="NZE96" s="350"/>
      <c r="NZF96" s="350"/>
      <c r="NZG96" s="350"/>
      <c r="NZH96" s="350"/>
      <c r="NZI96" s="350"/>
      <c r="NZJ96" s="350"/>
      <c r="NZK96" s="350"/>
      <c r="NZL96" s="350"/>
      <c r="NZM96" s="350"/>
      <c r="NZN96" s="350"/>
      <c r="NZO96" s="350"/>
      <c r="NZP96" s="350"/>
      <c r="NZQ96" s="350"/>
      <c r="NZR96" s="350"/>
      <c r="NZS96" s="350"/>
      <c r="NZT96" s="350"/>
      <c r="NZU96" s="350"/>
      <c r="NZV96" s="350"/>
      <c r="NZW96" s="350"/>
      <c r="NZX96" s="350"/>
      <c r="NZY96" s="350"/>
      <c r="NZZ96" s="350"/>
      <c r="OAA96" s="350"/>
      <c r="OAB96" s="350"/>
      <c r="OAC96" s="350"/>
      <c r="OAD96" s="350"/>
      <c r="OAE96" s="350"/>
      <c r="OAF96" s="350"/>
      <c r="OAG96" s="350"/>
      <c r="OAH96" s="350"/>
      <c r="OAI96" s="350"/>
      <c r="OAJ96" s="350"/>
      <c r="OAK96" s="350"/>
      <c r="OAL96" s="350"/>
      <c r="OAM96" s="350"/>
      <c r="OAN96" s="350"/>
      <c r="OAO96" s="350"/>
      <c r="OAP96" s="350"/>
      <c r="OAQ96" s="350"/>
      <c r="OAR96" s="350"/>
      <c r="OAS96" s="350"/>
      <c r="OAT96" s="350"/>
      <c r="OAU96" s="350"/>
      <c r="OAV96" s="350"/>
      <c r="OAW96" s="350"/>
      <c r="OAX96" s="350"/>
      <c r="OAY96" s="350"/>
      <c r="OAZ96" s="350"/>
      <c r="OBA96" s="350"/>
      <c r="OBB96" s="350"/>
      <c r="OBC96" s="350"/>
      <c r="OBD96" s="350"/>
      <c r="OBE96" s="350"/>
      <c r="OBF96" s="350"/>
      <c r="OBG96" s="350"/>
      <c r="OBH96" s="350"/>
      <c r="OBI96" s="350"/>
      <c r="OBJ96" s="350"/>
      <c r="OBK96" s="350"/>
      <c r="OBL96" s="350"/>
      <c r="OBM96" s="350"/>
      <c r="OBN96" s="350"/>
      <c r="OBO96" s="350"/>
      <c r="OBP96" s="350"/>
      <c r="OBQ96" s="350"/>
      <c r="OBR96" s="350"/>
      <c r="OBS96" s="350"/>
      <c r="OBT96" s="350"/>
      <c r="OBU96" s="350"/>
      <c r="OBV96" s="350"/>
      <c r="OBW96" s="350"/>
      <c r="OBX96" s="350"/>
      <c r="OBY96" s="350"/>
      <c r="OBZ96" s="350"/>
      <c r="OCA96" s="350"/>
      <c r="OCB96" s="350"/>
      <c r="OCC96" s="350"/>
      <c r="OCD96" s="350"/>
      <c r="OCE96" s="350"/>
      <c r="OCF96" s="350"/>
      <c r="OCG96" s="350"/>
      <c r="OCH96" s="350"/>
      <c r="OCI96" s="350"/>
      <c r="OCJ96" s="350"/>
      <c r="OCK96" s="350"/>
      <c r="OCL96" s="350"/>
      <c r="OCM96" s="350"/>
      <c r="OCN96" s="350"/>
      <c r="OCO96" s="350"/>
      <c r="OCP96" s="350"/>
      <c r="OCQ96" s="350"/>
      <c r="OCR96" s="350"/>
      <c r="OCS96" s="350"/>
      <c r="OCT96" s="350"/>
      <c r="OCU96" s="350"/>
      <c r="OCV96" s="350"/>
      <c r="OCW96" s="350"/>
      <c r="OCX96" s="350"/>
      <c r="OCY96" s="350"/>
      <c r="OCZ96" s="350"/>
      <c r="ODA96" s="350"/>
      <c r="ODB96" s="350"/>
      <c r="ODC96" s="350"/>
      <c r="ODD96" s="350"/>
      <c r="ODE96" s="350"/>
      <c r="ODF96" s="350"/>
      <c r="ODG96" s="350"/>
      <c r="ODH96" s="350"/>
      <c r="ODI96" s="350"/>
      <c r="ODJ96" s="350"/>
      <c r="ODK96" s="350"/>
      <c r="ODL96" s="350"/>
      <c r="ODM96" s="350"/>
      <c r="ODN96" s="350"/>
      <c r="ODO96" s="350"/>
      <c r="ODP96" s="350"/>
      <c r="ODQ96" s="350"/>
      <c r="ODR96" s="350"/>
      <c r="ODS96" s="350"/>
      <c r="ODT96" s="350"/>
      <c r="ODU96" s="350"/>
      <c r="ODV96" s="350"/>
      <c r="ODW96" s="350"/>
      <c r="ODX96" s="350"/>
      <c r="ODY96" s="350"/>
      <c r="ODZ96" s="350"/>
      <c r="OEA96" s="350"/>
      <c r="OEB96" s="350"/>
      <c r="OEC96" s="350"/>
      <c r="OED96" s="350"/>
      <c r="OEE96" s="350"/>
      <c r="OEF96" s="350"/>
      <c r="OEG96" s="350"/>
      <c r="OEH96" s="350"/>
      <c r="OEI96" s="350"/>
      <c r="OEJ96" s="350"/>
      <c r="OEK96" s="350"/>
      <c r="OEL96" s="350"/>
      <c r="OEM96" s="350"/>
      <c r="OEN96" s="350"/>
      <c r="OEO96" s="350"/>
      <c r="OEP96" s="350"/>
      <c r="OEQ96" s="350"/>
      <c r="OER96" s="350"/>
      <c r="OES96" s="350"/>
      <c r="OET96" s="350"/>
      <c r="OEU96" s="350"/>
      <c r="OEV96" s="350"/>
      <c r="OEW96" s="350"/>
      <c r="OEX96" s="350"/>
      <c r="OEY96" s="350"/>
      <c r="OEZ96" s="350"/>
      <c r="OFA96" s="350"/>
      <c r="OFB96" s="350"/>
      <c r="OFC96" s="350"/>
      <c r="OFD96" s="350"/>
      <c r="OFE96" s="350"/>
      <c r="OFF96" s="350"/>
      <c r="OFG96" s="350"/>
      <c r="OFH96" s="350"/>
      <c r="OFI96" s="350"/>
      <c r="OFJ96" s="350"/>
      <c r="OFK96" s="350"/>
      <c r="OFL96" s="350"/>
      <c r="OFM96" s="350"/>
      <c r="OFN96" s="350"/>
      <c r="OFO96" s="350"/>
      <c r="OFP96" s="350"/>
      <c r="OFQ96" s="350"/>
      <c r="OFR96" s="350"/>
      <c r="OFS96" s="350"/>
      <c r="OFT96" s="350"/>
      <c r="OFU96" s="350"/>
      <c r="OFV96" s="350"/>
      <c r="OFW96" s="350"/>
      <c r="OFX96" s="350"/>
      <c r="OFY96" s="350"/>
      <c r="OFZ96" s="350"/>
      <c r="OGA96" s="350"/>
      <c r="OGB96" s="350"/>
      <c r="OGC96" s="350"/>
      <c r="OGD96" s="350"/>
      <c r="OGE96" s="350"/>
      <c r="OGF96" s="350"/>
      <c r="OGG96" s="350"/>
      <c r="OGH96" s="350"/>
      <c r="OGI96" s="350"/>
      <c r="OGJ96" s="350"/>
      <c r="OGK96" s="350"/>
      <c r="OGL96" s="350"/>
      <c r="OGM96" s="350"/>
      <c r="OGN96" s="350"/>
      <c r="OGO96" s="350"/>
      <c r="OGP96" s="350"/>
      <c r="OGQ96" s="350"/>
      <c r="OGR96" s="350"/>
      <c r="OGS96" s="350"/>
      <c r="OGT96" s="350"/>
      <c r="OGU96" s="350"/>
      <c r="OGV96" s="350"/>
      <c r="OGW96" s="350"/>
      <c r="OGX96" s="350"/>
      <c r="OGY96" s="350"/>
      <c r="OGZ96" s="350"/>
      <c r="OHA96" s="350"/>
      <c r="OHB96" s="350"/>
      <c r="OHC96" s="350"/>
      <c r="OHD96" s="350"/>
      <c r="OHE96" s="350"/>
      <c r="OHF96" s="350"/>
      <c r="OHG96" s="350"/>
      <c r="OHH96" s="350"/>
      <c r="OHI96" s="350"/>
      <c r="OHJ96" s="350"/>
      <c r="OHK96" s="350"/>
      <c r="OHL96" s="350"/>
      <c r="OHM96" s="350"/>
      <c r="OHN96" s="350"/>
      <c r="OHO96" s="350"/>
      <c r="OHP96" s="350"/>
      <c r="OHQ96" s="350"/>
      <c r="OHR96" s="350"/>
      <c r="OHS96" s="350"/>
      <c r="OHT96" s="350"/>
      <c r="OHU96" s="350"/>
      <c r="OHV96" s="350"/>
      <c r="OHW96" s="350"/>
      <c r="OHX96" s="350"/>
      <c r="OHY96" s="350"/>
      <c r="OHZ96" s="350"/>
      <c r="OIA96" s="350"/>
      <c r="OIB96" s="350"/>
      <c r="OIC96" s="350"/>
      <c r="OID96" s="350"/>
      <c r="OIE96" s="350"/>
      <c r="OIF96" s="350"/>
      <c r="OIG96" s="350"/>
      <c r="OIH96" s="350"/>
      <c r="OII96" s="350"/>
      <c r="OIJ96" s="350"/>
      <c r="OIK96" s="350"/>
      <c r="OIL96" s="350"/>
      <c r="OIM96" s="350"/>
      <c r="OIN96" s="350"/>
      <c r="OIO96" s="350"/>
      <c r="OIP96" s="350"/>
      <c r="OIQ96" s="350"/>
      <c r="OIR96" s="350"/>
      <c r="OIS96" s="350"/>
      <c r="OIT96" s="350"/>
      <c r="OIU96" s="350"/>
      <c r="OIV96" s="350"/>
      <c r="OIW96" s="350"/>
      <c r="OIX96" s="350"/>
      <c r="OIY96" s="350"/>
      <c r="OIZ96" s="350"/>
      <c r="OJA96" s="350"/>
      <c r="OJB96" s="350"/>
      <c r="OJC96" s="350"/>
      <c r="OJD96" s="350"/>
      <c r="OJE96" s="350"/>
      <c r="OJF96" s="350"/>
      <c r="OJG96" s="350"/>
      <c r="OJH96" s="350"/>
      <c r="OJI96" s="350"/>
      <c r="OJJ96" s="350"/>
      <c r="OJK96" s="350"/>
      <c r="OJL96" s="350"/>
      <c r="OJM96" s="350"/>
      <c r="OJN96" s="350"/>
      <c r="OJO96" s="350"/>
      <c r="OJP96" s="350"/>
      <c r="OJQ96" s="350"/>
      <c r="OJR96" s="350"/>
      <c r="OJS96" s="350"/>
      <c r="OJT96" s="350"/>
      <c r="OJU96" s="350"/>
      <c r="OJV96" s="350"/>
      <c r="OJW96" s="350"/>
      <c r="OJX96" s="350"/>
      <c r="OJY96" s="350"/>
      <c r="OJZ96" s="350"/>
      <c r="OKA96" s="350"/>
      <c r="OKB96" s="350"/>
      <c r="OKC96" s="350"/>
      <c r="OKD96" s="350"/>
      <c r="OKE96" s="350"/>
      <c r="OKF96" s="350"/>
      <c r="OKG96" s="350"/>
      <c r="OKH96" s="350"/>
      <c r="OKI96" s="350"/>
      <c r="OKJ96" s="350"/>
      <c r="OKK96" s="350"/>
      <c r="OKL96" s="350"/>
      <c r="OKM96" s="350"/>
      <c r="OKN96" s="350"/>
      <c r="OKO96" s="350"/>
      <c r="OKP96" s="350"/>
      <c r="OKQ96" s="350"/>
      <c r="OKR96" s="350"/>
      <c r="OKS96" s="350"/>
      <c r="OKT96" s="350"/>
      <c r="OKU96" s="350"/>
      <c r="OKV96" s="350"/>
      <c r="OKW96" s="350"/>
      <c r="OKX96" s="350"/>
      <c r="OKY96" s="350"/>
      <c r="OKZ96" s="350"/>
      <c r="OLA96" s="350"/>
      <c r="OLB96" s="350"/>
      <c r="OLC96" s="350"/>
      <c r="OLD96" s="350"/>
      <c r="OLE96" s="350"/>
      <c r="OLF96" s="350"/>
      <c r="OLG96" s="350"/>
      <c r="OLH96" s="350"/>
      <c r="OLI96" s="350"/>
      <c r="OLJ96" s="350"/>
      <c r="OLK96" s="350"/>
      <c r="OLL96" s="350"/>
      <c r="OLM96" s="350"/>
      <c r="OLN96" s="350"/>
      <c r="OLO96" s="350"/>
      <c r="OLP96" s="350"/>
      <c r="OLQ96" s="350"/>
      <c r="OLR96" s="350"/>
      <c r="OLS96" s="350"/>
      <c r="OLT96" s="350"/>
      <c r="OLU96" s="350"/>
      <c r="OLV96" s="350"/>
      <c r="OLW96" s="350"/>
      <c r="OLX96" s="350"/>
      <c r="OLY96" s="350"/>
      <c r="OLZ96" s="350"/>
      <c r="OMA96" s="350"/>
      <c r="OMB96" s="350"/>
      <c r="OMC96" s="350"/>
      <c r="OMD96" s="350"/>
      <c r="OME96" s="350"/>
      <c r="OMF96" s="350"/>
      <c r="OMG96" s="350"/>
      <c r="OMH96" s="350"/>
      <c r="OMI96" s="350"/>
      <c r="OMJ96" s="350"/>
      <c r="OMK96" s="350"/>
      <c r="OML96" s="350"/>
      <c r="OMM96" s="350"/>
      <c r="OMN96" s="350"/>
      <c r="OMO96" s="350"/>
      <c r="OMP96" s="350"/>
      <c r="OMQ96" s="350"/>
      <c r="OMR96" s="350"/>
      <c r="OMS96" s="350"/>
      <c r="OMT96" s="350"/>
      <c r="OMU96" s="350"/>
      <c r="OMV96" s="350"/>
      <c r="OMW96" s="350"/>
      <c r="OMX96" s="350"/>
      <c r="OMY96" s="350"/>
      <c r="OMZ96" s="350"/>
      <c r="ONA96" s="350"/>
      <c r="ONB96" s="350"/>
      <c r="ONC96" s="350"/>
      <c r="OND96" s="350"/>
      <c r="ONE96" s="350"/>
      <c r="ONF96" s="350"/>
      <c r="ONG96" s="350"/>
      <c r="ONH96" s="350"/>
      <c r="ONI96" s="350"/>
      <c r="ONJ96" s="350"/>
      <c r="ONK96" s="350"/>
      <c r="ONL96" s="350"/>
      <c r="ONM96" s="350"/>
      <c r="ONN96" s="350"/>
      <c r="ONO96" s="350"/>
      <c r="ONP96" s="350"/>
      <c r="ONQ96" s="350"/>
      <c r="ONR96" s="350"/>
      <c r="ONS96" s="350"/>
      <c r="ONT96" s="350"/>
      <c r="ONU96" s="350"/>
      <c r="ONV96" s="350"/>
      <c r="ONW96" s="350"/>
      <c r="ONX96" s="350"/>
      <c r="ONY96" s="350"/>
      <c r="ONZ96" s="350"/>
      <c r="OOA96" s="350"/>
      <c r="OOB96" s="350"/>
      <c r="OOC96" s="350"/>
      <c r="OOD96" s="350"/>
      <c r="OOE96" s="350"/>
      <c r="OOF96" s="350"/>
      <c r="OOG96" s="350"/>
      <c r="OOH96" s="350"/>
      <c r="OOI96" s="350"/>
      <c r="OOJ96" s="350"/>
      <c r="OOK96" s="350"/>
      <c r="OOL96" s="350"/>
      <c r="OOM96" s="350"/>
      <c r="OON96" s="350"/>
      <c r="OOO96" s="350"/>
      <c r="OOP96" s="350"/>
      <c r="OOQ96" s="350"/>
      <c r="OOR96" s="350"/>
      <c r="OOS96" s="350"/>
      <c r="OOT96" s="350"/>
      <c r="OOU96" s="350"/>
      <c r="OOV96" s="350"/>
      <c r="OOW96" s="350"/>
      <c r="OOX96" s="350"/>
      <c r="OOY96" s="350"/>
      <c r="OOZ96" s="350"/>
      <c r="OPA96" s="350"/>
      <c r="OPB96" s="350"/>
      <c r="OPC96" s="350"/>
      <c r="OPD96" s="350"/>
      <c r="OPE96" s="350"/>
      <c r="OPF96" s="350"/>
      <c r="OPG96" s="350"/>
      <c r="OPH96" s="350"/>
      <c r="OPI96" s="350"/>
      <c r="OPJ96" s="350"/>
      <c r="OPK96" s="350"/>
      <c r="OPL96" s="350"/>
      <c r="OPM96" s="350"/>
      <c r="OPN96" s="350"/>
      <c r="OPO96" s="350"/>
      <c r="OPP96" s="350"/>
      <c r="OPQ96" s="350"/>
      <c r="OPR96" s="350"/>
      <c r="OPS96" s="350"/>
      <c r="OPT96" s="350"/>
      <c r="OPU96" s="350"/>
      <c r="OPV96" s="350"/>
      <c r="OPW96" s="350"/>
      <c r="OPX96" s="350"/>
      <c r="OPY96" s="350"/>
      <c r="OPZ96" s="350"/>
      <c r="OQA96" s="350"/>
      <c r="OQB96" s="350"/>
      <c r="OQC96" s="350"/>
      <c r="OQD96" s="350"/>
      <c r="OQE96" s="350"/>
      <c r="OQF96" s="350"/>
      <c r="OQG96" s="350"/>
      <c r="OQH96" s="350"/>
      <c r="OQI96" s="350"/>
      <c r="OQJ96" s="350"/>
      <c r="OQK96" s="350"/>
      <c r="OQL96" s="350"/>
      <c r="OQM96" s="350"/>
      <c r="OQN96" s="350"/>
      <c r="OQO96" s="350"/>
      <c r="OQP96" s="350"/>
      <c r="OQQ96" s="350"/>
      <c r="OQR96" s="350"/>
      <c r="OQS96" s="350"/>
      <c r="OQT96" s="350"/>
      <c r="OQU96" s="350"/>
      <c r="OQV96" s="350"/>
      <c r="OQW96" s="350"/>
      <c r="OQX96" s="350"/>
      <c r="OQY96" s="350"/>
      <c r="OQZ96" s="350"/>
      <c r="ORA96" s="350"/>
      <c r="ORB96" s="350"/>
      <c r="ORC96" s="350"/>
      <c r="ORD96" s="350"/>
      <c r="ORE96" s="350"/>
      <c r="ORF96" s="350"/>
      <c r="ORG96" s="350"/>
      <c r="ORH96" s="350"/>
      <c r="ORI96" s="350"/>
      <c r="ORJ96" s="350"/>
      <c r="ORK96" s="350"/>
      <c r="ORL96" s="350"/>
      <c r="ORM96" s="350"/>
      <c r="ORN96" s="350"/>
      <c r="ORO96" s="350"/>
      <c r="ORP96" s="350"/>
      <c r="ORQ96" s="350"/>
      <c r="ORR96" s="350"/>
      <c r="ORS96" s="350"/>
      <c r="ORT96" s="350"/>
      <c r="ORU96" s="350"/>
      <c r="ORV96" s="350"/>
      <c r="ORW96" s="350"/>
      <c r="ORX96" s="350"/>
      <c r="ORY96" s="350"/>
      <c r="ORZ96" s="350"/>
      <c r="OSA96" s="350"/>
      <c r="OSB96" s="350"/>
      <c r="OSC96" s="350"/>
      <c r="OSD96" s="350"/>
      <c r="OSE96" s="350"/>
      <c r="OSF96" s="350"/>
      <c r="OSG96" s="350"/>
      <c r="OSH96" s="350"/>
      <c r="OSI96" s="350"/>
      <c r="OSJ96" s="350"/>
      <c r="OSK96" s="350"/>
      <c r="OSL96" s="350"/>
      <c r="OSM96" s="350"/>
      <c r="OSN96" s="350"/>
      <c r="OSO96" s="350"/>
      <c r="OSP96" s="350"/>
      <c r="OSQ96" s="350"/>
      <c r="OSR96" s="350"/>
      <c r="OSS96" s="350"/>
      <c r="OST96" s="350"/>
      <c r="OSU96" s="350"/>
      <c r="OSV96" s="350"/>
      <c r="OSW96" s="350"/>
      <c r="OSX96" s="350"/>
      <c r="OSY96" s="350"/>
      <c r="OSZ96" s="350"/>
      <c r="OTA96" s="350"/>
      <c r="OTB96" s="350"/>
      <c r="OTC96" s="350"/>
      <c r="OTD96" s="350"/>
      <c r="OTE96" s="350"/>
      <c r="OTF96" s="350"/>
      <c r="OTG96" s="350"/>
      <c r="OTH96" s="350"/>
      <c r="OTI96" s="350"/>
      <c r="OTJ96" s="350"/>
      <c r="OTK96" s="350"/>
      <c r="OTL96" s="350"/>
      <c r="OTM96" s="350"/>
      <c r="OTN96" s="350"/>
      <c r="OTO96" s="350"/>
      <c r="OTP96" s="350"/>
      <c r="OTQ96" s="350"/>
      <c r="OTR96" s="350"/>
      <c r="OTS96" s="350"/>
      <c r="OTT96" s="350"/>
      <c r="OTU96" s="350"/>
      <c r="OTV96" s="350"/>
      <c r="OTW96" s="350"/>
      <c r="OTX96" s="350"/>
      <c r="OTY96" s="350"/>
      <c r="OTZ96" s="350"/>
      <c r="OUA96" s="350"/>
      <c r="OUB96" s="350"/>
      <c r="OUC96" s="350"/>
      <c r="OUD96" s="350"/>
      <c r="OUE96" s="350"/>
      <c r="OUF96" s="350"/>
      <c r="OUG96" s="350"/>
      <c r="OUH96" s="350"/>
      <c r="OUI96" s="350"/>
      <c r="OUJ96" s="350"/>
      <c r="OUK96" s="350"/>
      <c r="OUL96" s="350"/>
      <c r="OUM96" s="350"/>
      <c r="OUN96" s="350"/>
      <c r="OUO96" s="350"/>
      <c r="OUP96" s="350"/>
      <c r="OUQ96" s="350"/>
      <c r="OUR96" s="350"/>
      <c r="OUS96" s="350"/>
      <c r="OUT96" s="350"/>
      <c r="OUU96" s="350"/>
      <c r="OUV96" s="350"/>
      <c r="OUW96" s="350"/>
      <c r="OUX96" s="350"/>
      <c r="OUY96" s="350"/>
      <c r="OUZ96" s="350"/>
      <c r="OVA96" s="350"/>
      <c r="OVB96" s="350"/>
      <c r="OVC96" s="350"/>
      <c r="OVD96" s="350"/>
      <c r="OVE96" s="350"/>
      <c r="OVF96" s="350"/>
      <c r="OVG96" s="350"/>
      <c r="OVH96" s="350"/>
      <c r="OVI96" s="350"/>
      <c r="OVJ96" s="350"/>
      <c r="OVK96" s="350"/>
      <c r="OVL96" s="350"/>
      <c r="OVM96" s="350"/>
      <c r="OVN96" s="350"/>
      <c r="OVO96" s="350"/>
      <c r="OVP96" s="350"/>
      <c r="OVQ96" s="350"/>
      <c r="OVR96" s="350"/>
      <c r="OVS96" s="350"/>
      <c r="OVT96" s="350"/>
      <c r="OVU96" s="350"/>
      <c r="OVV96" s="350"/>
      <c r="OVW96" s="350"/>
      <c r="OVX96" s="350"/>
      <c r="OVY96" s="350"/>
      <c r="OVZ96" s="350"/>
      <c r="OWA96" s="350"/>
      <c r="OWB96" s="350"/>
      <c r="OWC96" s="350"/>
      <c r="OWD96" s="350"/>
      <c r="OWE96" s="350"/>
      <c r="OWF96" s="350"/>
      <c r="OWG96" s="350"/>
      <c r="OWH96" s="350"/>
      <c r="OWI96" s="350"/>
      <c r="OWJ96" s="350"/>
      <c r="OWK96" s="350"/>
      <c r="OWL96" s="350"/>
      <c r="OWM96" s="350"/>
      <c r="OWN96" s="350"/>
      <c r="OWO96" s="350"/>
      <c r="OWP96" s="350"/>
      <c r="OWQ96" s="350"/>
      <c r="OWR96" s="350"/>
      <c r="OWS96" s="350"/>
      <c r="OWT96" s="350"/>
      <c r="OWU96" s="350"/>
      <c r="OWV96" s="350"/>
      <c r="OWW96" s="350"/>
      <c r="OWX96" s="350"/>
      <c r="OWY96" s="350"/>
      <c r="OWZ96" s="350"/>
      <c r="OXA96" s="350"/>
      <c r="OXB96" s="350"/>
      <c r="OXC96" s="350"/>
      <c r="OXD96" s="350"/>
      <c r="OXE96" s="350"/>
      <c r="OXF96" s="350"/>
      <c r="OXG96" s="350"/>
      <c r="OXH96" s="350"/>
      <c r="OXI96" s="350"/>
      <c r="OXJ96" s="350"/>
      <c r="OXK96" s="350"/>
      <c r="OXL96" s="350"/>
      <c r="OXM96" s="350"/>
      <c r="OXN96" s="350"/>
      <c r="OXO96" s="350"/>
      <c r="OXP96" s="350"/>
      <c r="OXQ96" s="350"/>
      <c r="OXR96" s="350"/>
      <c r="OXS96" s="350"/>
      <c r="OXT96" s="350"/>
      <c r="OXU96" s="350"/>
      <c r="OXV96" s="350"/>
      <c r="OXW96" s="350"/>
      <c r="OXX96" s="350"/>
      <c r="OXY96" s="350"/>
      <c r="OXZ96" s="350"/>
      <c r="OYA96" s="350"/>
      <c r="OYB96" s="350"/>
      <c r="OYC96" s="350"/>
      <c r="OYD96" s="350"/>
      <c r="OYE96" s="350"/>
      <c r="OYF96" s="350"/>
      <c r="OYG96" s="350"/>
      <c r="OYH96" s="350"/>
      <c r="OYI96" s="350"/>
      <c r="OYJ96" s="350"/>
      <c r="OYK96" s="350"/>
      <c r="OYL96" s="350"/>
      <c r="OYM96" s="350"/>
      <c r="OYN96" s="350"/>
      <c r="OYO96" s="350"/>
      <c r="OYP96" s="350"/>
      <c r="OYQ96" s="350"/>
      <c r="OYR96" s="350"/>
      <c r="OYS96" s="350"/>
      <c r="OYT96" s="350"/>
      <c r="OYU96" s="350"/>
      <c r="OYV96" s="350"/>
      <c r="OYW96" s="350"/>
      <c r="OYX96" s="350"/>
      <c r="OYY96" s="350"/>
      <c r="OYZ96" s="350"/>
      <c r="OZA96" s="350"/>
      <c r="OZB96" s="350"/>
      <c r="OZC96" s="350"/>
      <c r="OZD96" s="350"/>
      <c r="OZE96" s="350"/>
      <c r="OZF96" s="350"/>
      <c r="OZG96" s="350"/>
      <c r="OZH96" s="350"/>
      <c r="OZI96" s="350"/>
      <c r="OZJ96" s="350"/>
      <c r="OZK96" s="350"/>
      <c r="OZL96" s="350"/>
      <c r="OZM96" s="350"/>
      <c r="OZN96" s="350"/>
      <c r="OZO96" s="350"/>
      <c r="OZP96" s="350"/>
      <c r="OZQ96" s="350"/>
      <c r="OZR96" s="350"/>
      <c r="OZS96" s="350"/>
      <c r="OZT96" s="350"/>
      <c r="OZU96" s="350"/>
      <c r="OZV96" s="350"/>
      <c r="OZW96" s="350"/>
      <c r="OZX96" s="350"/>
      <c r="OZY96" s="350"/>
      <c r="OZZ96" s="350"/>
      <c r="PAA96" s="350"/>
      <c r="PAB96" s="350"/>
      <c r="PAC96" s="350"/>
      <c r="PAD96" s="350"/>
      <c r="PAE96" s="350"/>
      <c r="PAF96" s="350"/>
      <c r="PAG96" s="350"/>
      <c r="PAH96" s="350"/>
      <c r="PAI96" s="350"/>
      <c r="PAJ96" s="350"/>
      <c r="PAK96" s="350"/>
      <c r="PAL96" s="350"/>
      <c r="PAM96" s="350"/>
      <c r="PAN96" s="350"/>
      <c r="PAO96" s="350"/>
      <c r="PAP96" s="350"/>
      <c r="PAQ96" s="350"/>
      <c r="PAR96" s="350"/>
      <c r="PAS96" s="350"/>
      <c r="PAT96" s="350"/>
      <c r="PAU96" s="350"/>
      <c r="PAV96" s="350"/>
      <c r="PAW96" s="350"/>
      <c r="PAX96" s="350"/>
      <c r="PAY96" s="350"/>
      <c r="PAZ96" s="350"/>
      <c r="PBA96" s="350"/>
      <c r="PBB96" s="350"/>
      <c r="PBC96" s="350"/>
      <c r="PBD96" s="350"/>
      <c r="PBE96" s="350"/>
      <c r="PBF96" s="350"/>
      <c r="PBG96" s="350"/>
      <c r="PBH96" s="350"/>
      <c r="PBI96" s="350"/>
      <c r="PBJ96" s="350"/>
      <c r="PBK96" s="350"/>
      <c r="PBL96" s="350"/>
      <c r="PBM96" s="350"/>
      <c r="PBN96" s="350"/>
      <c r="PBO96" s="350"/>
      <c r="PBP96" s="350"/>
      <c r="PBQ96" s="350"/>
      <c r="PBR96" s="350"/>
      <c r="PBS96" s="350"/>
      <c r="PBT96" s="350"/>
      <c r="PBU96" s="350"/>
      <c r="PBV96" s="350"/>
      <c r="PBW96" s="350"/>
      <c r="PBX96" s="350"/>
      <c r="PBY96" s="350"/>
      <c r="PBZ96" s="350"/>
      <c r="PCA96" s="350"/>
      <c r="PCB96" s="350"/>
      <c r="PCC96" s="350"/>
      <c r="PCD96" s="350"/>
      <c r="PCE96" s="350"/>
      <c r="PCF96" s="350"/>
      <c r="PCG96" s="350"/>
      <c r="PCH96" s="350"/>
      <c r="PCI96" s="350"/>
      <c r="PCJ96" s="350"/>
      <c r="PCK96" s="350"/>
      <c r="PCL96" s="350"/>
      <c r="PCM96" s="350"/>
      <c r="PCN96" s="350"/>
      <c r="PCO96" s="350"/>
      <c r="PCP96" s="350"/>
      <c r="PCQ96" s="350"/>
      <c r="PCR96" s="350"/>
      <c r="PCS96" s="350"/>
      <c r="PCT96" s="350"/>
      <c r="PCU96" s="350"/>
      <c r="PCV96" s="350"/>
      <c r="PCW96" s="350"/>
      <c r="PCX96" s="350"/>
      <c r="PCY96" s="350"/>
      <c r="PCZ96" s="350"/>
      <c r="PDA96" s="350"/>
      <c r="PDB96" s="350"/>
      <c r="PDC96" s="350"/>
      <c r="PDD96" s="350"/>
      <c r="PDE96" s="350"/>
      <c r="PDF96" s="350"/>
      <c r="PDG96" s="350"/>
      <c r="PDH96" s="350"/>
      <c r="PDI96" s="350"/>
      <c r="PDJ96" s="350"/>
      <c r="PDK96" s="350"/>
      <c r="PDL96" s="350"/>
      <c r="PDM96" s="350"/>
      <c r="PDN96" s="350"/>
      <c r="PDO96" s="350"/>
      <c r="PDP96" s="350"/>
      <c r="PDQ96" s="350"/>
      <c r="PDR96" s="350"/>
      <c r="PDS96" s="350"/>
      <c r="PDT96" s="350"/>
      <c r="PDU96" s="350"/>
      <c r="PDV96" s="350"/>
      <c r="PDW96" s="350"/>
      <c r="PDX96" s="350"/>
      <c r="PDY96" s="350"/>
      <c r="PDZ96" s="350"/>
      <c r="PEA96" s="350"/>
      <c r="PEB96" s="350"/>
      <c r="PEC96" s="350"/>
      <c r="PED96" s="350"/>
      <c r="PEE96" s="350"/>
      <c r="PEF96" s="350"/>
      <c r="PEG96" s="350"/>
      <c r="PEH96" s="350"/>
      <c r="PEI96" s="350"/>
      <c r="PEJ96" s="350"/>
      <c r="PEK96" s="350"/>
      <c r="PEL96" s="350"/>
      <c r="PEM96" s="350"/>
      <c r="PEN96" s="350"/>
      <c r="PEO96" s="350"/>
      <c r="PEP96" s="350"/>
      <c r="PEQ96" s="350"/>
      <c r="PER96" s="350"/>
      <c r="PES96" s="350"/>
      <c r="PET96" s="350"/>
      <c r="PEU96" s="350"/>
      <c r="PEV96" s="350"/>
      <c r="PEW96" s="350"/>
      <c r="PEX96" s="350"/>
      <c r="PEY96" s="350"/>
      <c r="PEZ96" s="350"/>
      <c r="PFA96" s="350"/>
      <c r="PFB96" s="350"/>
      <c r="PFC96" s="350"/>
      <c r="PFD96" s="350"/>
      <c r="PFE96" s="350"/>
      <c r="PFF96" s="350"/>
      <c r="PFG96" s="350"/>
      <c r="PFH96" s="350"/>
      <c r="PFI96" s="350"/>
      <c r="PFJ96" s="350"/>
      <c r="PFK96" s="350"/>
      <c r="PFL96" s="350"/>
      <c r="PFM96" s="350"/>
      <c r="PFN96" s="350"/>
      <c r="PFO96" s="350"/>
      <c r="PFP96" s="350"/>
      <c r="PFQ96" s="350"/>
      <c r="PFR96" s="350"/>
      <c r="PFS96" s="350"/>
      <c r="PFT96" s="350"/>
      <c r="PFU96" s="350"/>
      <c r="PFV96" s="350"/>
      <c r="PFW96" s="350"/>
      <c r="PFX96" s="350"/>
      <c r="PFY96" s="350"/>
      <c r="PFZ96" s="350"/>
      <c r="PGA96" s="350"/>
      <c r="PGB96" s="350"/>
      <c r="PGC96" s="350"/>
      <c r="PGD96" s="350"/>
      <c r="PGE96" s="350"/>
      <c r="PGF96" s="350"/>
      <c r="PGG96" s="350"/>
      <c r="PGH96" s="350"/>
      <c r="PGI96" s="350"/>
      <c r="PGJ96" s="350"/>
      <c r="PGK96" s="350"/>
      <c r="PGL96" s="350"/>
      <c r="PGM96" s="350"/>
      <c r="PGN96" s="350"/>
      <c r="PGO96" s="350"/>
      <c r="PGP96" s="350"/>
      <c r="PGQ96" s="350"/>
      <c r="PGR96" s="350"/>
      <c r="PGS96" s="350"/>
      <c r="PGT96" s="350"/>
      <c r="PGU96" s="350"/>
      <c r="PGV96" s="350"/>
      <c r="PGW96" s="350"/>
      <c r="PGX96" s="350"/>
      <c r="PGY96" s="350"/>
      <c r="PGZ96" s="350"/>
      <c r="PHA96" s="350"/>
      <c r="PHB96" s="350"/>
      <c r="PHC96" s="350"/>
      <c r="PHD96" s="350"/>
      <c r="PHE96" s="350"/>
      <c r="PHF96" s="350"/>
      <c r="PHG96" s="350"/>
      <c r="PHH96" s="350"/>
      <c r="PHI96" s="350"/>
      <c r="PHJ96" s="350"/>
      <c r="PHK96" s="350"/>
      <c r="PHL96" s="350"/>
      <c r="PHM96" s="350"/>
      <c r="PHN96" s="350"/>
      <c r="PHO96" s="350"/>
      <c r="PHP96" s="350"/>
      <c r="PHQ96" s="350"/>
      <c r="PHR96" s="350"/>
      <c r="PHS96" s="350"/>
      <c r="PHT96" s="350"/>
      <c r="PHU96" s="350"/>
      <c r="PHV96" s="350"/>
      <c r="PHW96" s="350"/>
      <c r="PHX96" s="350"/>
      <c r="PHY96" s="350"/>
      <c r="PHZ96" s="350"/>
      <c r="PIA96" s="350"/>
      <c r="PIB96" s="350"/>
      <c r="PIC96" s="350"/>
      <c r="PID96" s="350"/>
      <c r="PIE96" s="350"/>
      <c r="PIF96" s="350"/>
      <c r="PIG96" s="350"/>
      <c r="PIH96" s="350"/>
      <c r="PII96" s="350"/>
      <c r="PIJ96" s="350"/>
      <c r="PIK96" s="350"/>
      <c r="PIL96" s="350"/>
      <c r="PIM96" s="350"/>
      <c r="PIN96" s="350"/>
      <c r="PIO96" s="350"/>
      <c r="PIP96" s="350"/>
      <c r="PIQ96" s="350"/>
      <c r="PIR96" s="350"/>
      <c r="PIS96" s="350"/>
      <c r="PIT96" s="350"/>
      <c r="PIU96" s="350"/>
      <c r="PIV96" s="350"/>
      <c r="PIW96" s="350"/>
      <c r="PIX96" s="350"/>
      <c r="PIY96" s="350"/>
      <c r="PIZ96" s="350"/>
      <c r="PJA96" s="350"/>
      <c r="PJB96" s="350"/>
      <c r="PJC96" s="350"/>
      <c r="PJD96" s="350"/>
      <c r="PJE96" s="350"/>
      <c r="PJF96" s="350"/>
      <c r="PJG96" s="350"/>
      <c r="PJH96" s="350"/>
      <c r="PJI96" s="350"/>
      <c r="PJJ96" s="350"/>
      <c r="PJK96" s="350"/>
      <c r="PJL96" s="350"/>
      <c r="PJM96" s="350"/>
      <c r="PJN96" s="350"/>
      <c r="PJO96" s="350"/>
      <c r="PJP96" s="350"/>
      <c r="PJQ96" s="350"/>
      <c r="PJR96" s="350"/>
      <c r="PJS96" s="350"/>
      <c r="PJT96" s="350"/>
      <c r="PJU96" s="350"/>
      <c r="PJV96" s="350"/>
      <c r="PJW96" s="350"/>
      <c r="PJX96" s="350"/>
      <c r="PJY96" s="350"/>
      <c r="PJZ96" s="350"/>
      <c r="PKA96" s="350"/>
      <c r="PKB96" s="350"/>
      <c r="PKC96" s="350"/>
      <c r="PKD96" s="350"/>
      <c r="PKE96" s="350"/>
      <c r="PKF96" s="350"/>
      <c r="PKG96" s="350"/>
      <c r="PKH96" s="350"/>
      <c r="PKI96" s="350"/>
      <c r="PKJ96" s="350"/>
      <c r="PKK96" s="350"/>
      <c r="PKL96" s="350"/>
      <c r="PKM96" s="350"/>
      <c r="PKN96" s="350"/>
      <c r="PKO96" s="350"/>
      <c r="PKP96" s="350"/>
      <c r="PKQ96" s="350"/>
      <c r="PKR96" s="350"/>
      <c r="PKS96" s="350"/>
      <c r="PKT96" s="350"/>
      <c r="PKU96" s="350"/>
      <c r="PKV96" s="350"/>
      <c r="PKW96" s="350"/>
      <c r="PKX96" s="350"/>
      <c r="PKY96" s="350"/>
      <c r="PKZ96" s="350"/>
      <c r="PLA96" s="350"/>
      <c r="PLB96" s="350"/>
      <c r="PLC96" s="350"/>
      <c r="PLD96" s="350"/>
      <c r="PLE96" s="350"/>
      <c r="PLF96" s="350"/>
      <c r="PLG96" s="350"/>
      <c r="PLH96" s="350"/>
      <c r="PLI96" s="350"/>
      <c r="PLJ96" s="350"/>
      <c r="PLK96" s="350"/>
      <c r="PLL96" s="350"/>
      <c r="PLM96" s="350"/>
      <c r="PLN96" s="350"/>
      <c r="PLO96" s="350"/>
      <c r="PLP96" s="350"/>
      <c r="PLQ96" s="350"/>
      <c r="PLR96" s="350"/>
      <c r="PLS96" s="350"/>
      <c r="PLT96" s="350"/>
      <c r="PLU96" s="350"/>
      <c r="PLV96" s="350"/>
      <c r="PLW96" s="350"/>
      <c r="PLX96" s="350"/>
      <c r="PLY96" s="350"/>
      <c r="PLZ96" s="350"/>
      <c r="PMA96" s="350"/>
      <c r="PMB96" s="350"/>
      <c r="PMC96" s="350"/>
      <c r="PMD96" s="350"/>
      <c r="PME96" s="350"/>
      <c r="PMF96" s="350"/>
      <c r="PMG96" s="350"/>
      <c r="PMH96" s="350"/>
      <c r="PMI96" s="350"/>
      <c r="PMJ96" s="350"/>
      <c r="PMK96" s="350"/>
      <c r="PML96" s="350"/>
      <c r="PMM96" s="350"/>
      <c r="PMN96" s="350"/>
      <c r="PMO96" s="350"/>
      <c r="PMP96" s="350"/>
      <c r="PMQ96" s="350"/>
      <c r="PMR96" s="350"/>
      <c r="PMS96" s="350"/>
      <c r="PMT96" s="350"/>
      <c r="PMU96" s="350"/>
      <c r="PMV96" s="350"/>
      <c r="PMW96" s="350"/>
      <c r="PMX96" s="350"/>
      <c r="PMY96" s="350"/>
      <c r="PMZ96" s="350"/>
      <c r="PNA96" s="350"/>
      <c r="PNB96" s="350"/>
      <c r="PNC96" s="350"/>
      <c r="PND96" s="350"/>
      <c r="PNE96" s="350"/>
      <c r="PNF96" s="350"/>
      <c r="PNG96" s="350"/>
      <c r="PNH96" s="350"/>
      <c r="PNI96" s="350"/>
      <c r="PNJ96" s="350"/>
      <c r="PNK96" s="350"/>
      <c r="PNL96" s="350"/>
      <c r="PNM96" s="350"/>
      <c r="PNN96" s="350"/>
      <c r="PNO96" s="350"/>
      <c r="PNP96" s="350"/>
      <c r="PNQ96" s="350"/>
      <c r="PNR96" s="350"/>
      <c r="PNS96" s="350"/>
      <c r="PNT96" s="350"/>
      <c r="PNU96" s="350"/>
      <c r="PNV96" s="350"/>
      <c r="PNW96" s="350"/>
      <c r="PNX96" s="350"/>
      <c r="PNY96" s="350"/>
      <c r="PNZ96" s="350"/>
      <c r="POA96" s="350"/>
      <c r="POB96" s="350"/>
      <c r="POC96" s="350"/>
      <c r="POD96" s="350"/>
      <c r="POE96" s="350"/>
      <c r="POF96" s="350"/>
      <c r="POG96" s="350"/>
      <c r="POH96" s="350"/>
      <c r="POI96" s="350"/>
      <c r="POJ96" s="350"/>
      <c r="POK96" s="350"/>
      <c r="POL96" s="350"/>
      <c r="POM96" s="350"/>
      <c r="PON96" s="350"/>
      <c r="POO96" s="350"/>
      <c r="POP96" s="350"/>
      <c r="POQ96" s="350"/>
      <c r="POR96" s="350"/>
      <c r="POS96" s="350"/>
      <c r="POT96" s="350"/>
      <c r="POU96" s="350"/>
      <c r="POV96" s="350"/>
      <c r="POW96" s="350"/>
      <c r="POX96" s="350"/>
      <c r="POY96" s="350"/>
      <c r="POZ96" s="350"/>
      <c r="PPA96" s="350"/>
      <c r="PPB96" s="350"/>
      <c r="PPC96" s="350"/>
      <c r="PPD96" s="350"/>
      <c r="PPE96" s="350"/>
      <c r="PPF96" s="350"/>
      <c r="PPG96" s="350"/>
      <c r="PPH96" s="350"/>
      <c r="PPI96" s="350"/>
      <c r="PPJ96" s="350"/>
      <c r="PPK96" s="350"/>
      <c r="PPL96" s="350"/>
      <c r="PPM96" s="350"/>
      <c r="PPN96" s="350"/>
      <c r="PPO96" s="350"/>
      <c r="PPP96" s="350"/>
      <c r="PPQ96" s="350"/>
      <c r="PPR96" s="350"/>
      <c r="PPS96" s="350"/>
      <c r="PPT96" s="350"/>
      <c r="PPU96" s="350"/>
      <c r="PPV96" s="350"/>
      <c r="PPW96" s="350"/>
      <c r="PPX96" s="350"/>
      <c r="PPY96" s="350"/>
      <c r="PPZ96" s="350"/>
      <c r="PQA96" s="350"/>
      <c r="PQB96" s="350"/>
      <c r="PQC96" s="350"/>
      <c r="PQD96" s="350"/>
      <c r="PQE96" s="350"/>
      <c r="PQF96" s="350"/>
      <c r="PQG96" s="350"/>
      <c r="PQH96" s="350"/>
      <c r="PQI96" s="350"/>
      <c r="PQJ96" s="350"/>
      <c r="PQK96" s="350"/>
      <c r="PQL96" s="350"/>
      <c r="PQM96" s="350"/>
      <c r="PQN96" s="350"/>
      <c r="PQO96" s="350"/>
      <c r="PQP96" s="350"/>
      <c r="PQQ96" s="350"/>
      <c r="PQR96" s="350"/>
      <c r="PQS96" s="350"/>
      <c r="PQT96" s="350"/>
      <c r="PQU96" s="350"/>
      <c r="PQV96" s="350"/>
      <c r="PQW96" s="350"/>
      <c r="PQX96" s="350"/>
      <c r="PQY96" s="350"/>
      <c r="PQZ96" s="350"/>
      <c r="PRA96" s="350"/>
      <c r="PRB96" s="350"/>
      <c r="PRC96" s="350"/>
      <c r="PRD96" s="350"/>
      <c r="PRE96" s="350"/>
      <c r="PRF96" s="350"/>
      <c r="PRG96" s="350"/>
      <c r="PRH96" s="350"/>
      <c r="PRI96" s="350"/>
      <c r="PRJ96" s="350"/>
      <c r="PRK96" s="350"/>
      <c r="PRL96" s="350"/>
      <c r="PRM96" s="350"/>
      <c r="PRN96" s="350"/>
      <c r="PRO96" s="350"/>
      <c r="PRP96" s="350"/>
      <c r="PRQ96" s="350"/>
      <c r="PRR96" s="350"/>
      <c r="PRS96" s="350"/>
      <c r="PRT96" s="350"/>
      <c r="PRU96" s="350"/>
      <c r="PRV96" s="350"/>
      <c r="PRW96" s="350"/>
      <c r="PRX96" s="350"/>
      <c r="PRY96" s="350"/>
      <c r="PRZ96" s="350"/>
      <c r="PSA96" s="350"/>
      <c r="PSB96" s="350"/>
      <c r="PSC96" s="350"/>
      <c r="PSD96" s="350"/>
      <c r="PSE96" s="350"/>
      <c r="PSF96" s="350"/>
      <c r="PSG96" s="350"/>
      <c r="PSH96" s="350"/>
      <c r="PSI96" s="350"/>
      <c r="PSJ96" s="350"/>
      <c r="PSK96" s="350"/>
      <c r="PSL96" s="350"/>
      <c r="PSM96" s="350"/>
      <c r="PSN96" s="350"/>
      <c r="PSO96" s="350"/>
      <c r="PSP96" s="350"/>
      <c r="PSQ96" s="350"/>
      <c r="PSR96" s="350"/>
      <c r="PSS96" s="350"/>
      <c r="PST96" s="350"/>
      <c r="PSU96" s="350"/>
      <c r="PSV96" s="350"/>
      <c r="PSW96" s="350"/>
      <c r="PSX96" s="350"/>
      <c r="PSY96" s="350"/>
      <c r="PSZ96" s="350"/>
      <c r="PTA96" s="350"/>
      <c r="PTB96" s="350"/>
      <c r="PTC96" s="350"/>
      <c r="PTD96" s="350"/>
      <c r="PTE96" s="350"/>
      <c r="PTF96" s="350"/>
      <c r="PTG96" s="350"/>
      <c r="PTH96" s="350"/>
      <c r="PTI96" s="350"/>
      <c r="PTJ96" s="350"/>
      <c r="PTK96" s="350"/>
      <c r="PTL96" s="350"/>
      <c r="PTM96" s="350"/>
      <c r="PTN96" s="350"/>
      <c r="PTO96" s="350"/>
      <c r="PTP96" s="350"/>
      <c r="PTQ96" s="350"/>
      <c r="PTR96" s="350"/>
      <c r="PTS96" s="350"/>
      <c r="PTT96" s="350"/>
      <c r="PTU96" s="350"/>
      <c r="PTV96" s="350"/>
      <c r="PTW96" s="350"/>
      <c r="PTX96" s="350"/>
      <c r="PTY96" s="350"/>
      <c r="PTZ96" s="350"/>
      <c r="PUA96" s="350"/>
      <c r="PUB96" s="350"/>
      <c r="PUC96" s="350"/>
      <c r="PUD96" s="350"/>
      <c r="PUE96" s="350"/>
      <c r="PUF96" s="350"/>
      <c r="PUG96" s="350"/>
      <c r="PUH96" s="350"/>
      <c r="PUI96" s="350"/>
      <c r="PUJ96" s="350"/>
      <c r="PUK96" s="350"/>
      <c r="PUL96" s="350"/>
      <c r="PUM96" s="350"/>
      <c r="PUN96" s="350"/>
      <c r="PUO96" s="350"/>
      <c r="PUP96" s="350"/>
      <c r="PUQ96" s="350"/>
      <c r="PUR96" s="350"/>
      <c r="PUS96" s="350"/>
      <c r="PUT96" s="350"/>
      <c r="PUU96" s="350"/>
      <c r="PUV96" s="350"/>
      <c r="PUW96" s="350"/>
      <c r="PUX96" s="350"/>
      <c r="PUY96" s="350"/>
      <c r="PUZ96" s="350"/>
      <c r="PVA96" s="350"/>
      <c r="PVB96" s="350"/>
      <c r="PVC96" s="350"/>
      <c r="PVD96" s="350"/>
      <c r="PVE96" s="350"/>
      <c r="PVF96" s="350"/>
      <c r="PVG96" s="350"/>
      <c r="PVH96" s="350"/>
      <c r="PVI96" s="350"/>
      <c r="PVJ96" s="350"/>
      <c r="PVK96" s="350"/>
      <c r="PVL96" s="350"/>
      <c r="PVM96" s="350"/>
      <c r="PVN96" s="350"/>
      <c r="PVO96" s="350"/>
      <c r="PVP96" s="350"/>
      <c r="PVQ96" s="350"/>
      <c r="PVR96" s="350"/>
      <c r="PVS96" s="350"/>
      <c r="PVT96" s="350"/>
      <c r="PVU96" s="350"/>
      <c r="PVV96" s="350"/>
      <c r="PVW96" s="350"/>
      <c r="PVX96" s="350"/>
      <c r="PVY96" s="350"/>
      <c r="PVZ96" s="350"/>
      <c r="PWA96" s="350"/>
      <c r="PWB96" s="350"/>
      <c r="PWC96" s="350"/>
      <c r="PWD96" s="350"/>
      <c r="PWE96" s="350"/>
      <c r="PWF96" s="350"/>
      <c r="PWG96" s="350"/>
      <c r="PWH96" s="350"/>
      <c r="PWI96" s="350"/>
      <c r="PWJ96" s="350"/>
      <c r="PWK96" s="350"/>
      <c r="PWL96" s="350"/>
      <c r="PWM96" s="350"/>
      <c r="PWN96" s="350"/>
      <c r="PWO96" s="350"/>
      <c r="PWP96" s="350"/>
      <c r="PWQ96" s="350"/>
      <c r="PWR96" s="350"/>
      <c r="PWS96" s="350"/>
      <c r="PWT96" s="350"/>
      <c r="PWU96" s="350"/>
      <c r="PWV96" s="350"/>
      <c r="PWW96" s="350"/>
      <c r="PWX96" s="350"/>
      <c r="PWY96" s="350"/>
      <c r="PWZ96" s="350"/>
      <c r="PXA96" s="350"/>
      <c r="PXB96" s="350"/>
      <c r="PXC96" s="350"/>
      <c r="PXD96" s="350"/>
      <c r="PXE96" s="350"/>
      <c r="PXF96" s="350"/>
      <c r="PXG96" s="350"/>
      <c r="PXH96" s="350"/>
      <c r="PXI96" s="350"/>
      <c r="PXJ96" s="350"/>
      <c r="PXK96" s="350"/>
      <c r="PXL96" s="350"/>
      <c r="PXM96" s="350"/>
      <c r="PXN96" s="350"/>
      <c r="PXO96" s="350"/>
      <c r="PXP96" s="350"/>
      <c r="PXQ96" s="350"/>
      <c r="PXR96" s="350"/>
      <c r="PXS96" s="350"/>
      <c r="PXT96" s="350"/>
      <c r="PXU96" s="350"/>
      <c r="PXV96" s="350"/>
      <c r="PXW96" s="350"/>
      <c r="PXX96" s="350"/>
      <c r="PXY96" s="350"/>
      <c r="PXZ96" s="350"/>
      <c r="PYA96" s="350"/>
      <c r="PYB96" s="350"/>
      <c r="PYC96" s="350"/>
      <c r="PYD96" s="350"/>
      <c r="PYE96" s="350"/>
      <c r="PYF96" s="350"/>
      <c r="PYG96" s="350"/>
      <c r="PYH96" s="350"/>
      <c r="PYI96" s="350"/>
      <c r="PYJ96" s="350"/>
      <c r="PYK96" s="350"/>
      <c r="PYL96" s="350"/>
      <c r="PYM96" s="350"/>
      <c r="PYN96" s="350"/>
      <c r="PYO96" s="350"/>
      <c r="PYP96" s="350"/>
      <c r="PYQ96" s="350"/>
      <c r="PYR96" s="350"/>
      <c r="PYS96" s="350"/>
      <c r="PYT96" s="350"/>
      <c r="PYU96" s="350"/>
      <c r="PYV96" s="350"/>
      <c r="PYW96" s="350"/>
      <c r="PYX96" s="350"/>
      <c r="PYY96" s="350"/>
      <c r="PYZ96" s="350"/>
      <c r="PZA96" s="350"/>
      <c r="PZB96" s="350"/>
      <c r="PZC96" s="350"/>
      <c r="PZD96" s="350"/>
      <c r="PZE96" s="350"/>
      <c r="PZF96" s="350"/>
      <c r="PZG96" s="350"/>
      <c r="PZH96" s="350"/>
      <c r="PZI96" s="350"/>
      <c r="PZJ96" s="350"/>
      <c r="PZK96" s="350"/>
      <c r="PZL96" s="350"/>
      <c r="PZM96" s="350"/>
      <c r="PZN96" s="350"/>
      <c r="PZO96" s="350"/>
      <c r="PZP96" s="350"/>
      <c r="PZQ96" s="350"/>
      <c r="PZR96" s="350"/>
      <c r="PZS96" s="350"/>
      <c r="PZT96" s="350"/>
      <c r="PZU96" s="350"/>
      <c r="PZV96" s="350"/>
      <c r="PZW96" s="350"/>
      <c r="PZX96" s="350"/>
      <c r="PZY96" s="350"/>
      <c r="PZZ96" s="350"/>
      <c r="QAA96" s="350"/>
      <c r="QAB96" s="350"/>
      <c r="QAC96" s="350"/>
      <c r="QAD96" s="350"/>
      <c r="QAE96" s="350"/>
      <c r="QAF96" s="350"/>
      <c r="QAG96" s="350"/>
      <c r="QAH96" s="350"/>
      <c r="QAI96" s="350"/>
      <c r="QAJ96" s="350"/>
      <c r="QAK96" s="350"/>
      <c r="QAL96" s="350"/>
      <c r="QAM96" s="350"/>
      <c r="QAN96" s="350"/>
      <c r="QAO96" s="350"/>
      <c r="QAP96" s="350"/>
      <c r="QAQ96" s="350"/>
      <c r="QAR96" s="350"/>
      <c r="QAS96" s="350"/>
      <c r="QAT96" s="350"/>
      <c r="QAU96" s="350"/>
      <c r="QAV96" s="350"/>
      <c r="QAW96" s="350"/>
      <c r="QAX96" s="350"/>
      <c r="QAY96" s="350"/>
      <c r="QAZ96" s="350"/>
      <c r="QBA96" s="350"/>
      <c r="QBB96" s="350"/>
      <c r="QBC96" s="350"/>
      <c r="QBD96" s="350"/>
      <c r="QBE96" s="350"/>
      <c r="QBF96" s="350"/>
      <c r="QBG96" s="350"/>
      <c r="QBH96" s="350"/>
      <c r="QBI96" s="350"/>
      <c r="QBJ96" s="350"/>
      <c r="QBK96" s="350"/>
      <c r="QBL96" s="350"/>
      <c r="QBM96" s="350"/>
      <c r="QBN96" s="350"/>
      <c r="QBO96" s="350"/>
      <c r="QBP96" s="350"/>
      <c r="QBQ96" s="350"/>
      <c r="QBR96" s="350"/>
      <c r="QBS96" s="350"/>
      <c r="QBT96" s="350"/>
      <c r="QBU96" s="350"/>
      <c r="QBV96" s="350"/>
      <c r="QBW96" s="350"/>
      <c r="QBX96" s="350"/>
      <c r="QBY96" s="350"/>
      <c r="QBZ96" s="350"/>
      <c r="QCA96" s="350"/>
      <c r="QCB96" s="350"/>
      <c r="QCC96" s="350"/>
      <c r="QCD96" s="350"/>
      <c r="QCE96" s="350"/>
      <c r="QCF96" s="350"/>
      <c r="QCG96" s="350"/>
      <c r="QCH96" s="350"/>
      <c r="QCI96" s="350"/>
      <c r="QCJ96" s="350"/>
      <c r="QCK96" s="350"/>
      <c r="QCL96" s="350"/>
      <c r="QCM96" s="350"/>
      <c r="QCN96" s="350"/>
      <c r="QCO96" s="350"/>
      <c r="QCP96" s="350"/>
      <c r="QCQ96" s="350"/>
      <c r="QCR96" s="350"/>
      <c r="QCS96" s="350"/>
      <c r="QCT96" s="350"/>
      <c r="QCU96" s="350"/>
      <c r="QCV96" s="350"/>
      <c r="QCW96" s="350"/>
      <c r="QCX96" s="350"/>
      <c r="QCY96" s="350"/>
      <c r="QCZ96" s="350"/>
      <c r="QDA96" s="350"/>
      <c r="QDB96" s="350"/>
      <c r="QDC96" s="350"/>
      <c r="QDD96" s="350"/>
      <c r="QDE96" s="350"/>
      <c r="QDF96" s="350"/>
      <c r="QDG96" s="350"/>
      <c r="QDH96" s="350"/>
      <c r="QDI96" s="350"/>
      <c r="QDJ96" s="350"/>
      <c r="QDK96" s="350"/>
      <c r="QDL96" s="350"/>
      <c r="QDM96" s="350"/>
      <c r="QDN96" s="350"/>
      <c r="QDO96" s="350"/>
      <c r="QDP96" s="350"/>
      <c r="QDQ96" s="350"/>
      <c r="QDR96" s="350"/>
      <c r="QDS96" s="350"/>
      <c r="QDT96" s="350"/>
      <c r="QDU96" s="350"/>
      <c r="QDV96" s="350"/>
      <c r="QDW96" s="350"/>
      <c r="QDX96" s="350"/>
      <c r="QDY96" s="350"/>
      <c r="QDZ96" s="350"/>
      <c r="QEA96" s="350"/>
      <c r="QEB96" s="350"/>
      <c r="QEC96" s="350"/>
      <c r="QED96" s="350"/>
      <c r="QEE96" s="350"/>
      <c r="QEF96" s="350"/>
      <c r="QEG96" s="350"/>
      <c r="QEH96" s="350"/>
      <c r="QEI96" s="350"/>
      <c r="QEJ96" s="350"/>
      <c r="QEK96" s="350"/>
      <c r="QEL96" s="350"/>
      <c r="QEM96" s="350"/>
      <c r="QEN96" s="350"/>
      <c r="QEO96" s="350"/>
      <c r="QEP96" s="350"/>
      <c r="QEQ96" s="350"/>
      <c r="QER96" s="350"/>
      <c r="QES96" s="350"/>
      <c r="QET96" s="350"/>
      <c r="QEU96" s="350"/>
      <c r="QEV96" s="350"/>
      <c r="QEW96" s="350"/>
      <c r="QEX96" s="350"/>
      <c r="QEY96" s="350"/>
      <c r="QEZ96" s="350"/>
      <c r="QFA96" s="350"/>
      <c r="QFB96" s="350"/>
      <c r="QFC96" s="350"/>
      <c r="QFD96" s="350"/>
      <c r="QFE96" s="350"/>
      <c r="QFF96" s="350"/>
      <c r="QFG96" s="350"/>
      <c r="QFH96" s="350"/>
      <c r="QFI96" s="350"/>
      <c r="QFJ96" s="350"/>
      <c r="QFK96" s="350"/>
      <c r="QFL96" s="350"/>
      <c r="QFM96" s="350"/>
      <c r="QFN96" s="350"/>
      <c r="QFO96" s="350"/>
      <c r="QFP96" s="350"/>
      <c r="QFQ96" s="350"/>
      <c r="QFR96" s="350"/>
      <c r="QFS96" s="350"/>
      <c r="QFT96" s="350"/>
      <c r="QFU96" s="350"/>
      <c r="QFV96" s="350"/>
      <c r="QFW96" s="350"/>
      <c r="QFX96" s="350"/>
      <c r="QFY96" s="350"/>
      <c r="QFZ96" s="350"/>
      <c r="QGA96" s="350"/>
      <c r="QGB96" s="350"/>
      <c r="QGC96" s="350"/>
      <c r="QGD96" s="350"/>
      <c r="QGE96" s="350"/>
      <c r="QGF96" s="350"/>
      <c r="QGG96" s="350"/>
      <c r="QGH96" s="350"/>
      <c r="QGI96" s="350"/>
      <c r="QGJ96" s="350"/>
      <c r="QGK96" s="350"/>
      <c r="QGL96" s="350"/>
      <c r="QGM96" s="350"/>
      <c r="QGN96" s="350"/>
      <c r="QGO96" s="350"/>
      <c r="QGP96" s="350"/>
      <c r="QGQ96" s="350"/>
      <c r="QGR96" s="350"/>
      <c r="QGS96" s="350"/>
      <c r="QGT96" s="350"/>
      <c r="QGU96" s="350"/>
      <c r="QGV96" s="350"/>
      <c r="QGW96" s="350"/>
      <c r="QGX96" s="350"/>
      <c r="QGY96" s="350"/>
      <c r="QGZ96" s="350"/>
      <c r="QHA96" s="350"/>
      <c r="QHB96" s="350"/>
      <c r="QHC96" s="350"/>
      <c r="QHD96" s="350"/>
      <c r="QHE96" s="350"/>
      <c r="QHF96" s="350"/>
      <c r="QHG96" s="350"/>
      <c r="QHH96" s="350"/>
      <c r="QHI96" s="350"/>
      <c r="QHJ96" s="350"/>
      <c r="QHK96" s="350"/>
      <c r="QHL96" s="350"/>
      <c r="QHM96" s="350"/>
      <c r="QHN96" s="350"/>
      <c r="QHO96" s="350"/>
      <c r="QHP96" s="350"/>
      <c r="QHQ96" s="350"/>
      <c r="QHR96" s="350"/>
      <c r="QHS96" s="350"/>
      <c r="QHT96" s="350"/>
      <c r="QHU96" s="350"/>
      <c r="QHV96" s="350"/>
      <c r="QHW96" s="350"/>
      <c r="QHX96" s="350"/>
      <c r="QHY96" s="350"/>
      <c r="QHZ96" s="350"/>
      <c r="QIA96" s="350"/>
      <c r="QIB96" s="350"/>
      <c r="QIC96" s="350"/>
      <c r="QID96" s="350"/>
      <c r="QIE96" s="350"/>
      <c r="QIF96" s="350"/>
      <c r="QIG96" s="350"/>
      <c r="QIH96" s="350"/>
      <c r="QII96" s="350"/>
      <c r="QIJ96" s="350"/>
      <c r="QIK96" s="350"/>
      <c r="QIL96" s="350"/>
      <c r="QIM96" s="350"/>
      <c r="QIN96" s="350"/>
      <c r="QIO96" s="350"/>
      <c r="QIP96" s="350"/>
      <c r="QIQ96" s="350"/>
      <c r="QIR96" s="350"/>
      <c r="QIS96" s="350"/>
      <c r="QIT96" s="350"/>
      <c r="QIU96" s="350"/>
      <c r="QIV96" s="350"/>
      <c r="QIW96" s="350"/>
      <c r="QIX96" s="350"/>
      <c r="QIY96" s="350"/>
      <c r="QIZ96" s="350"/>
      <c r="QJA96" s="350"/>
      <c r="QJB96" s="350"/>
      <c r="QJC96" s="350"/>
      <c r="QJD96" s="350"/>
      <c r="QJE96" s="350"/>
      <c r="QJF96" s="350"/>
      <c r="QJG96" s="350"/>
      <c r="QJH96" s="350"/>
      <c r="QJI96" s="350"/>
      <c r="QJJ96" s="350"/>
      <c r="QJK96" s="350"/>
      <c r="QJL96" s="350"/>
      <c r="QJM96" s="350"/>
      <c r="QJN96" s="350"/>
      <c r="QJO96" s="350"/>
      <c r="QJP96" s="350"/>
      <c r="QJQ96" s="350"/>
      <c r="QJR96" s="350"/>
      <c r="QJS96" s="350"/>
      <c r="QJT96" s="350"/>
      <c r="QJU96" s="350"/>
      <c r="QJV96" s="350"/>
      <c r="QJW96" s="350"/>
      <c r="QJX96" s="350"/>
      <c r="QJY96" s="350"/>
      <c r="QJZ96" s="350"/>
      <c r="QKA96" s="350"/>
      <c r="QKB96" s="350"/>
      <c r="QKC96" s="350"/>
      <c r="QKD96" s="350"/>
      <c r="QKE96" s="350"/>
      <c r="QKF96" s="350"/>
      <c r="QKG96" s="350"/>
      <c r="QKH96" s="350"/>
      <c r="QKI96" s="350"/>
      <c r="QKJ96" s="350"/>
      <c r="QKK96" s="350"/>
      <c r="QKL96" s="350"/>
      <c r="QKM96" s="350"/>
      <c r="QKN96" s="350"/>
      <c r="QKO96" s="350"/>
      <c r="QKP96" s="350"/>
      <c r="QKQ96" s="350"/>
      <c r="QKR96" s="350"/>
      <c r="QKS96" s="350"/>
      <c r="QKT96" s="350"/>
      <c r="QKU96" s="350"/>
      <c r="QKV96" s="350"/>
      <c r="QKW96" s="350"/>
      <c r="QKX96" s="350"/>
      <c r="QKY96" s="350"/>
      <c r="QKZ96" s="350"/>
      <c r="QLA96" s="350"/>
      <c r="QLB96" s="350"/>
      <c r="QLC96" s="350"/>
      <c r="QLD96" s="350"/>
      <c r="QLE96" s="350"/>
      <c r="QLF96" s="350"/>
      <c r="QLG96" s="350"/>
      <c r="QLH96" s="350"/>
      <c r="QLI96" s="350"/>
      <c r="QLJ96" s="350"/>
      <c r="QLK96" s="350"/>
      <c r="QLL96" s="350"/>
      <c r="QLM96" s="350"/>
      <c r="QLN96" s="350"/>
      <c r="QLO96" s="350"/>
      <c r="QLP96" s="350"/>
      <c r="QLQ96" s="350"/>
      <c r="QLR96" s="350"/>
      <c r="QLS96" s="350"/>
      <c r="QLT96" s="350"/>
      <c r="QLU96" s="350"/>
      <c r="QLV96" s="350"/>
      <c r="QLW96" s="350"/>
      <c r="QLX96" s="350"/>
      <c r="QLY96" s="350"/>
      <c r="QLZ96" s="350"/>
      <c r="QMA96" s="350"/>
      <c r="QMB96" s="350"/>
      <c r="QMC96" s="350"/>
      <c r="QMD96" s="350"/>
      <c r="QME96" s="350"/>
      <c r="QMF96" s="350"/>
      <c r="QMG96" s="350"/>
      <c r="QMH96" s="350"/>
      <c r="QMI96" s="350"/>
      <c r="QMJ96" s="350"/>
      <c r="QMK96" s="350"/>
      <c r="QML96" s="350"/>
      <c r="QMM96" s="350"/>
      <c r="QMN96" s="350"/>
      <c r="QMO96" s="350"/>
      <c r="QMP96" s="350"/>
      <c r="QMQ96" s="350"/>
      <c r="QMR96" s="350"/>
      <c r="QMS96" s="350"/>
      <c r="QMT96" s="350"/>
      <c r="QMU96" s="350"/>
      <c r="QMV96" s="350"/>
      <c r="QMW96" s="350"/>
      <c r="QMX96" s="350"/>
      <c r="QMY96" s="350"/>
      <c r="QMZ96" s="350"/>
      <c r="QNA96" s="350"/>
      <c r="QNB96" s="350"/>
      <c r="QNC96" s="350"/>
      <c r="QND96" s="350"/>
      <c r="QNE96" s="350"/>
      <c r="QNF96" s="350"/>
      <c r="QNG96" s="350"/>
      <c r="QNH96" s="350"/>
      <c r="QNI96" s="350"/>
      <c r="QNJ96" s="350"/>
      <c r="QNK96" s="350"/>
      <c r="QNL96" s="350"/>
      <c r="QNM96" s="350"/>
      <c r="QNN96" s="350"/>
      <c r="QNO96" s="350"/>
      <c r="QNP96" s="350"/>
      <c r="QNQ96" s="350"/>
      <c r="QNR96" s="350"/>
      <c r="QNS96" s="350"/>
      <c r="QNT96" s="350"/>
      <c r="QNU96" s="350"/>
      <c r="QNV96" s="350"/>
      <c r="QNW96" s="350"/>
      <c r="QNX96" s="350"/>
      <c r="QNY96" s="350"/>
      <c r="QNZ96" s="350"/>
      <c r="QOA96" s="350"/>
      <c r="QOB96" s="350"/>
      <c r="QOC96" s="350"/>
      <c r="QOD96" s="350"/>
      <c r="QOE96" s="350"/>
      <c r="QOF96" s="350"/>
      <c r="QOG96" s="350"/>
      <c r="QOH96" s="350"/>
      <c r="QOI96" s="350"/>
      <c r="QOJ96" s="350"/>
      <c r="QOK96" s="350"/>
      <c r="QOL96" s="350"/>
      <c r="QOM96" s="350"/>
      <c r="QON96" s="350"/>
      <c r="QOO96" s="350"/>
      <c r="QOP96" s="350"/>
      <c r="QOQ96" s="350"/>
      <c r="QOR96" s="350"/>
      <c r="QOS96" s="350"/>
      <c r="QOT96" s="350"/>
      <c r="QOU96" s="350"/>
      <c r="QOV96" s="350"/>
      <c r="QOW96" s="350"/>
      <c r="QOX96" s="350"/>
      <c r="QOY96" s="350"/>
      <c r="QOZ96" s="350"/>
      <c r="QPA96" s="350"/>
      <c r="QPB96" s="350"/>
      <c r="QPC96" s="350"/>
      <c r="QPD96" s="350"/>
      <c r="QPE96" s="350"/>
      <c r="QPF96" s="350"/>
      <c r="QPG96" s="350"/>
      <c r="QPH96" s="350"/>
      <c r="QPI96" s="350"/>
      <c r="QPJ96" s="350"/>
      <c r="QPK96" s="350"/>
      <c r="QPL96" s="350"/>
      <c r="QPM96" s="350"/>
      <c r="QPN96" s="350"/>
      <c r="QPO96" s="350"/>
      <c r="QPP96" s="350"/>
      <c r="QPQ96" s="350"/>
      <c r="QPR96" s="350"/>
      <c r="QPS96" s="350"/>
      <c r="QPT96" s="350"/>
      <c r="QPU96" s="350"/>
      <c r="QPV96" s="350"/>
      <c r="QPW96" s="350"/>
      <c r="QPX96" s="350"/>
      <c r="QPY96" s="350"/>
      <c r="QPZ96" s="350"/>
      <c r="QQA96" s="350"/>
      <c r="QQB96" s="350"/>
      <c r="QQC96" s="350"/>
      <c r="QQD96" s="350"/>
      <c r="QQE96" s="350"/>
      <c r="QQF96" s="350"/>
      <c r="QQG96" s="350"/>
      <c r="QQH96" s="350"/>
      <c r="QQI96" s="350"/>
      <c r="QQJ96" s="350"/>
      <c r="QQK96" s="350"/>
      <c r="QQL96" s="350"/>
      <c r="QQM96" s="350"/>
      <c r="QQN96" s="350"/>
      <c r="QQO96" s="350"/>
      <c r="QQP96" s="350"/>
      <c r="QQQ96" s="350"/>
      <c r="QQR96" s="350"/>
      <c r="QQS96" s="350"/>
      <c r="QQT96" s="350"/>
      <c r="QQU96" s="350"/>
      <c r="QQV96" s="350"/>
      <c r="QQW96" s="350"/>
      <c r="QQX96" s="350"/>
      <c r="QQY96" s="350"/>
      <c r="QQZ96" s="350"/>
      <c r="QRA96" s="350"/>
      <c r="QRB96" s="350"/>
      <c r="QRC96" s="350"/>
      <c r="QRD96" s="350"/>
      <c r="QRE96" s="350"/>
      <c r="QRF96" s="350"/>
      <c r="QRG96" s="350"/>
      <c r="QRH96" s="350"/>
      <c r="QRI96" s="350"/>
      <c r="QRJ96" s="350"/>
      <c r="QRK96" s="350"/>
      <c r="QRL96" s="350"/>
      <c r="QRM96" s="350"/>
      <c r="QRN96" s="350"/>
      <c r="QRO96" s="350"/>
      <c r="QRP96" s="350"/>
      <c r="QRQ96" s="350"/>
      <c r="QRR96" s="350"/>
      <c r="QRS96" s="350"/>
      <c r="QRT96" s="350"/>
      <c r="QRU96" s="350"/>
      <c r="QRV96" s="350"/>
      <c r="QRW96" s="350"/>
      <c r="QRX96" s="350"/>
      <c r="QRY96" s="350"/>
      <c r="QRZ96" s="350"/>
      <c r="QSA96" s="350"/>
      <c r="QSB96" s="350"/>
      <c r="QSC96" s="350"/>
      <c r="QSD96" s="350"/>
      <c r="QSE96" s="350"/>
      <c r="QSF96" s="350"/>
      <c r="QSG96" s="350"/>
      <c r="QSH96" s="350"/>
      <c r="QSI96" s="350"/>
      <c r="QSJ96" s="350"/>
      <c r="QSK96" s="350"/>
      <c r="QSL96" s="350"/>
      <c r="QSM96" s="350"/>
      <c r="QSN96" s="350"/>
      <c r="QSO96" s="350"/>
      <c r="QSP96" s="350"/>
      <c r="QSQ96" s="350"/>
      <c r="QSR96" s="350"/>
      <c r="QSS96" s="350"/>
      <c r="QST96" s="350"/>
      <c r="QSU96" s="350"/>
      <c r="QSV96" s="350"/>
      <c r="QSW96" s="350"/>
      <c r="QSX96" s="350"/>
      <c r="QSY96" s="350"/>
      <c r="QSZ96" s="350"/>
      <c r="QTA96" s="350"/>
      <c r="QTB96" s="350"/>
      <c r="QTC96" s="350"/>
      <c r="QTD96" s="350"/>
      <c r="QTE96" s="350"/>
      <c r="QTF96" s="350"/>
      <c r="QTG96" s="350"/>
      <c r="QTH96" s="350"/>
      <c r="QTI96" s="350"/>
      <c r="QTJ96" s="350"/>
      <c r="QTK96" s="350"/>
      <c r="QTL96" s="350"/>
      <c r="QTM96" s="350"/>
      <c r="QTN96" s="350"/>
      <c r="QTO96" s="350"/>
      <c r="QTP96" s="350"/>
      <c r="QTQ96" s="350"/>
      <c r="QTR96" s="350"/>
      <c r="QTS96" s="350"/>
      <c r="QTT96" s="350"/>
      <c r="QTU96" s="350"/>
      <c r="QTV96" s="350"/>
      <c r="QTW96" s="350"/>
      <c r="QTX96" s="350"/>
      <c r="QTY96" s="350"/>
      <c r="QTZ96" s="350"/>
      <c r="QUA96" s="350"/>
      <c r="QUB96" s="350"/>
      <c r="QUC96" s="350"/>
      <c r="QUD96" s="350"/>
      <c r="QUE96" s="350"/>
      <c r="QUF96" s="350"/>
      <c r="QUG96" s="350"/>
      <c r="QUH96" s="350"/>
      <c r="QUI96" s="350"/>
      <c r="QUJ96" s="350"/>
      <c r="QUK96" s="350"/>
      <c r="QUL96" s="350"/>
      <c r="QUM96" s="350"/>
      <c r="QUN96" s="350"/>
      <c r="QUO96" s="350"/>
      <c r="QUP96" s="350"/>
      <c r="QUQ96" s="350"/>
      <c r="QUR96" s="350"/>
      <c r="QUS96" s="350"/>
      <c r="QUT96" s="350"/>
      <c r="QUU96" s="350"/>
      <c r="QUV96" s="350"/>
      <c r="QUW96" s="350"/>
      <c r="QUX96" s="350"/>
      <c r="QUY96" s="350"/>
      <c r="QUZ96" s="350"/>
      <c r="QVA96" s="350"/>
      <c r="QVB96" s="350"/>
      <c r="QVC96" s="350"/>
      <c r="QVD96" s="350"/>
      <c r="QVE96" s="350"/>
      <c r="QVF96" s="350"/>
      <c r="QVG96" s="350"/>
      <c r="QVH96" s="350"/>
      <c r="QVI96" s="350"/>
      <c r="QVJ96" s="350"/>
      <c r="QVK96" s="350"/>
      <c r="QVL96" s="350"/>
      <c r="QVM96" s="350"/>
      <c r="QVN96" s="350"/>
      <c r="QVO96" s="350"/>
      <c r="QVP96" s="350"/>
      <c r="QVQ96" s="350"/>
      <c r="QVR96" s="350"/>
      <c r="QVS96" s="350"/>
      <c r="QVT96" s="350"/>
      <c r="QVU96" s="350"/>
      <c r="QVV96" s="350"/>
      <c r="QVW96" s="350"/>
      <c r="QVX96" s="350"/>
      <c r="QVY96" s="350"/>
      <c r="QVZ96" s="350"/>
      <c r="QWA96" s="350"/>
      <c r="QWB96" s="350"/>
      <c r="QWC96" s="350"/>
      <c r="QWD96" s="350"/>
      <c r="QWE96" s="350"/>
      <c r="QWF96" s="350"/>
      <c r="QWG96" s="350"/>
      <c r="QWH96" s="350"/>
      <c r="QWI96" s="350"/>
      <c r="QWJ96" s="350"/>
      <c r="QWK96" s="350"/>
      <c r="QWL96" s="350"/>
      <c r="QWM96" s="350"/>
      <c r="QWN96" s="350"/>
      <c r="QWO96" s="350"/>
      <c r="QWP96" s="350"/>
      <c r="QWQ96" s="350"/>
      <c r="QWR96" s="350"/>
      <c r="QWS96" s="350"/>
      <c r="QWT96" s="350"/>
      <c r="QWU96" s="350"/>
      <c r="QWV96" s="350"/>
      <c r="QWW96" s="350"/>
      <c r="QWX96" s="350"/>
      <c r="QWY96" s="350"/>
      <c r="QWZ96" s="350"/>
      <c r="QXA96" s="350"/>
      <c r="QXB96" s="350"/>
      <c r="QXC96" s="350"/>
      <c r="QXD96" s="350"/>
      <c r="QXE96" s="350"/>
      <c r="QXF96" s="350"/>
      <c r="QXG96" s="350"/>
      <c r="QXH96" s="350"/>
      <c r="QXI96" s="350"/>
      <c r="QXJ96" s="350"/>
      <c r="QXK96" s="350"/>
      <c r="QXL96" s="350"/>
      <c r="QXM96" s="350"/>
      <c r="QXN96" s="350"/>
      <c r="QXO96" s="350"/>
      <c r="QXP96" s="350"/>
      <c r="QXQ96" s="350"/>
      <c r="QXR96" s="350"/>
      <c r="QXS96" s="350"/>
      <c r="QXT96" s="350"/>
      <c r="QXU96" s="350"/>
      <c r="QXV96" s="350"/>
      <c r="QXW96" s="350"/>
      <c r="QXX96" s="350"/>
      <c r="QXY96" s="350"/>
      <c r="QXZ96" s="350"/>
      <c r="QYA96" s="350"/>
      <c r="QYB96" s="350"/>
      <c r="QYC96" s="350"/>
      <c r="QYD96" s="350"/>
      <c r="QYE96" s="350"/>
      <c r="QYF96" s="350"/>
      <c r="QYG96" s="350"/>
      <c r="QYH96" s="350"/>
      <c r="QYI96" s="350"/>
      <c r="QYJ96" s="350"/>
      <c r="QYK96" s="350"/>
      <c r="QYL96" s="350"/>
      <c r="QYM96" s="350"/>
      <c r="QYN96" s="350"/>
      <c r="QYO96" s="350"/>
      <c r="QYP96" s="350"/>
      <c r="QYQ96" s="350"/>
      <c r="QYR96" s="350"/>
      <c r="QYS96" s="350"/>
      <c r="QYT96" s="350"/>
      <c r="QYU96" s="350"/>
      <c r="QYV96" s="350"/>
      <c r="QYW96" s="350"/>
      <c r="QYX96" s="350"/>
      <c r="QYY96" s="350"/>
      <c r="QYZ96" s="350"/>
      <c r="QZA96" s="350"/>
      <c r="QZB96" s="350"/>
      <c r="QZC96" s="350"/>
      <c r="QZD96" s="350"/>
      <c r="QZE96" s="350"/>
      <c r="QZF96" s="350"/>
      <c r="QZG96" s="350"/>
      <c r="QZH96" s="350"/>
      <c r="QZI96" s="350"/>
      <c r="QZJ96" s="350"/>
      <c r="QZK96" s="350"/>
      <c r="QZL96" s="350"/>
      <c r="QZM96" s="350"/>
      <c r="QZN96" s="350"/>
      <c r="QZO96" s="350"/>
      <c r="QZP96" s="350"/>
      <c r="QZQ96" s="350"/>
      <c r="QZR96" s="350"/>
      <c r="QZS96" s="350"/>
      <c r="QZT96" s="350"/>
      <c r="QZU96" s="350"/>
      <c r="QZV96" s="350"/>
      <c r="QZW96" s="350"/>
      <c r="QZX96" s="350"/>
      <c r="QZY96" s="350"/>
      <c r="QZZ96" s="350"/>
      <c r="RAA96" s="350"/>
      <c r="RAB96" s="350"/>
      <c r="RAC96" s="350"/>
      <c r="RAD96" s="350"/>
      <c r="RAE96" s="350"/>
      <c r="RAF96" s="350"/>
      <c r="RAG96" s="350"/>
      <c r="RAH96" s="350"/>
      <c r="RAI96" s="350"/>
      <c r="RAJ96" s="350"/>
      <c r="RAK96" s="350"/>
      <c r="RAL96" s="350"/>
      <c r="RAM96" s="350"/>
      <c r="RAN96" s="350"/>
      <c r="RAO96" s="350"/>
      <c r="RAP96" s="350"/>
      <c r="RAQ96" s="350"/>
      <c r="RAR96" s="350"/>
      <c r="RAS96" s="350"/>
      <c r="RAT96" s="350"/>
      <c r="RAU96" s="350"/>
      <c r="RAV96" s="350"/>
      <c r="RAW96" s="350"/>
      <c r="RAX96" s="350"/>
      <c r="RAY96" s="350"/>
      <c r="RAZ96" s="350"/>
      <c r="RBA96" s="350"/>
      <c r="RBB96" s="350"/>
      <c r="RBC96" s="350"/>
      <c r="RBD96" s="350"/>
      <c r="RBE96" s="350"/>
      <c r="RBF96" s="350"/>
      <c r="RBG96" s="350"/>
      <c r="RBH96" s="350"/>
      <c r="RBI96" s="350"/>
      <c r="RBJ96" s="350"/>
      <c r="RBK96" s="350"/>
      <c r="RBL96" s="350"/>
      <c r="RBM96" s="350"/>
      <c r="RBN96" s="350"/>
      <c r="RBO96" s="350"/>
      <c r="RBP96" s="350"/>
      <c r="RBQ96" s="350"/>
      <c r="RBR96" s="350"/>
      <c r="RBS96" s="350"/>
      <c r="RBT96" s="350"/>
      <c r="RBU96" s="350"/>
      <c r="RBV96" s="350"/>
      <c r="RBW96" s="350"/>
      <c r="RBX96" s="350"/>
      <c r="RBY96" s="350"/>
      <c r="RBZ96" s="350"/>
      <c r="RCA96" s="350"/>
      <c r="RCB96" s="350"/>
      <c r="RCC96" s="350"/>
      <c r="RCD96" s="350"/>
      <c r="RCE96" s="350"/>
      <c r="RCF96" s="350"/>
      <c r="RCG96" s="350"/>
      <c r="RCH96" s="350"/>
      <c r="RCI96" s="350"/>
      <c r="RCJ96" s="350"/>
      <c r="RCK96" s="350"/>
      <c r="RCL96" s="350"/>
      <c r="RCM96" s="350"/>
      <c r="RCN96" s="350"/>
      <c r="RCO96" s="350"/>
      <c r="RCP96" s="350"/>
      <c r="RCQ96" s="350"/>
      <c r="RCR96" s="350"/>
      <c r="RCS96" s="350"/>
      <c r="RCT96" s="350"/>
      <c r="RCU96" s="350"/>
      <c r="RCV96" s="350"/>
      <c r="RCW96" s="350"/>
      <c r="RCX96" s="350"/>
      <c r="RCY96" s="350"/>
      <c r="RCZ96" s="350"/>
      <c r="RDA96" s="350"/>
      <c r="RDB96" s="350"/>
      <c r="RDC96" s="350"/>
      <c r="RDD96" s="350"/>
      <c r="RDE96" s="350"/>
      <c r="RDF96" s="350"/>
      <c r="RDG96" s="350"/>
      <c r="RDH96" s="350"/>
      <c r="RDI96" s="350"/>
      <c r="RDJ96" s="350"/>
      <c r="RDK96" s="350"/>
      <c r="RDL96" s="350"/>
      <c r="RDM96" s="350"/>
      <c r="RDN96" s="350"/>
      <c r="RDO96" s="350"/>
      <c r="RDP96" s="350"/>
      <c r="RDQ96" s="350"/>
      <c r="RDR96" s="350"/>
      <c r="RDS96" s="350"/>
      <c r="RDT96" s="350"/>
      <c r="RDU96" s="350"/>
      <c r="RDV96" s="350"/>
      <c r="RDW96" s="350"/>
      <c r="RDX96" s="350"/>
      <c r="RDY96" s="350"/>
      <c r="RDZ96" s="350"/>
      <c r="REA96" s="350"/>
      <c r="REB96" s="350"/>
      <c r="REC96" s="350"/>
      <c r="RED96" s="350"/>
      <c r="REE96" s="350"/>
      <c r="REF96" s="350"/>
      <c r="REG96" s="350"/>
      <c r="REH96" s="350"/>
      <c r="REI96" s="350"/>
      <c r="REJ96" s="350"/>
      <c r="REK96" s="350"/>
      <c r="REL96" s="350"/>
      <c r="REM96" s="350"/>
      <c r="REN96" s="350"/>
      <c r="REO96" s="350"/>
      <c r="REP96" s="350"/>
      <c r="REQ96" s="350"/>
      <c r="RER96" s="350"/>
      <c r="RES96" s="350"/>
      <c r="RET96" s="350"/>
      <c r="REU96" s="350"/>
      <c r="REV96" s="350"/>
      <c r="REW96" s="350"/>
      <c r="REX96" s="350"/>
      <c r="REY96" s="350"/>
      <c r="REZ96" s="350"/>
      <c r="RFA96" s="350"/>
      <c r="RFB96" s="350"/>
      <c r="RFC96" s="350"/>
      <c r="RFD96" s="350"/>
      <c r="RFE96" s="350"/>
      <c r="RFF96" s="350"/>
      <c r="RFG96" s="350"/>
      <c r="RFH96" s="350"/>
      <c r="RFI96" s="350"/>
      <c r="RFJ96" s="350"/>
      <c r="RFK96" s="350"/>
      <c r="RFL96" s="350"/>
      <c r="RFM96" s="350"/>
      <c r="RFN96" s="350"/>
      <c r="RFO96" s="350"/>
      <c r="RFP96" s="350"/>
      <c r="RFQ96" s="350"/>
      <c r="RFR96" s="350"/>
      <c r="RFS96" s="350"/>
      <c r="RFT96" s="350"/>
      <c r="RFU96" s="350"/>
      <c r="RFV96" s="350"/>
      <c r="RFW96" s="350"/>
      <c r="RFX96" s="350"/>
      <c r="RFY96" s="350"/>
      <c r="RFZ96" s="350"/>
      <c r="RGA96" s="350"/>
      <c r="RGB96" s="350"/>
      <c r="RGC96" s="350"/>
      <c r="RGD96" s="350"/>
      <c r="RGE96" s="350"/>
      <c r="RGF96" s="350"/>
      <c r="RGG96" s="350"/>
      <c r="RGH96" s="350"/>
      <c r="RGI96" s="350"/>
      <c r="RGJ96" s="350"/>
      <c r="RGK96" s="350"/>
      <c r="RGL96" s="350"/>
      <c r="RGM96" s="350"/>
      <c r="RGN96" s="350"/>
      <c r="RGO96" s="350"/>
      <c r="RGP96" s="350"/>
      <c r="RGQ96" s="350"/>
      <c r="RGR96" s="350"/>
      <c r="RGS96" s="350"/>
      <c r="RGT96" s="350"/>
      <c r="RGU96" s="350"/>
      <c r="RGV96" s="350"/>
      <c r="RGW96" s="350"/>
      <c r="RGX96" s="350"/>
      <c r="RGY96" s="350"/>
      <c r="RGZ96" s="350"/>
      <c r="RHA96" s="350"/>
      <c r="RHB96" s="350"/>
      <c r="RHC96" s="350"/>
      <c r="RHD96" s="350"/>
      <c r="RHE96" s="350"/>
      <c r="RHF96" s="350"/>
      <c r="RHG96" s="350"/>
      <c r="RHH96" s="350"/>
      <c r="RHI96" s="350"/>
      <c r="RHJ96" s="350"/>
      <c r="RHK96" s="350"/>
      <c r="RHL96" s="350"/>
      <c r="RHM96" s="350"/>
      <c r="RHN96" s="350"/>
      <c r="RHO96" s="350"/>
      <c r="RHP96" s="350"/>
      <c r="RHQ96" s="350"/>
      <c r="RHR96" s="350"/>
      <c r="RHS96" s="350"/>
      <c r="RHT96" s="350"/>
      <c r="RHU96" s="350"/>
      <c r="RHV96" s="350"/>
      <c r="RHW96" s="350"/>
      <c r="RHX96" s="350"/>
      <c r="RHY96" s="350"/>
      <c r="RHZ96" s="350"/>
      <c r="RIA96" s="350"/>
      <c r="RIB96" s="350"/>
      <c r="RIC96" s="350"/>
      <c r="RID96" s="350"/>
      <c r="RIE96" s="350"/>
      <c r="RIF96" s="350"/>
      <c r="RIG96" s="350"/>
      <c r="RIH96" s="350"/>
      <c r="RII96" s="350"/>
      <c r="RIJ96" s="350"/>
      <c r="RIK96" s="350"/>
      <c r="RIL96" s="350"/>
      <c r="RIM96" s="350"/>
      <c r="RIN96" s="350"/>
      <c r="RIO96" s="350"/>
      <c r="RIP96" s="350"/>
      <c r="RIQ96" s="350"/>
      <c r="RIR96" s="350"/>
      <c r="RIS96" s="350"/>
      <c r="RIT96" s="350"/>
      <c r="RIU96" s="350"/>
      <c r="RIV96" s="350"/>
      <c r="RIW96" s="350"/>
      <c r="RIX96" s="350"/>
      <c r="RIY96" s="350"/>
      <c r="RIZ96" s="350"/>
      <c r="RJA96" s="350"/>
      <c r="RJB96" s="350"/>
      <c r="RJC96" s="350"/>
      <c r="RJD96" s="350"/>
      <c r="RJE96" s="350"/>
      <c r="RJF96" s="350"/>
      <c r="RJG96" s="350"/>
      <c r="RJH96" s="350"/>
      <c r="RJI96" s="350"/>
      <c r="RJJ96" s="350"/>
      <c r="RJK96" s="350"/>
      <c r="RJL96" s="350"/>
      <c r="RJM96" s="350"/>
      <c r="RJN96" s="350"/>
      <c r="RJO96" s="350"/>
      <c r="RJP96" s="350"/>
      <c r="RJQ96" s="350"/>
      <c r="RJR96" s="350"/>
      <c r="RJS96" s="350"/>
      <c r="RJT96" s="350"/>
      <c r="RJU96" s="350"/>
      <c r="RJV96" s="350"/>
      <c r="RJW96" s="350"/>
      <c r="RJX96" s="350"/>
      <c r="RJY96" s="350"/>
      <c r="RJZ96" s="350"/>
      <c r="RKA96" s="350"/>
      <c r="RKB96" s="350"/>
      <c r="RKC96" s="350"/>
      <c r="RKD96" s="350"/>
      <c r="RKE96" s="350"/>
      <c r="RKF96" s="350"/>
      <c r="RKG96" s="350"/>
      <c r="RKH96" s="350"/>
      <c r="RKI96" s="350"/>
      <c r="RKJ96" s="350"/>
      <c r="RKK96" s="350"/>
      <c r="RKL96" s="350"/>
      <c r="RKM96" s="350"/>
      <c r="RKN96" s="350"/>
      <c r="RKO96" s="350"/>
      <c r="RKP96" s="350"/>
      <c r="RKQ96" s="350"/>
      <c r="RKR96" s="350"/>
      <c r="RKS96" s="350"/>
      <c r="RKT96" s="350"/>
      <c r="RKU96" s="350"/>
      <c r="RKV96" s="350"/>
      <c r="RKW96" s="350"/>
      <c r="RKX96" s="350"/>
      <c r="RKY96" s="350"/>
      <c r="RKZ96" s="350"/>
      <c r="RLA96" s="350"/>
      <c r="RLB96" s="350"/>
      <c r="RLC96" s="350"/>
      <c r="RLD96" s="350"/>
      <c r="RLE96" s="350"/>
      <c r="RLF96" s="350"/>
      <c r="RLG96" s="350"/>
      <c r="RLH96" s="350"/>
      <c r="RLI96" s="350"/>
      <c r="RLJ96" s="350"/>
      <c r="RLK96" s="350"/>
      <c r="RLL96" s="350"/>
      <c r="RLM96" s="350"/>
      <c r="RLN96" s="350"/>
      <c r="RLO96" s="350"/>
      <c r="RLP96" s="350"/>
      <c r="RLQ96" s="350"/>
      <c r="RLR96" s="350"/>
      <c r="RLS96" s="350"/>
      <c r="RLT96" s="350"/>
      <c r="RLU96" s="350"/>
      <c r="RLV96" s="350"/>
      <c r="RLW96" s="350"/>
      <c r="RLX96" s="350"/>
      <c r="RLY96" s="350"/>
      <c r="RLZ96" s="350"/>
      <c r="RMA96" s="350"/>
      <c r="RMB96" s="350"/>
      <c r="RMC96" s="350"/>
      <c r="RMD96" s="350"/>
      <c r="RME96" s="350"/>
      <c r="RMF96" s="350"/>
      <c r="RMG96" s="350"/>
      <c r="RMH96" s="350"/>
      <c r="RMI96" s="350"/>
      <c r="RMJ96" s="350"/>
      <c r="RMK96" s="350"/>
      <c r="RML96" s="350"/>
      <c r="RMM96" s="350"/>
      <c r="RMN96" s="350"/>
      <c r="RMO96" s="350"/>
      <c r="RMP96" s="350"/>
      <c r="RMQ96" s="350"/>
      <c r="RMR96" s="350"/>
      <c r="RMS96" s="350"/>
      <c r="RMT96" s="350"/>
      <c r="RMU96" s="350"/>
      <c r="RMV96" s="350"/>
      <c r="RMW96" s="350"/>
      <c r="RMX96" s="350"/>
      <c r="RMY96" s="350"/>
      <c r="RMZ96" s="350"/>
      <c r="RNA96" s="350"/>
      <c r="RNB96" s="350"/>
      <c r="RNC96" s="350"/>
      <c r="RND96" s="350"/>
      <c r="RNE96" s="350"/>
      <c r="RNF96" s="350"/>
      <c r="RNG96" s="350"/>
      <c r="RNH96" s="350"/>
      <c r="RNI96" s="350"/>
      <c r="RNJ96" s="350"/>
      <c r="RNK96" s="350"/>
      <c r="RNL96" s="350"/>
      <c r="RNM96" s="350"/>
      <c r="RNN96" s="350"/>
      <c r="RNO96" s="350"/>
      <c r="RNP96" s="350"/>
      <c r="RNQ96" s="350"/>
      <c r="RNR96" s="350"/>
      <c r="RNS96" s="350"/>
      <c r="RNT96" s="350"/>
      <c r="RNU96" s="350"/>
      <c r="RNV96" s="350"/>
      <c r="RNW96" s="350"/>
      <c r="RNX96" s="350"/>
      <c r="RNY96" s="350"/>
      <c r="RNZ96" s="350"/>
      <c r="ROA96" s="350"/>
      <c r="ROB96" s="350"/>
      <c r="ROC96" s="350"/>
      <c r="ROD96" s="350"/>
      <c r="ROE96" s="350"/>
      <c r="ROF96" s="350"/>
      <c r="ROG96" s="350"/>
      <c r="ROH96" s="350"/>
      <c r="ROI96" s="350"/>
      <c r="ROJ96" s="350"/>
      <c r="ROK96" s="350"/>
      <c r="ROL96" s="350"/>
      <c r="ROM96" s="350"/>
      <c r="RON96" s="350"/>
      <c r="ROO96" s="350"/>
      <c r="ROP96" s="350"/>
      <c r="ROQ96" s="350"/>
      <c r="ROR96" s="350"/>
      <c r="ROS96" s="350"/>
      <c r="ROT96" s="350"/>
      <c r="ROU96" s="350"/>
      <c r="ROV96" s="350"/>
      <c r="ROW96" s="350"/>
      <c r="ROX96" s="350"/>
      <c r="ROY96" s="350"/>
      <c r="ROZ96" s="350"/>
      <c r="RPA96" s="350"/>
      <c r="RPB96" s="350"/>
      <c r="RPC96" s="350"/>
      <c r="RPD96" s="350"/>
      <c r="RPE96" s="350"/>
      <c r="RPF96" s="350"/>
      <c r="RPG96" s="350"/>
      <c r="RPH96" s="350"/>
      <c r="RPI96" s="350"/>
      <c r="RPJ96" s="350"/>
      <c r="RPK96" s="350"/>
      <c r="RPL96" s="350"/>
      <c r="RPM96" s="350"/>
      <c r="RPN96" s="350"/>
      <c r="RPO96" s="350"/>
      <c r="RPP96" s="350"/>
      <c r="RPQ96" s="350"/>
      <c r="RPR96" s="350"/>
      <c r="RPS96" s="350"/>
      <c r="RPT96" s="350"/>
      <c r="RPU96" s="350"/>
      <c r="RPV96" s="350"/>
      <c r="RPW96" s="350"/>
      <c r="RPX96" s="350"/>
      <c r="RPY96" s="350"/>
      <c r="RPZ96" s="350"/>
      <c r="RQA96" s="350"/>
      <c r="RQB96" s="350"/>
      <c r="RQC96" s="350"/>
      <c r="RQD96" s="350"/>
      <c r="RQE96" s="350"/>
      <c r="RQF96" s="350"/>
      <c r="RQG96" s="350"/>
      <c r="RQH96" s="350"/>
      <c r="RQI96" s="350"/>
      <c r="RQJ96" s="350"/>
      <c r="RQK96" s="350"/>
      <c r="RQL96" s="350"/>
      <c r="RQM96" s="350"/>
      <c r="RQN96" s="350"/>
      <c r="RQO96" s="350"/>
      <c r="RQP96" s="350"/>
      <c r="RQQ96" s="350"/>
      <c r="RQR96" s="350"/>
      <c r="RQS96" s="350"/>
      <c r="RQT96" s="350"/>
      <c r="RQU96" s="350"/>
      <c r="RQV96" s="350"/>
      <c r="RQW96" s="350"/>
      <c r="RQX96" s="350"/>
      <c r="RQY96" s="350"/>
      <c r="RQZ96" s="350"/>
      <c r="RRA96" s="350"/>
      <c r="RRB96" s="350"/>
      <c r="RRC96" s="350"/>
      <c r="RRD96" s="350"/>
      <c r="RRE96" s="350"/>
      <c r="RRF96" s="350"/>
      <c r="RRG96" s="350"/>
      <c r="RRH96" s="350"/>
      <c r="RRI96" s="350"/>
      <c r="RRJ96" s="350"/>
      <c r="RRK96" s="350"/>
      <c r="RRL96" s="350"/>
      <c r="RRM96" s="350"/>
      <c r="RRN96" s="350"/>
      <c r="RRO96" s="350"/>
      <c r="RRP96" s="350"/>
      <c r="RRQ96" s="350"/>
      <c r="RRR96" s="350"/>
      <c r="RRS96" s="350"/>
      <c r="RRT96" s="350"/>
      <c r="RRU96" s="350"/>
      <c r="RRV96" s="350"/>
      <c r="RRW96" s="350"/>
      <c r="RRX96" s="350"/>
      <c r="RRY96" s="350"/>
      <c r="RRZ96" s="350"/>
      <c r="RSA96" s="350"/>
      <c r="RSB96" s="350"/>
      <c r="RSC96" s="350"/>
      <c r="RSD96" s="350"/>
      <c r="RSE96" s="350"/>
      <c r="RSF96" s="350"/>
      <c r="RSG96" s="350"/>
      <c r="RSH96" s="350"/>
      <c r="RSI96" s="350"/>
      <c r="RSJ96" s="350"/>
      <c r="RSK96" s="350"/>
      <c r="RSL96" s="350"/>
      <c r="RSM96" s="350"/>
      <c r="RSN96" s="350"/>
      <c r="RSO96" s="350"/>
      <c r="RSP96" s="350"/>
      <c r="RSQ96" s="350"/>
      <c r="RSR96" s="350"/>
      <c r="RSS96" s="350"/>
      <c r="RST96" s="350"/>
      <c r="RSU96" s="350"/>
      <c r="RSV96" s="350"/>
      <c r="RSW96" s="350"/>
      <c r="RSX96" s="350"/>
      <c r="RSY96" s="350"/>
      <c r="RSZ96" s="350"/>
      <c r="RTA96" s="350"/>
      <c r="RTB96" s="350"/>
      <c r="RTC96" s="350"/>
      <c r="RTD96" s="350"/>
      <c r="RTE96" s="350"/>
      <c r="RTF96" s="350"/>
      <c r="RTG96" s="350"/>
      <c r="RTH96" s="350"/>
      <c r="RTI96" s="350"/>
      <c r="RTJ96" s="350"/>
      <c r="RTK96" s="350"/>
      <c r="RTL96" s="350"/>
      <c r="RTM96" s="350"/>
      <c r="RTN96" s="350"/>
      <c r="RTO96" s="350"/>
      <c r="RTP96" s="350"/>
      <c r="RTQ96" s="350"/>
      <c r="RTR96" s="350"/>
      <c r="RTS96" s="350"/>
      <c r="RTT96" s="350"/>
      <c r="RTU96" s="350"/>
      <c r="RTV96" s="350"/>
      <c r="RTW96" s="350"/>
      <c r="RTX96" s="350"/>
      <c r="RTY96" s="350"/>
      <c r="RTZ96" s="350"/>
      <c r="RUA96" s="350"/>
      <c r="RUB96" s="350"/>
      <c r="RUC96" s="350"/>
      <c r="RUD96" s="350"/>
      <c r="RUE96" s="350"/>
      <c r="RUF96" s="350"/>
      <c r="RUG96" s="350"/>
      <c r="RUH96" s="350"/>
      <c r="RUI96" s="350"/>
      <c r="RUJ96" s="350"/>
      <c r="RUK96" s="350"/>
      <c r="RUL96" s="350"/>
      <c r="RUM96" s="350"/>
      <c r="RUN96" s="350"/>
      <c r="RUO96" s="350"/>
      <c r="RUP96" s="350"/>
      <c r="RUQ96" s="350"/>
      <c r="RUR96" s="350"/>
      <c r="RUS96" s="350"/>
      <c r="RUT96" s="350"/>
      <c r="RUU96" s="350"/>
      <c r="RUV96" s="350"/>
      <c r="RUW96" s="350"/>
      <c r="RUX96" s="350"/>
      <c r="RUY96" s="350"/>
      <c r="RUZ96" s="350"/>
      <c r="RVA96" s="350"/>
      <c r="RVB96" s="350"/>
      <c r="RVC96" s="350"/>
      <c r="RVD96" s="350"/>
      <c r="RVE96" s="350"/>
      <c r="RVF96" s="350"/>
      <c r="RVG96" s="350"/>
      <c r="RVH96" s="350"/>
      <c r="RVI96" s="350"/>
      <c r="RVJ96" s="350"/>
      <c r="RVK96" s="350"/>
      <c r="RVL96" s="350"/>
      <c r="RVM96" s="350"/>
      <c r="RVN96" s="350"/>
      <c r="RVO96" s="350"/>
      <c r="RVP96" s="350"/>
      <c r="RVQ96" s="350"/>
      <c r="RVR96" s="350"/>
      <c r="RVS96" s="350"/>
      <c r="RVT96" s="350"/>
      <c r="RVU96" s="350"/>
      <c r="RVV96" s="350"/>
      <c r="RVW96" s="350"/>
      <c r="RVX96" s="350"/>
      <c r="RVY96" s="350"/>
      <c r="RVZ96" s="350"/>
      <c r="RWA96" s="350"/>
      <c r="RWB96" s="350"/>
      <c r="RWC96" s="350"/>
      <c r="RWD96" s="350"/>
      <c r="RWE96" s="350"/>
      <c r="RWF96" s="350"/>
      <c r="RWG96" s="350"/>
      <c r="RWH96" s="350"/>
      <c r="RWI96" s="350"/>
      <c r="RWJ96" s="350"/>
      <c r="RWK96" s="350"/>
      <c r="RWL96" s="350"/>
      <c r="RWM96" s="350"/>
      <c r="RWN96" s="350"/>
      <c r="RWO96" s="350"/>
      <c r="RWP96" s="350"/>
      <c r="RWQ96" s="350"/>
      <c r="RWR96" s="350"/>
      <c r="RWS96" s="350"/>
      <c r="RWT96" s="350"/>
      <c r="RWU96" s="350"/>
      <c r="RWV96" s="350"/>
      <c r="RWW96" s="350"/>
      <c r="RWX96" s="350"/>
      <c r="RWY96" s="350"/>
      <c r="RWZ96" s="350"/>
      <c r="RXA96" s="350"/>
      <c r="RXB96" s="350"/>
      <c r="RXC96" s="350"/>
      <c r="RXD96" s="350"/>
      <c r="RXE96" s="350"/>
      <c r="RXF96" s="350"/>
      <c r="RXG96" s="350"/>
      <c r="RXH96" s="350"/>
      <c r="RXI96" s="350"/>
      <c r="RXJ96" s="350"/>
      <c r="RXK96" s="350"/>
      <c r="RXL96" s="350"/>
      <c r="RXM96" s="350"/>
      <c r="RXN96" s="350"/>
      <c r="RXO96" s="350"/>
      <c r="RXP96" s="350"/>
      <c r="RXQ96" s="350"/>
      <c r="RXR96" s="350"/>
      <c r="RXS96" s="350"/>
      <c r="RXT96" s="350"/>
      <c r="RXU96" s="350"/>
      <c r="RXV96" s="350"/>
      <c r="RXW96" s="350"/>
      <c r="RXX96" s="350"/>
      <c r="RXY96" s="350"/>
      <c r="RXZ96" s="350"/>
      <c r="RYA96" s="350"/>
      <c r="RYB96" s="350"/>
      <c r="RYC96" s="350"/>
      <c r="RYD96" s="350"/>
      <c r="RYE96" s="350"/>
      <c r="RYF96" s="350"/>
      <c r="RYG96" s="350"/>
      <c r="RYH96" s="350"/>
      <c r="RYI96" s="350"/>
      <c r="RYJ96" s="350"/>
      <c r="RYK96" s="350"/>
      <c r="RYL96" s="350"/>
      <c r="RYM96" s="350"/>
      <c r="RYN96" s="350"/>
      <c r="RYO96" s="350"/>
      <c r="RYP96" s="350"/>
      <c r="RYQ96" s="350"/>
      <c r="RYR96" s="350"/>
      <c r="RYS96" s="350"/>
      <c r="RYT96" s="350"/>
      <c r="RYU96" s="350"/>
      <c r="RYV96" s="350"/>
      <c r="RYW96" s="350"/>
      <c r="RYX96" s="350"/>
      <c r="RYY96" s="350"/>
      <c r="RYZ96" s="350"/>
      <c r="RZA96" s="350"/>
      <c r="RZB96" s="350"/>
      <c r="RZC96" s="350"/>
      <c r="RZD96" s="350"/>
      <c r="RZE96" s="350"/>
      <c r="RZF96" s="350"/>
      <c r="RZG96" s="350"/>
      <c r="RZH96" s="350"/>
      <c r="RZI96" s="350"/>
      <c r="RZJ96" s="350"/>
      <c r="RZK96" s="350"/>
      <c r="RZL96" s="350"/>
      <c r="RZM96" s="350"/>
      <c r="RZN96" s="350"/>
      <c r="RZO96" s="350"/>
      <c r="RZP96" s="350"/>
      <c r="RZQ96" s="350"/>
      <c r="RZR96" s="350"/>
      <c r="RZS96" s="350"/>
      <c r="RZT96" s="350"/>
      <c r="RZU96" s="350"/>
      <c r="RZV96" s="350"/>
      <c r="RZW96" s="350"/>
      <c r="RZX96" s="350"/>
      <c r="RZY96" s="350"/>
      <c r="RZZ96" s="350"/>
      <c r="SAA96" s="350"/>
      <c r="SAB96" s="350"/>
      <c r="SAC96" s="350"/>
      <c r="SAD96" s="350"/>
      <c r="SAE96" s="350"/>
      <c r="SAF96" s="350"/>
      <c r="SAG96" s="350"/>
      <c r="SAH96" s="350"/>
      <c r="SAI96" s="350"/>
      <c r="SAJ96" s="350"/>
      <c r="SAK96" s="350"/>
      <c r="SAL96" s="350"/>
      <c r="SAM96" s="350"/>
      <c r="SAN96" s="350"/>
      <c r="SAO96" s="350"/>
      <c r="SAP96" s="350"/>
      <c r="SAQ96" s="350"/>
      <c r="SAR96" s="350"/>
      <c r="SAS96" s="350"/>
      <c r="SAT96" s="350"/>
      <c r="SAU96" s="350"/>
      <c r="SAV96" s="350"/>
      <c r="SAW96" s="350"/>
      <c r="SAX96" s="350"/>
      <c r="SAY96" s="350"/>
      <c r="SAZ96" s="350"/>
      <c r="SBA96" s="350"/>
      <c r="SBB96" s="350"/>
      <c r="SBC96" s="350"/>
      <c r="SBD96" s="350"/>
      <c r="SBE96" s="350"/>
      <c r="SBF96" s="350"/>
      <c r="SBG96" s="350"/>
      <c r="SBH96" s="350"/>
      <c r="SBI96" s="350"/>
      <c r="SBJ96" s="350"/>
      <c r="SBK96" s="350"/>
      <c r="SBL96" s="350"/>
      <c r="SBM96" s="350"/>
      <c r="SBN96" s="350"/>
      <c r="SBO96" s="350"/>
      <c r="SBP96" s="350"/>
      <c r="SBQ96" s="350"/>
      <c r="SBR96" s="350"/>
      <c r="SBS96" s="350"/>
      <c r="SBT96" s="350"/>
      <c r="SBU96" s="350"/>
      <c r="SBV96" s="350"/>
      <c r="SBW96" s="350"/>
      <c r="SBX96" s="350"/>
      <c r="SBY96" s="350"/>
      <c r="SBZ96" s="350"/>
      <c r="SCA96" s="350"/>
      <c r="SCB96" s="350"/>
      <c r="SCC96" s="350"/>
      <c r="SCD96" s="350"/>
      <c r="SCE96" s="350"/>
      <c r="SCF96" s="350"/>
      <c r="SCG96" s="350"/>
      <c r="SCH96" s="350"/>
      <c r="SCI96" s="350"/>
      <c r="SCJ96" s="350"/>
      <c r="SCK96" s="350"/>
      <c r="SCL96" s="350"/>
      <c r="SCM96" s="350"/>
      <c r="SCN96" s="350"/>
      <c r="SCO96" s="350"/>
      <c r="SCP96" s="350"/>
      <c r="SCQ96" s="350"/>
      <c r="SCR96" s="350"/>
      <c r="SCS96" s="350"/>
      <c r="SCT96" s="350"/>
      <c r="SCU96" s="350"/>
      <c r="SCV96" s="350"/>
      <c r="SCW96" s="350"/>
      <c r="SCX96" s="350"/>
      <c r="SCY96" s="350"/>
      <c r="SCZ96" s="350"/>
      <c r="SDA96" s="350"/>
      <c r="SDB96" s="350"/>
      <c r="SDC96" s="350"/>
      <c r="SDD96" s="350"/>
      <c r="SDE96" s="350"/>
      <c r="SDF96" s="350"/>
      <c r="SDG96" s="350"/>
      <c r="SDH96" s="350"/>
      <c r="SDI96" s="350"/>
      <c r="SDJ96" s="350"/>
      <c r="SDK96" s="350"/>
      <c r="SDL96" s="350"/>
      <c r="SDM96" s="350"/>
      <c r="SDN96" s="350"/>
      <c r="SDO96" s="350"/>
      <c r="SDP96" s="350"/>
      <c r="SDQ96" s="350"/>
      <c r="SDR96" s="350"/>
      <c r="SDS96" s="350"/>
      <c r="SDT96" s="350"/>
      <c r="SDU96" s="350"/>
      <c r="SDV96" s="350"/>
      <c r="SDW96" s="350"/>
      <c r="SDX96" s="350"/>
      <c r="SDY96" s="350"/>
      <c r="SDZ96" s="350"/>
      <c r="SEA96" s="350"/>
      <c r="SEB96" s="350"/>
      <c r="SEC96" s="350"/>
      <c r="SED96" s="350"/>
      <c r="SEE96" s="350"/>
      <c r="SEF96" s="350"/>
      <c r="SEG96" s="350"/>
      <c r="SEH96" s="350"/>
      <c r="SEI96" s="350"/>
      <c r="SEJ96" s="350"/>
      <c r="SEK96" s="350"/>
      <c r="SEL96" s="350"/>
      <c r="SEM96" s="350"/>
      <c r="SEN96" s="350"/>
      <c r="SEO96" s="350"/>
      <c r="SEP96" s="350"/>
      <c r="SEQ96" s="350"/>
      <c r="SER96" s="350"/>
      <c r="SES96" s="350"/>
      <c r="SET96" s="350"/>
      <c r="SEU96" s="350"/>
      <c r="SEV96" s="350"/>
      <c r="SEW96" s="350"/>
      <c r="SEX96" s="350"/>
      <c r="SEY96" s="350"/>
      <c r="SEZ96" s="350"/>
      <c r="SFA96" s="350"/>
      <c r="SFB96" s="350"/>
      <c r="SFC96" s="350"/>
      <c r="SFD96" s="350"/>
      <c r="SFE96" s="350"/>
      <c r="SFF96" s="350"/>
      <c r="SFG96" s="350"/>
      <c r="SFH96" s="350"/>
      <c r="SFI96" s="350"/>
      <c r="SFJ96" s="350"/>
      <c r="SFK96" s="350"/>
      <c r="SFL96" s="350"/>
      <c r="SFM96" s="350"/>
      <c r="SFN96" s="350"/>
      <c r="SFO96" s="350"/>
      <c r="SFP96" s="350"/>
      <c r="SFQ96" s="350"/>
      <c r="SFR96" s="350"/>
      <c r="SFS96" s="350"/>
      <c r="SFT96" s="350"/>
      <c r="SFU96" s="350"/>
      <c r="SFV96" s="350"/>
      <c r="SFW96" s="350"/>
      <c r="SFX96" s="350"/>
      <c r="SFY96" s="350"/>
      <c r="SFZ96" s="350"/>
      <c r="SGA96" s="350"/>
      <c r="SGB96" s="350"/>
      <c r="SGC96" s="350"/>
      <c r="SGD96" s="350"/>
      <c r="SGE96" s="350"/>
      <c r="SGF96" s="350"/>
      <c r="SGG96" s="350"/>
      <c r="SGH96" s="350"/>
      <c r="SGI96" s="350"/>
      <c r="SGJ96" s="350"/>
      <c r="SGK96" s="350"/>
      <c r="SGL96" s="350"/>
      <c r="SGM96" s="350"/>
      <c r="SGN96" s="350"/>
      <c r="SGO96" s="350"/>
      <c r="SGP96" s="350"/>
      <c r="SGQ96" s="350"/>
      <c r="SGR96" s="350"/>
      <c r="SGS96" s="350"/>
      <c r="SGT96" s="350"/>
      <c r="SGU96" s="350"/>
      <c r="SGV96" s="350"/>
      <c r="SGW96" s="350"/>
      <c r="SGX96" s="350"/>
      <c r="SGY96" s="350"/>
      <c r="SGZ96" s="350"/>
      <c r="SHA96" s="350"/>
      <c r="SHB96" s="350"/>
      <c r="SHC96" s="350"/>
      <c r="SHD96" s="350"/>
      <c r="SHE96" s="350"/>
      <c r="SHF96" s="350"/>
      <c r="SHG96" s="350"/>
      <c r="SHH96" s="350"/>
      <c r="SHI96" s="350"/>
      <c r="SHJ96" s="350"/>
      <c r="SHK96" s="350"/>
      <c r="SHL96" s="350"/>
      <c r="SHM96" s="350"/>
      <c r="SHN96" s="350"/>
      <c r="SHO96" s="350"/>
      <c r="SHP96" s="350"/>
      <c r="SHQ96" s="350"/>
      <c r="SHR96" s="350"/>
      <c r="SHS96" s="350"/>
      <c r="SHT96" s="350"/>
      <c r="SHU96" s="350"/>
      <c r="SHV96" s="350"/>
      <c r="SHW96" s="350"/>
      <c r="SHX96" s="350"/>
      <c r="SHY96" s="350"/>
      <c r="SHZ96" s="350"/>
      <c r="SIA96" s="350"/>
      <c r="SIB96" s="350"/>
      <c r="SIC96" s="350"/>
      <c r="SID96" s="350"/>
      <c r="SIE96" s="350"/>
      <c r="SIF96" s="350"/>
      <c r="SIG96" s="350"/>
      <c r="SIH96" s="350"/>
      <c r="SII96" s="350"/>
      <c r="SIJ96" s="350"/>
      <c r="SIK96" s="350"/>
      <c r="SIL96" s="350"/>
      <c r="SIM96" s="350"/>
      <c r="SIN96" s="350"/>
      <c r="SIO96" s="350"/>
      <c r="SIP96" s="350"/>
      <c r="SIQ96" s="350"/>
      <c r="SIR96" s="350"/>
      <c r="SIS96" s="350"/>
      <c r="SIT96" s="350"/>
      <c r="SIU96" s="350"/>
      <c r="SIV96" s="350"/>
      <c r="SIW96" s="350"/>
      <c r="SIX96" s="350"/>
      <c r="SIY96" s="350"/>
      <c r="SIZ96" s="350"/>
      <c r="SJA96" s="350"/>
      <c r="SJB96" s="350"/>
      <c r="SJC96" s="350"/>
      <c r="SJD96" s="350"/>
      <c r="SJE96" s="350"/>
      <c r="SJF96" s="350"/>
      <c r="SJG96" s="350"/>
      <c r="SJH96" s="350"/>
      <c r="SJI96" s="350"/>
      <c r="SJJ96" s="350"/>
      <c r="SJK96" s="350"/>
      <c r="SJL96" s="350"/>
      <c r="SJM96" s="350"/>
      <c r="SJN96" s="350"/>
      <c r="SJO96" s="350"/>
      <c r="SJP96" s="350"/>
      <c r="SJQ96" s="350"/>
      <c r="SJR96" s="350"/>
      <c r="SJS96" s="350"/>
      <c r="SJT96" s="350"/>
      <c r="SJU96" s="350"/>
      <c r="SJV96" s="350"/>
      <c r="SJW96" s="350"/>
      <c r="SJX96" s="350"/>
      <c r="SJY96" s="350"/>
      <c r="SJZ96" s="350"/>
      <c r="SKA96" s="350"/>
      <c r="SKB96" s="350"/>
      <c r="SKC96" s="350"/>
      <c r="SKD96" s="350"/>
      <c r="SKE96" s="350"/>
      <c r="SKF96" s="350"/>
      <c r="SKG96" s="350"/>
      <c r="SKH96" s="350"/>
      <c r="SKI96" s="350"/>
      <c r="SKJ96" s="350"/>
      <c r="SKK96" s="350"/>
      <c r="SKL96" s="350"/>
      <c r="SKM96" s="350"/>
      <c r="SKN96" s="350"/>
      <c r="SKO96" s="350"/>
      <c r="SKP96" s="350"/>
      <c r="SKQ96" s="350"/>
      <c r="SKR96" s="350"/>
      <c r="SKS96" s="350"/>
      <c r="SKT96" s="350"/>
      <c r="SKU96" s="350"/>
      <c r="SKV96" s="350"/>
      <c r="SKW96" s="350"/>
      <c r="SKX96" s="350"/>
      <c r="SKY96" s="350"/>
      <c r="SKZ96" s="350"/>
      <c r="SLA96" s="350"/>
      <c r="SLB96" s="350"/>
      <c r="SLC96" s="350"/>
      <c r="SLD96" s="350"/>
      <c r="SLE96" s="350"/>
      <c r="SLF96" s="350"/>
      <c r="SLG96" s="350"/>
      <c r="SLH96" s="350"/>
      <c r="SLI96" s="350"/>
      <c r="SLJ96" s="350"/>
      <c r="SLK96" s="350"/>
      <c r="SLL96" s="350"/>
      <c r="SLM96" s="350"/>
      <c r="SLN96" s="350"/>
      <c r="SLO96" s="350"/>
      <c r="SLP96" s="350"/>
      <c r="SLQ96" s="350"/>
      <c r="SLR96" s="350"/>
      <c r="SLS96" s="350"/>
      <c r="SLT96" s="350"/>
      <c r="SLU96" s="350"/>
      <c r="SLV96" s="350"/>
      <c r="SLW96" s="350"/>
      <c r="SLX96" s="350"/>
      <c r="SLY96" s="350"/>
      <c r="SLZ96" s="350"/>
      <c r="SMA96" s="350"/>
      <c r="SMB96" s="350"/>
      <c r="SMC96" s="350"/>
      <c r="SMD96" s="350"/>
      <c r="SME96" s="350"/>
      <c r="SMF96" s="350"/>
      <c r="SMG96" s="350"/>
      <c r="SMH96" s="350"/>
      <c r="SMI96" s="350"/>
      <c r="SMJ96" s="350"/>
      <c r="SMK96" s="350"/>
      <c r="SML96" s="350"/>
      <c r="SMM96" s="350"/>
      <c r="SMN96" s="350"/>
      <c r="SMO96" s="350"/>
      <c r="SMP96" s="350"/>
      <c r="SMQ96" s="350"/>
      <c r="SMR96" s="350"/>
      <c r="SMS96" s="350"/>
      <c r="SMT96" s="350"/>
      <c r="SMU96" s="350"/>
      <c r="SMV96" s="350"/>
      <c r="SMW96" s="350"/>
      <c r="SMX96" s="350"/>
      <c r="SMY96" s="350"/>
      <c r="SMZ96" s="350"/>
      <c r="SNA96" s="350"/>
      <c r="SNB96" s="350"/>
      <c r="SNC96" s="350"/>
      <c r="SND96" s="350"/>
      <c r="SNE96" s="350"/>
      <c r="SNF96" s="350"/>
      <c r="SNG96" s="350"/>
      <c r="SNH96" s="350"/>
      <c r="SNI96" s="350"/>
      <c r="SNJ96" s="350"/>
      <c r="SNK96" s="350"/>
      <c r="SNL96" s="350"/>
      <c r="SNM96" s="350"/>
      <c r="SNN96" s="350"/>
      <c r="SNO96" s="350"/>
      <c r="SNP96" s="350"/>
      <c r="SNQ96" s="350"/>
      <c r="SNR96" s="350"/>
      <c r="SNS96" s="350"/>
      <c r="SNT96" s="350"/>
      <c r="SNU96" s="350"/>
      <c r="SNV96" s="350"/>
      <c r="SNW96" s="350"/>
      <c r="SNX96" s="350"/>
      <c r="SNY96" s="350"/>
      <c r="SNZ96" s="350"/>
      <c r="SOA96" s="350"/>
      <c r="SOB96" s="350"/>
      <c r="SOC96" s="350"/>
      <c r="SOD96" s="350"/>
      <c r="SOE96" s="350"/>
      <c r="SOF96" s="350"/>
      <c r="SOG96" s="350"/>
      <c r="SOH96" s="350"/>
      <c r="SOI96" s="350"/>
      <c r="SOJ96" s="350"/>
      <c r="SOK96" s="350"/>
      <c r="SOL96" s="350"/>
      <c r="SOM96" s="350"/>
      <c r="SON96" s="350"/>
      <c r="SOO96" s="350"/>
      <c r="SOP96" s="350"/>
      <c r="SOQ96" s="350"/>
      <c r="SOR96" s="350"/>
      <c r="SOS96" s="350"/>
      <c r="SOT96" s="350"/>
      <c r="SOU96" s="350"/>
      <c r="SOV96" s="350"/>
      <c r="SOW96" s="350"/>
      <c r="SOX96" s="350"/>
      <c r="SOY96" s="350"/>
      <c r="SOZ96" s="350"/>
      <c r="SPA96" s="350"/>
      <c r="SPB96" s="350"/>
      <c r="SPC96" s="350"/>
      <c r="SPD96" s="350"/>
      <c r="SPE96" s="350"/>
      <c r="SPF96" s="350"/>
      <c r="SPG96" s="350"/>
      <c r="SPH96" s="350"/>
      <c r="SPI96" s="350"/>
      <c r="SPJ96" s="350"/>
      <c r="SPK96" s="350"/>
      <c r="SPL96" s="350"/>
      <c r="SPM96" s="350"/>
      <c r="SPN96" s="350"/>
      <c r="SPO96" s="350"/>
      <c r="SPP96" s="350"/>
      <c r="SPQ96" s="350"/>
      <c r="SPR96" s="350"/>
      <c r="SPS96" s="350"/>
      <c r="SPT96" s="350"/>
      <c r="SPU96" s="350"/>
      <c r="SPV96" s="350"/>
      <c r="SPW96" s="350"/>
      <c r="SPX96" s="350"/>
      <c r="SPY96" s="350"/>
      <c r="SPZ96" s="350"/>
      <c r="SQA96" s="350"/>
      <c r="SQB96" s="350"/>
      <c r="SQC96" s="350"/>
      <c r="SQD96" s="350"/>
      <c r="SQE96" s="350"/>
      <c r="SQF96" s="350"/>
      <c r="SQG96" s="350"/>
      <c r="SQH96" s="350"/>
      <c r="SQI96" s="350"/>
      <c r="SQJ96" s="350"/>
      <c r="SQK96" s="350"/>
      <c r="SQL96" s="350"/>
      <c r="SQM96" s="350"/>
      <c r="SQN96" s="350"/>
      <c r="SQO96" s="350"/>
      <c r="SQP96" s="350"/>
      <c r="SQQ96" s="350"/>
      <c r="SQR96" s="350"/>
      <c r="SQS96" s="350"/>
      <c r="SQT96" s="350"/>
      <c r="SQU96" s="350"/>
      <c r="SQV96" s="350"/>
      <c r="SQW96" s="350"/>
      <c r="SQX96" s="350"/>
      <c r="SQY96" s="350"/>
      <c r="SQZ96" s="350"/>
      <c r="SRA96" s="350"/>
      <c r="SRB96" s="350"/>
      <c r="SRC96" s="350"/>
      <c r="SRD96" s="350"/>
      <c r="SRE96" s="350"/>
      <c r="SRF96" s="350"/>
      <c r="SRG96" s="350"/>
      <c r="SRH96" s="350"/>
      <c r="SRI96" s="350"/>
      <c r="SRJ96" s="350"/>
      <c r="SRK96" s="350"/>
      <c r="SRL96" s="350"/>
      <c r="SRM96" s="350"/>
      <c r="SRN96" s="350"/>
      <c r="SRO96" s="350"/>
      <c r="SRP96" s="350"/>
      <c r="SRQ96" s="350"/>
      <c r="SRR96" s="350"/>
      <c r="SRS96" s="350"/>
      <c r="SRT96" s="350"/>
      <c r="SRU96" s="350"/>
      <c r="SRV96" s="350"/>
      <c r="SRW96" s="350"/>
      <c r="SRX96" s="350"/>
      <c r="SRY96" s="350"/>
      <c r="SRZ96" s="350"/>
      <c r="SSA96" s="350"/>
      <c r="SSB96" s="350"/>
      <c r="SSC96" s="350"/>
      <c r="SSD96" s="350"/>
      <c r="SSE96" s="350"/>
      <c r="SSF96" s="350"/>
      <c r="SSG96" s="350"/>
      <c r="SSH96" s="350"/>
      <c r="SSI96" s="350"/>
      <c r="SSJ96" s="350"/>
      <c r="SSK96" s="350"/>
      <c r="SSL96" s="350"/>
      <c r="SSM96" s="350"/>
      <c r="SSN96" s="350"/>
      <c r="SSO96" s="350"/>
      <c r="SSP96" s="350"/>
      <c r="SSQ96" s="350"/>
      <c r="SSR96" s="350"/>
      <c r="SSS96" s="350"/>
      <c r="SST96" s="350"/>
      <c r="SSU96" s="350"/>
      <c r="SSV96" s="350"/>
      <c r="SSW96" s="350"/>
      <c r="SSX96" s="350"/>
      <c r="SSY96" s="350"/>
      <c r="SSZ96" s="350"/>
      <c r="STA96" s="350"/>
      <c r="STB96" s="350"/>
      <c r="STC96" s="350"/>
      <c r="STD96" s="350"/>
      <c r="STE96" s="350"/>
      <c r="STF96" s="350"/>
      <c r="STG96" s="350"/>
      <c r="STH96" s="350"/>
      <c r="STI96" s="350"/>
      <c r="STJ96" s="350"/>
      <c r="STK96" s="350"/>
      <c r="STL96" s="350"/>
      <c r="STM96" s="350"/>
      <c r="STN96" s="350"/>
      <c r="STO96" s="350"/>
      <c r="STP96" s="350"/>
      <c r="STQ96" s="350"/>
      <c r="STR96" s="350"/>
      <c r="STS96" s="350"/>
      <c r="STT96" s="350"/>
      <c r="STU96" s="350"/>
      <c r="STV96" s="350"/>
      <c r="STW96" s="350"/>
      <c r="STX96" s="350"/>
      <c r="STY96" s="350"/>
      <c r="STZ96" s="350"/>
      <c r="SUA96" s="350"/>
      <c r="SUB96" s="350"/>
      <c r="SUC96" s="350"/>
      <c r="SUD96" s="350"/>
      <c r="SUE96" s="350"/>
      <c r="SUF96" s="350"/>
      <c r="SUG96" s="350"/>
      <c r="SUH96" s="350"/>
      <c r="SUI96" s="350"/>
      <c r="SUJ96" s="350"/>
      <c r="SUK96" s="350"/>
      <c r="SUL96" s="350"/>
      <c r="SUM96" s="350"/>
      <c r="SUN96" s="350"/>
      <c r="SUO96" s="350"/>
      <c r="SUP96" s="350"/>
      <c r="SUQ96" s="350"/>
      <c r="SUR96" s="350"/>
      <c r="SUS96" s="350"/>
      <c r="SUT96" s="350"/>
      <c r="SUU96" s="350"/>
      <c r="SUV96" s="350"/>
      <c r="SUW96" s="350"/>
      <c r="SUX96" s="350"/>
      <c r="SUY96" s="350"/>
      <c r="SUZ96" s="350"/>
      <c r="SVA96" s="350"/>
      <c r="SVB96" s="350"/>
      <c r="SVC96" s="350"/>
      <c r="SVD96" s="350"/>
      <c r="SVE96" s="350"/>
      <c r="SVF96" s="350"/>
      <c r="SVG96" s="350"/>
      <c r="SVH96" s="350"/>
      <c r="SVI96" s="350"/>
      <c r="SVJ96" s="350"/>
      <c r="SVK96" s="350"/>
      <c r="SVL96" s="350"/>
      <c r="SVM96" s="350"/>
      <c r="SVN96" s="350"/>
      <c r="SVO96" s="350"/>
      <c r="SVP96" s="350"/>
      <c r="SVQ96" s="350"/>
      <c r="SVR96" s="350"/>
      <c r="SVS96" s="350"/>
      <c r="SVT96" s="350"/>
      <c r="SVU96" s="350"/>
      <c r="SVV96" s="350"/>
      <c r="SVW96" s="350"/>
      <c r="SVX96" s="350"/>
      <c r="SVY96" s="350"/>
      <c r="SVZ96" s="350"/>
      <c r="SWA96" s="350"/>
      <c r="SWB96" s="350"/>
      <c r="SWC96" s="350"/>
      <c r="SWD96" s="350"/>
      <c r="SWE96" s="350"/>
      <c r="SWF96" s="350"/>
      <c r="SWG96" s="350"/>
      <c r="SWH96" s="350"/>
      <c r="SWI96" s="350"/>
      <c r="SWJ96" s="350"/>
      <c r="SWK96" s="350"/>
      <c r="SWL96" s="350"/>
      <c r="SWM96" s="350"/>
      <c r="SWN96" s="350"/>
      <c r="SWO96" s="350"/>
      <c r="SWP96" s="350"/>
      <c r="SWQ96" s="350"/>
      <c r="SWR96" s="350"/>
      <c r="SWS96" s="350"/>
      <c r="SWT96" s="350"/>
      <c r="SWU96" s="350"/>
      <c r="SWV96" s="350"/>
      <c r="SWW96" s="350"/>
      <c r="SWX96" s="350"/>
      <c r="SWY96" s="350"/>
      <c r="SWZ96" s="350"/>
      <c r="SXA96" s="350"/>
      <c r="SXB96" s="350"/>
      <c r="SXC96" s="350"/>
      <c r="SXD96" s="350"/>
      <c r="SXE96" s="350"/>
      <c r="SXF96" s="350"/>
      <c r="SXG96" s="350"/>
      <c r="SXH96" s="350"/>
      <c r="SXI96" s="350"/>
      <c r="SXJ96" s="350"/>
      <c r="SXK96" s="350"/>
      <c r="SXL96" s="350"/>
      <c r="SXM96" s="350"/>
      <c r="SXN96" s="350"/>
      <c r="SXO96" s="350"/>
      <c r="SXP96" s="350"/>
      <c r="SXQ96" s="350"/>
      <c r="SXR96" s="350"/>
      <c r="SXS96" s="350"/>
      <c r="SXT96" s="350"/>
      <c r="SXU96" s="350"/>
      <c r="SXV96" s="350"/>
      <c r="SXW96" s="350"/>
      <c r="SXX96" s="350"/>
      <c r="SXY96" s="350"/>
      <c r="SXZ96" s="350"/>
      <c r="SYA96" s="350"/>
      <c r="SYB96" s="350"/>
      <c r="SYC96" s="350"/>
      <c r="SYD96" s="350"/>
      <c r="SYE96" s="350"/>
      <c r="SYF96" s="350"/>
      <c r="SYG96" s="350"/>
      <c r="SYH96" s="350"/>
      <c r="SYI96" s="350"/>
      <c r="SYJ96" s="350"/>
      <c r="SYK96" s="350"/>
      <c r="SYL96" s="350"/>
      <c r="SYM96" s="350"/>
      <c r="SYN96" s="350"/>
      <c r="SYO96" s="350"/>
      <c r="SYP96" s="350"/>
      <c r="SYQ96" s="350"/>
      <c r="SYR96" s="350"/>
      <c r="SYS96" s="350"/>
      <c r="SYT96" s="350"/>
      <c r="SYU96" s="350"/>
      <c r="SYV96" s="350"/>
      <c r="SYW96" s="350"/>
      <c r="SYX96" s="350"/>
      <c r="SYY96" s="350"/>
      <c r="SYZ96" s="350"/>
      <c r="SZA96" s="350"/>
      <c r="SZB96" s="350"/>
      <c r="SZC96" s="350"/>
      <c r="SZD96" s="350"/>
      <c r="SZE96" s="350"/>
      <c r="SZF96" s="350"/>
      <c r="SZG96" s="350"/>
      <c r="SZH96" s="350"/>
      <c r="SZI96" s="350"/>
      <c r="SZJ96" s="350"/>
      <c r="SZK96" s="350"/>
      <c r="SZL96" s="350"/>
      <c r="SZM96" s="350"/>
      <c r="SZN96" s="350"/>
      <c r="SZO96" s="350"/>
      <c r="SZP96" s="350"/>
      <c r="SZQ96" s="350"/>
      <c r="SZR96" s="350"/>
      <c r="SZS96" s="350"/>
      <c r="SZT96" s="350"/>
      <c r="SZU96" s="350"/>
      <c r="SZV96" s="350"/>
      <c r="SZW96" s="350"/>
      <c r="SZX96" s="350"/>
      <c r="SZY96" s="350"/>
      <c r="SZZ96" s="350"/>
      <c r="TAA96" s="350"/>
      <c r="TAB96" s="350"/>
      <c r="TAC96" s="350"/>
      <c r="TAD96" s="350"/>
      <c r="TAE96" s="350"/>
      <c r="TAF96" s="350"/>
      <c r="TAG96" s="350"/>
      <c r="TAH96" s="350"/>
      <c r="TAI96" s="350"/>
      <c r="TAJ96" s="350"/>
      <c r="TAK96" s="350"/>
      <c r="TAL96" s="350"/>
      <c r="TAM96" s="350"/>
      <c r="TAN96" s="350"/>
      <c r="TAO96" s="350"/>
      <c r="TAP96" s="350"/>
      <c r="TAQ96" s="350"/>
      <c r="TAR96" s="350"/>
      <c r="TAS96" s="350"/>
      <c r="TAT96" s="350"/>
      <c r="TAU96" s="350"/>
      <c r="TAV96" s="350"/>
      <c r="TAW96" s="350"/>
      <c r="TAX96" s="350"/>
      <c r="TAY96" s="350"/>
      <c r="TAZ96" s="350"/>
      <c r="TBA96" s="350"/>
      <c r="TBB96" s="350"/>
      <c r="TBC96" s="350"/>
      <c r="TBD96" s="350"/>
      <c r="TBE96" s="350"/>
      <c r="TBF96" s="350"/>
      <c r="TBG96" s="350"/>
      <c r="TBH96" s="350"/>
      <c r="TBI96" s="350"/>
      <c r="TBJ96" s="350"/>
      <c r="TBK96" s="350"/>
      <c r="TBL96" s="350"/>
      <c r="TBM96" s="350"/>
      <c r="TBN96" s="350"/>
      <c r="TBO96" s="350"/>
      <c r="TBP96" s="350"/>
      <c r="TBQ96" s="350"/>
      <c r="TBR96" s="350"/>
      <c r="TBS96" s="350"/>
      <c r="TBT96" s="350"/>
      <c r="TBU96" s="350"/>
      <c r="TBV96" s="350"/>
      <c r="TBW96" s="350"/>
      <c r="TBX96" s="350"/>
      <c r="TBY96" s="350"/>
      <c r="TBZ96" s="350"/>
      <c r="TCA96" s="350"/>
      <c r="TCB96" s="350"/>
      <c r="TCC96" s="350"/>
      <c r="TCD96" s="350"/>
      <c r="TCE96" s="350"/>
      <c r="TCF96" s="350"/>
      <c r="TCG96" s="350"/>
      <c r="TCH96" s="350"/>
      <c r="TCI96" s="350"/>
      <c r="TCJ96" s="350"/>
      <c r="TCK96" s="350"/>
      <c r="TCL96" s="350"/>
      <c r="TCM96" s="350"/>
      <c r="TCN96" s="350"/>
      <c r="TCO96" s="350"/>
      <c r="TCP96" s="350"/>
      <c r="TCQ96" s="350"/>
      <c r="TCR96" s="350"/>
      <c r="TCS96" s="350"/>
      <c r="TCT96" s="350"/>
      <c r="TCU96" s="350"/>
      <c r="TCV96" s="350"/>
      <c r="TCW96" s="350"/>
      <c r="TCX96" s="350"/>
      <c r="TCY96" s="350"/>
      <c r="TCZ96" s="350"/>
      <c r="TDA96" s="350"/>
      <c r="TDB96" s="350"/>
      <c r="TDC96" s="350"/>
      <c r="TDD96" s="350"/>
      <c r="TDE96" s="350"/>
      <c r="TDF96" s="350"/>
      <c r="TDG96" s="350"/>
      <c r="TDH96" s="350"/>
      <c r="TDI96" s="350"/>
      <c r="TDJ96" s="350"/>
      <c r="TDK96" s="350"/>
      <c r="TDL96" s="350"/>
      <c r="TDM96" s="350"/>
      <c r="TDN96" s="350"/>
      <c r="TDO96" s="350"/>
      <c r="TDP96" s="350"/>
      <c r="TDQ96" s="350"/>
      <c r="TDR96" s="350"/>
      <c r="TDS96" s="350"/>
      <c r="TDT96" s="350"/>
      <c r="TDU96" s="350"/>
      <c r="TDV96" s="350"/>
      <c r="TDW96" s="350"/>
      <c r="TDX96" s="350"/>
      <c r="TDY96" s="350"/>
      <c r="TDZ96" s="350"/>
      <c r="TEA96" s="350"/>
      <c r="TEB96" s="350"/>
      <c r="TEC96" s="350"/>
      <c r="TED96" s="350"/>
      <c r="TEE96" s="350"/>
      <c r="TEF96" s="350"/>
      <c r="TEG96" s="350"/>
      <c r="TEH96" s="350"/>
      <c r="TEI96" s="350"/>
      <c r="TEJ96" s="350"/>
      <c r="TEK96" s="350"/>
      <c r="TEL96" s="350"/>
      <c r="TEM96" s="350"/>
      <c r="TEN96" s="350"/>
      <c r="TEO96" s="350"/>
      <c r="TEP96" s="350"/>
      <c r="TEQ96" s="350"/>
      <c r="TER96" s="350"/>
      <c r="TES96" s="350"/>
      <c r="TET96" s="350"/>
      <c r="TEU96" s="350"/>
      <c r="TEV96" s="350"/>
      <c r="TEW96" s="350"/>
      <c r="TEX96" s="350"/>
      <c r="TEY96" s="350"/>
      <c r="TEZ96" s="350"/>
      <c r="TFA96" s="350"/>
      <c r="TFB96" s="350"/>
      <c r="TFC96" s="350"/>
      <c r="TFD96" s="350"/>
      <c r="TFE96" s="350"/>
      <c r="TFF96" s="350"/>
      <c r="TFG96" s="350"/>
      <c r="TFH96" s="350"/>
      <c r="TFI96" s="350"/>
      <c r="TFJ96" s="350"/>
      <c r="TFK96" s="350"/>
      <c r="TFL96" s="350"/>
      <c r="TFM96" s="350"/>
      <c r="TFN96" s="350"/>
      <c r="TFO96" s="350"/>
      <c r="TFP96" s="350"/>
      <c r="TFQ96" s="350"/>
      <c r="TFR96" s="350"/>
      <c r="TFS96" s="350"/>
      <c r="TFT96" s="350"/>
      <c r="TFU96" s="350"/>
      <c r="TFV96" s="350"/>
      <c r="TFW96" s="350"/>
      <c r="TFX96" s="350"/>
      <c r="TFY96" s="350"/>
      <c r="TFZ96" s="350"/>
      <c r="TGA96" s="350"/>
      <c r="TGB96" s="350"/>
      <c r="TGC96" s="350"/>
      <c r="TGD96" s="350"/>
      <c r="TGE96" s="350"/>
      <c r="TGF96" s="350"/>
      <c r="TGG96" s="350"/>
      <c r="TGH96" s="350"/>
      <c r="TGI96" s="350"/>
      <c r="TGJ96" s="350"/>
      <c r="TGK96" s="350"/>
      <c r="TGL96" s="350"/>
      <c r="TGM96" s="350"/>
      <c r="TGN96" s="350"/>
      <c r="TGO96" s="350"/>
      <c r="TGP96" s="350"/>
      <c r="TGQ96" s="350"/>
      <c r="TGR96" s="350"/>
      <c r="TGS96" s="350"/>
      <c r="TGT96" s="350"/>
      <c r="TGU96" s="350"/>
      <c r="TGV96" s="350"/>
      <c r="TGW96" s="350"/>
      <c r="TGX96" s="350"/>
      <c r="TGY96" s="350"/>
      <c r="TGZ96" s="350"/>
      <c r="THA96" s="350"/>
      <c r="THB96" s="350"/>
      <c r="THC96" s="350"/>
      <c r="THD96" s="350"/>
      <c r="THE96" s="350"/>
      <c r="THF96" s="350"/>
      <c r="THG96" s="350"/>
      <c r="THH96" s="350"/>
      <c r="THI96" s="350"/>
      <c r="THJ96" s="350"/>
      <c r="THK96" s="350"/>
      <c r="THL96" s="350"/>
      <c r="THM96" s="350"/>
      <c r="THN96" s="350"/>
      <c r="THO96" s="350"/>
      <c r="THP96" s="350"/>
      <c r="THQ96" s="350"/>
      <c r="THR96" s="350"/>
      <c r="THS96" s="350"/>
      <c r="THT96" s="350"/>
      <c r="THU96" s="350"/>
      <c r="THV96" s="350"/>
      <c r="THW96" s="350"/>
      <c r="THX96" s="350"/>
      <c r="THY96" s="350"/>
      <c r="THZ96" s="350"/>
      <c r="TIA96" s="350"/>
      <c r="TIB96" s="350"/>
      <c r="TIC96" s="350"/>
      <c r="TID96" s="350"/>
      <c r="TIE96" s="350"/>
      <c r="TIF96" s="350"/>
      <c r="TIG96" s="350"/>
      <c r="TIH96" s="350"/>
      <c r="TII96" s="350"/>
      <c r="TIJ96" s="350"/>
      <c r="TIK96" s="350"/>
      <c r="TIL96" s="350"/>
      <c r="TIM96" s="350"/>
      <c r="TIN96" s="350"/>
      <c r="TIO96" s="350"/>
      <c r="TIP96" s="350"/>
      <c r="TIQ96" s="350"/>
      <c r="TIR96" s="350"/>
      <c r="TIS96" s="350"/>
      <c r="TIT96" s="350"/>
      <c r="TIU96" s="350"/>
      <c r="TIV96" s="350"/>
      <c r="TIW96" s="350"/>
      <c r="TIX96" s="350"/>
      <c r="TIY96" s="350"/>
      <c r="TIZ96" s="350"/>
      <c r="TJA96" s="350"/>
      <c r="TJB96" s="350"/>
      <c r="TJC96" s="350"/>
      <c r="TJD96" s="350"/>
      <c r="TJE96" s="350"/>
      <c r="TJF96" s="350"/>
      <c r="TJG96" s="350"/>
      <c r="TJH96" s="350"/>
      <c r="TJI96" s="350"/>
      <c r="TJJ96" s="350"/>
      <c r="TJK96" s="350"/>
      <c r="TJL96" s="350"/>
      <c r="TJM96" s="350"/>
      <c r="TJN96" s="350"/>
      <c r="TJO96" s="350"/>
      <c r="TJP96" s="350"/>
      <c r="TJQ96" s="350"/>
      <c r="TJR96" s="350"/>
      <c r="TJS96" s="350"/>
      <c r="TJT96" s="350"/>
      <c r="TJU96" s="350"/>
      <c r="TJV96" s="350"/>
      <c r="TJW96" s="350"/>
      <c r="TJX96" s="350"/>
      <c r="TJY96" s="350"/>
      <c r="TJZ96" s="350"/>
      <c r="TKA96" s="350"/>
      <c r="TKB96" s="350"/>
      <c r="TKC96" s="350"/>
      <c r="TKD96" s="350"/>
      <c r="TKE96" s="350"/>
      <c r="TKF96" s="350"/>
      <c r="TKG96" s="350"/>
      <c r="TKH96" s="350"/>
      <c r="TKI96" s="350"/>
      <c r="TKJ96" s="350"/>
      <c r="TKK96" s="350"/>
      <c r="TKL96" s="350"/>
      <c r="TKM96" s="350"/>
      <c r="TKN96" s="350"/>
      <c r="TKO96" s="350"/>
      <c r="TKP96" s="350"/>
      <c r="TKQ96" s="350"/>
      <c r="TKR96" s="350"/>
      <c r="TKS96" s="350"/>
      <c r="TKT96" s="350"/>
      <c r="TKU96" s="350"/>
      <c r="TKV96" s="350"/>
      <c r="TKW96" s="350"/>
      <c r="TKX96" s="350"/>
      <c r="TKY96" s="350"/>
      <c r="TKZ96" s="350"/>
      <c r="TLA96" s="350"/>
      <c r="TLB96" s="350"/>
      <c r="TLC96" s="350"/>
      <c r="TLD96" s="350"/>
      <c r="TLE96" s="350"/>
      <c r="TLF96" s="350"/>
      <c r="TLG96" s="350"/>
      <c r="TLH96" s="350"/>
      <c r="TLI96" s="350"/>
      <c r="TLJ96" s="350"/>
      <c r="TLK96" s="350"/>
      <c r="TLL96" s="350"/>
      <c r="TLM96" s="350"/>
      <c r="TLN96" s="350"/>
      <c r="TLO96" s="350"/>
      <c r="TLP96" s="350"/>
      <c r="TLQ96" s="350"/>
      <c r="TLR96" s="350"/>
      <c r="TLS96" s="350"/>
      <c r="TLT96" s="350"/>
      <c r="TLU96" s="350"/>
      <c r="TLV96" s="350"/>
      <c r="TLW96" s="350"/>
      <c r="TLX96" s="350"/>
      <c r="TLY96" s="350"/>
      <c r="TLZ96" s="350"/>
      <c r="TMA96" s="350"/>
      <c r="TMB96" s="350"/>
      <c r="TMC96" s="350"/>
      <c r="TMD96" s="350"/>
      <c r="TME96" s="350"/>
      <c r="TMF96" s="350"/>
      <c r="TMG96" s="350"/>
      <c r="TMH96" s="350"/>
      <c r="TMI96" s="350"/>
      <c r="TMJ96" s="350"/>
      <c r="TMK96" s="350"/>
      <c r="TML96" s="350"/>
      <c r="TMM96" s="350"/>
      <c r="TMN96" s="350"/>
      <c r="TMO96" s="350"/>
      <c r="TMP96" s="350"/>
      <c r="TMQ96" s="350"/>
      <c r="TMR96" s="350"/>
      <c r="TMS96" s="350"/>
      <c r="TMT96" s="350"/>
      <c r="TMU96" s="350"/>
      <c r="TMV96" s="350"/>
      <c r="TMW96" s="350"/>
      <c r="TMX96" s="350"/>
      <c r="TMY96" s="350"/>
      <c r="TMZ96" s="350"/>
      <c r="TNA96" s="350"/>
      <c r="TNB96" s="350"/>
      <c r="TNC96" s="350"/>
      <c r="TND96" s="350"/>
      <c r="TNE96" s="350"/>
      <c r="TNF96" s="350"/>
      <c r="TNG96" s="350"/>
      <c r="TNH96" s="350"/>
      <c r="TNI96" s="350"/>
      <c r="TNJ96" s="350"/>
      <c r="TNK96" s="350"/>
      <c r="TNL96" s="350"/>
      <c r="TNM96" s="350"/>
      <c r="TNN96" s="350"/>
      <c r="TNO96" s="350"/>
      <c r="TNP96" s="350"/>
      <c r="TNQ96" s="350"/>
      <c r="TNR96" s="350"/>
      <c r="TNS96" s="350"/>
      <c r="TNT96" s="350"/>
      <c r="TNU96" s="350"/>
      <c r="TNV96" s="350"/>
      <c r="TNW96" s="350"/>
      <c r="TNX96" s="350"/>
      <c r="TNY96" s="350"/>
      <c r="TNZ96" s="350"/>
      <c r="TOA96" s="350"/>
      <c r="TOB96" s="350"/>
      <c r="TOC96" s="350"/>
      <c r="TOD96" s="350"/>
      <c r="TOE96" s="350"/>
      <c r="TOF96" s="350"/>
      <c r="TOG96" s="350"/>
      <c r="TOH96" s="350"/>
      <c r="TOI96" s="350"/>
      <c r="TOJ96" s="350"/>
      <c r="TOK96" s="350"/>
      <c r="TOL96" s="350"/>
      <c r="TOM96" s="350"/>
      <c r="TON96" s="350"/>
      <c r="TOO96" s="350"/>
      <c r="TOP96" s="350"/>
      <c r="TOQ96" s="350"/>
      <c r="TOR96" s="350"/>
      <c r="TOS96" s="350"/>
      <c r="TOT96" s="350"/>
      <c r="TOU96" s="350"/>
      <c r="TOV96" s="350"/>
      <c r="TOW96" s="350"/>
      <c r="TOX96" s="350"/>
      <c r="TOY96" s="350"/>
      <c r="TOZ96" s="350"/>
      <c r="TPA96" s="350"/>
      <c r="TPB96" s="350"/>
      <c r="TPC96" s="350"/>
      <c r="TPD96" s="350"/>
      <c r="TPE96" s="350"/>
      <c r="TPF96" s="350"/>
      <c r="TPG96" s="350"/>
      <c r="TPH96" s="350"/>
      <c r="TPI96" s="350"/>
      <c r="TPJ96" s="350"/>
      <c r="TPK96" s="350"/>
      <c r="TPL96" s="350"/>
      <c r="TPM96" s="350"/>
      <c r="TPN96" s="350"/>
      <c r="TPO96" s="350"/>
      <c r="TPP96" s="350"/>
      <c r="TPQ96" s="350"/>
      <c r="TPR96" s="350"/>
      <c r="TPS96" s="350"/>
      <c r="TPT96" s="350"/>
      <c r="TPU96" s="350"/>
      <c r="TPV96" s="350"/>
      <c r="TPW96" s="350"/>
      <c r="TPX96" s="350"/>
      <c r="TPY96" s="350"/>
      <c r="TPZ96" s="350"/>
      <c r="TQA96" s="350"/>
      <c r="TQB96" s="350"/>
      <c r="TQC96" s="350"/>
      <c r="TQD96" s="350"/>
      <c r="TQE96" s="350"/>
      <c r="TQF96" s="350"/>
      <c r="TQG96" s="350"/>
      <c r="TQH96" s="350"/>
      <c r="TQI96" s="350"/>
      <c r="TQJ96" s="350"/>
      <c r="TQK96" s="350"/>
      <c r="TQL96" s="350"/>
      <c r="TQM96" s="350"/>
      <c r="TQN96" s="350"/>
      <c r="TQO96" s="350"/>
      <c r="TQP96" s="350"/>
      <c r="TQQ96" s="350"/>
      <c r="TQR96" s="350"/>
      <c r="TQS96" s="350"/>
      <c r="TQT96" s="350"/>
      <c r="TQU96" s="350"/>
      <c r="TQV96" s="350"/>
      <c r="TQW96" s="350"/>
      <c r="TQX96" s="350"/>
      <c r="TQY96" s="350"/>
      <c r="TQZ96" s="350"/>
      <c r="TRA96" s="350"/>
      <c r="TRB96" s="350"/>
      <c r="TRC96" s="350"/>
      <c r="TRD96" s="350"/>
      <c r="TRE96" s="350"/>
      <c r="TRF96" s="350"/>
      <c r="TRG96" s="350"/>
      <c r="TRH96" s="350"/>
      <c r="TRI96" s="350"/>
      <c r="TRJ96" s="350"/>
      <c r="TRK96" s="350"/>
      <c r="TRL96" s="350"/>
      <c r="TRM96" s="350"/>
      <c r="TRN96" s="350"/>
      <c r="TRO96" s="350"/>
      <c r="TRP96" s="350"/>
      <c r="TRQ96" s="350"/>
      <c r="TRR96" s="350"/>
      <c r="TRS96" s="350"/>
      <c r="TRT96" s="350"/>
      <c r="TRU96" s="350"/>
      <c r="TRV96" s="350"/>
      <c r="TRW96" s="350"/>
      <c r="TRX96" s="350"/>
      <c r="TRY96" s="350"/>
      <c r="TRZ96" s="350"/>
      <c r="TSA96" s="350"/>
      <c r="TSB96" s="350"/>
      <c r="TSC96" s="350"/>
      <c r="TSD96" s="350"/>
      <c r="TSE96" s="350"/>
      <c r="TSF96" s="350"/>
      <c r="TSG96" s="350"/>
      <c r="TSH96" s="350"/>
      <c r="TSI96" s="350"/>
      <c r="TSJ96" s="350"/>
      <c r="TSK96" s="350"/>
      <c r="TSL96" s="350"/>
      <c r="TSM96" s="350"/>
      <c r="TSN96" s="350"/>
      <c r="TSO96" s="350"/>
      <c r="TSP96" s="350"/>
      <c r="TSQ96" s="350"/>
      <c r="TSR96" s="350"/>
      <c r="TSS96" s="350"/>
      <c r="TST96" s="350"/>
      <c r="TSU96" s="350"/>
      <c r="TSV96" s="350"/>
      <c r="TSW96" s="350"/>
      <c r="TSX96" s="350"/>
      <c r="TSY96" s="350"/>
      <c r="TSZ96" s="350"/>
      <c r="TTA96" s="350"/>
      <c r="TTB96" s="350"/>
      <c r="TTC96" s="350"/>
      <c r="TTD96" s="350"/>
      <c r="TTE96" s="350"/>
      <c r="TTF96" s="350"/>
      <c r="TTG96" s="350"/>
      <c r="TTH96" s="350"/>
      <c r="TTI96" s="350"/>
      <c r="TTJ96" s="350"/>
      <c r="TTK96" s="350"/>
      <c r="TTL96" s="350"/>
      <c r="TTM96" s="350"/>
      <c r="TTN96" s="350"/>
      <c r="TTO96" s="350"/>
      <c r="TTP96" s="350"/>
      <c r="TTQ96" s="350"/>
      <c r="TTR96" s="350"/>
      <c r="TTS96" s="350"/>
      <c r="TTT96" s="350"/>
      <c r="TTU96" s="350"/>
      <c r="TTV96" s="350"/>
      <c r="TTW96" s="350"/>
      <c r="TTX96" s="350"/>
      <c r="TTY96" s="350"/>
      <c r="TTZ96" s="350"/>
      <c r="TUA96" s="350"/>
      <c r="TUB96" s="350"/>
      <c r="TUC96" s="350"/>
      <c r="TUD96" s="350"/>
      <c r="TUE96" s="350"/>
      <c r="TUF96" s="350"/>
      <c r="TUG96" s="350"/>
      <c r="TUH96" s="350"/>
      <c r="TUI96" s="350"/>
      <c r="TUJ96" s="350"/>
      <c r="TUK96" s="350"/>
      <c r="TUL96" s="350"/>
      <c r="TUM96" s="350"/>
      <c r="TUN96" s="350"/>
      <c r="TUO96" s="350"/>
      <c r="TUP96" s="350"/>
      <c r="TUQ96" s="350"/>
      <c r="TUR96" s="350"/>
      <c r="TUS96" s="350"/>
      <c r="TUT96" s="350"/>
      <c r="TUU96" s="350"/>
      <c r="TUV96" s="350"/>
      <c r="TUW96" s="350"/>
      <c r="TUX96" s="350"/>
      <c r="TUY96" s="350"/>
      <c r="TUZ96" s="350"/>
      <c r="TVA96" s="350"/>
      <c r="TVB96" s="350"/>
      <c r="TVC96" s="350"/>
      <c r="TVD96" s="350"/>
      <c r="TVE96" s="350"/>
      <c r="TVF96" s="350"/>
      <c r="TVG96" s="350"/>
      <c r="TVH96" s="350"/>
      <c r="TVI96" s="350"/>
      <c r="TVJ96" s="350"/>
      <c r="TVK96" s="350"/>
      <c r="TVL96" s="350"/>
      <c r="TVM96" s="350"/>
      <c r="TVN96" s="350"/>
      <c r="TVO96" s="350"/>
      <c r="TVP96" s="350"/>
      <c r="TVQ96" s="350"/>
      <c r="TVR96" s="350"/>
      <c r="TVS96" s="350"/>
      <c r="TVT96" s="350"/>
      <c r="TVU96" s="350"/>
      <c r="TVV96" s="350"/>
      <c r="TVW96" s="350"/>
      <c r="TVX96" s="350"/>
      <c r="TVY96" s="350"/>
      <c r="TVZ96" s="350"/>
      <c r="TWA96" s="350"/>
      <c r="TWB96" s="350"/>
      <c r="TWC96" s="350"/>
      <c r="TWD96" s="350"/>
      <c r="TWE96" s="350"/>
      <c r="TWF96" s="350"/>
      <c r="TWG96" s="350"/>
      <c r="TWH96" s="350"/>
      <c r="TWI96" s="350"/>
      <c r="TWJ96" s="350"/>
      <c r="TWK96" s="350"/>
      <c r="TWL96" s="350"/>
      <c r="TWM96" s="350"/>
      <c r="TWN96" s="350"/>
      <c r="TWO96" s="350"/>
      <c r="TWP96" s="350"/>
      <c r="TWQ96" s="350"/>
      <c r="TWR96" s="350"/>
      <c r="TWS96" s="350"/>
      <c r="TWT96" s="350"/>
      <c r="TWU96" s="350"/>
      <c r="TWV96" s="350"/>
      <c r="TWW96" s="350"/>
      <c r="TWX96" s="350"/>
      <c r="TWY96" s="350"/>
      <c r="TWZ96" s="350"/>
      <c r="TXA96" s="350"/>
      <c r="TXB96" s="350"/>
      <c r="TXC96" s="350"/>
      <c r="TXD96" s="350"/>
      <c r="TXE96" s="350"/>
      <c r="TXF96" s="350"/>
      <c r="TXG96" s="350"/>
      <c r="TXH96" s="350"/>
      <c r="TXI96" s="350"/>
      <c r="TXJ96" s="350"/>
      <c r="TXK96" s="350"/>
      <c r="TXL96" s="350"/>
      <c r="TXM96" s="350"/>
      <c r="TXN96" s="350"/>
      <c r="TXO96" s="350"/>
      <c r="TXP96" s="350"/>
      <c r="TXQ96" s="350"/>
      <c r="TXR96" s="350"/>
      <c r="TXS96" s="350"/>
      <c r="TXT96" s="350"/>
      <c r="TXU96" s="350"/>
      <c r="TXV96" s="350"/>
      <c r="TXW96" s="350"/>
      <c r="TXX96" s="350"/>
      <c r="TXY96" s="350"/>
      <c r="TXZ96" s="350"/>
      <c r="TYA96" s="350"/>
      <c r="TYB96" s="350"/>
      <c r="TYC96" s="350"/>
      <c r="TYD96" s="350"/>
      <c r="TYE96" s="350"/>
      <c r="TYF96" s="350"/>
      <c r="TYG96" s="350"/>
      <c r="TYH96" s="350"/>
      <c r="TYI96" s="350"/>
      <c r="TYJ96" s="350"/>
      <c r="TYK96" s="350"/>
      <c r="TYL96" s="350"/>
      <c r="TYM96" s="350"/>
      <c r="TYN96" s="350"/>
      <c r="TYO96" s="350"/>
      <c r="TYP96" s="350"/>
      <c r="TYQ96" s="350"/>
      <c r="TYR96" s="350"/>
      <c r="TYS96" s="350"/>
      <c r="TYT96" s="350"/>
      <c r="TYU96" s="350"/>
      <c r="TYV96" s="350"/>
      <c r="TYW96" s="350"/>
      <c r="TYX96" s="350"/>
      <c r="TYY96" s="350"/>
      <c r="TYZ96" s="350"/>
      <c r="TZA96" s="350"/>
      <c r="TZB96" s="350"/>
      <c r="TZC96" s="350"/>
      <c r="TZD96" s="350"/>
      <c r="TZE96" s="350"/>
      <c r="TZF96" s="350"/>
      <c r="TZG96" s="350"/>
      <c r="TZH96" s="350"/>
      <c r="TZI96" s="350"/>
      <c r="TZJ96" s="350"/>
      <c r="TZK96" s="350"/>
      <c r="TZL96" s="350"/>
      <c r="TZM96" s="350"/>
      <c r="TZN96" s="350"/>
      <c r="TZO96" s="350"/>
      <c r="TZP96" s="350"/>
      <c r="TZQ96" s="350"/>
      <c r="TZR96" s="350"/>
      <c r="TZS96" s="350"/>
      <c r="TZT96" s="350"/>
      <c r="TZU96" s="350"/>
      <c r="TZV96" s="350"/>
      <c r="TZW96" s="350"/>
      <c r="TZX96" s="350"/>
      <c r="TZY96" s="350"/>
      <c r="TZZ96" s="350"/>
      <c r="UAA96" s="350"/>
      <c r="UAB96" s="350"/>
      <c r="UAC96" s="350"/>
      <c r="UAD96" s="350"/>
      <c r="UAE96" s="350"/>
      <c r="UAF96" s="350"/>
      <c r="UAG96" s="350"/>
      <c r="UAH96" s="350"/>
      <c r="UAI96" s="350"/>
      <c r="UAJ96" s="350"/>
      <c r="UAK96" s="350"/>
      <c r="UAL96" s="350"/>
      <c r="UAM96" s="350"/>
      <c r="UAN96" s="350"/>
      <c r="UAO96" s="350"/>
      <c r="UAP96" s="350"/>
      <c r="UAQ96" s="350"/>
      <c r="UAR96" s="350"/>
      <c r="UAS96" s="350"/>
      <c r="UAT96" s="350"/>
      <c r="UAU96" s="350"/>
      <c r="UAV96" s="350"/>
      <c r="UAW96" s="350"/>
      <c r="UAX96" s="350"/>
      <c r="UAY96" s="350"/>
      <c r="UAZ96" s="350"/>
      <c r="UBA96" s="350"/>
      <c r="UBB96" s="350"/>
      <c r="UBC96" s="350"/>
      <c r="UBD96" s="350"/>
      <c r="UBE96" s="350"/>
      <c r="UBF96" s="350"/>
      <c r="UBG96" s="350"/>
      <c r="UBH96" s="350"/>
      <c r="UBI96" s="350"/>
      <c r="UBJ96" s="350"/>
      <c r="UBK96" s="350"/>
      <c r="UBL96" s="350"/>
      <c r="UBM96" s="350"/>
      <c r="UBN96" s="350"/>
      <c r="UBO96" s="350"/>
      <c r="UBP96" s="350"/>
      <c r="UBQ96" s="350"/>
      <c r="UBR96" s="350"/>
      <c r="UBS96" s="350"/>
      <c r="UBT96" s="350"/>
      <c r="UBU96" s="350"/>
      <c r="UBV96" s="350"/>
      <c r="UBW96" s="350"/>
      <c r="UBX96" s="350"/>
      <c r="UBY96" s="350"/>
      <c r="UBZ96" s="350"/>
      <c r="UCA96" s="350"/>
      <c r="UCB96" s="350"/>
      <c r="UCC96" s="350"/>
      <c r="UCD96" s="350"/>
      <c r="UCE96" s="350"/>
      <c r="UCF96" s="350"/>
      <c r="UCG96" s="350"/>
      <c r="UCH96" s="350"/>
      <c r="UCI96" s="350"/>
      <c r="UCJ96" s="350"/>
      <c r="UCK96" s="350"/>
      <c r="UCL96" s="350"/>
      <c r="UCM96" s="350"/>
      <c r="UCN96" s="350"/>
      <c r="UCO96" s="350"/>
      <c r="UCP96" s="350"/>
      <c r="UCQ96" s="350"/>
      <c r="UCR96" s="350"/>
      <c r="UCS96" s="350"/>
      <c r="UCT96" s="350"/>
      <c r="UCU96" s="350"/>
      <c r="UCV96" s="350"/>
      <c r="UCW96" s="350"/>
      <c r="UCX96" s="350"/>
      <c r="UCY96" s="350"/>
      <c r="UCZ96" s="350"/>
      <c r="UDA96" s="350"/>
      <c r="UDB96" s="350"/>
      <c r="UDC96" s="350"/>
      <c r="UDD96" s="350"/>
      <c r="UDE96" s="350"/>
      <c r="UDF96" s="350"/>
      <c r="UDG96" s="350"/>
      <c r="UDH96" s="350"/>
      <c r="UDI96" s="350"/>
      <c r="UDJ96" s="350"/>
      <c r="UDK96" s="350"/>
      <c r="UDL96" s="350"/>
      <c r="UDM96" s="350"/>
      <c r="UDN96" s="350"/>
      <c r="UDO96" s="350"/>
      <c r="UDP96" s="350"/>
      <c r="UDQ96" s="350"/>
      <c r="UDR96" s="350"/>
      <c r="UDS96" s="350"/>
      <c r="UDT96" s="350"/>
      <c r="UDU96" s="350"/>
      <c r="UDV96" s="350"/>
      <c r="UDW96" s="350"/>
      <c r="UDX96" s="350"/>
      <c r="UDY96" s="350"/>
      <c r="UDZ96" s="350"/>
      <c r="UEA96" s="350"/>
      <c r="UEB96" s="350"/>
      <c r="UEC96" s="350"/>
      <c r="UED96" s="350"/>
      <c r="UEE96" s="350"/>
      <c r="UEF96" s="350"/>
      <c r="UEG96" s="350"/>
      <c r="UEH96" s="350"/>
      <c r="UEI96" s="350"/>
      <c r="UEJ96" s="350"/>
      <c r="UEK96" s="350"/>
      <c r="UEL96" s="350"/>
      <c r="UEM96" s="350"/>
      <c r="UEN96" s="350"/>
      <c r="UEO96" s="350"/>
      <c r="UEP96" s="350"/>
      <c r="UEQ96" s="350"/>
      <c r="UER96" s="350"/>
      <c r="UES96" s="350"/>
      <c r="UET96" s="350"/>
      <c r="UEU96" s="350"/>
      <c r="UEV96" s="350"/>
      <c r="UEW96" s="350"/>
      <c r="UEX96" s="350"/>
      <c r="UEY96" s="350"/>
      <c r="UEZ96" s="350"/>
      <c r="UFA96" s="350"/>
      <c r="UFB96" s="350"/>
      <c r="UFC96" s="350"/>
      <c r="UFD96" s="350"/>
      <c r="UFE96" s="350"/>
      <c r="UFF96" s="350"/>
      <c r="UFG96" s="350"/>
      <c r="UFH96" s="350"/>
      <c r="UFI96" s="350"/>
      <c r="UFJ96" s="350"/>
      <c r="UFK96" s="350"/>
      <c r="UFL96" s="350"/>
      <c r="UFM96" s="350"/>
      <c r="UFN96" s="350"/>
      <c r="UFO96" s="350"/>
      <c r="UFP96" s="350"/>
      <c r="UFQ96" s="350"/>
      <c r="UFR96" s="350"/>
      <c r="UFS96" s="350"/>
      <c r="UFT96" s="350"/>
      <c r="UFU96" s="350"/>
      <c r="UFV96" s="350"/>
      <c r="UFW96" s="350"/>
      <c r="UFX96" s="350"/>
      <c r="UFY96" s="350"/>
      <c r="UFZ96" s="350"/>
      <c r="UGA96" s="350"/>
      <c r="UGB96" s="350"/>
      <c r="UGC96" s="350"/>
      <c r="UGD96" s="350"/>
      <c r="UGE96" s="350"/>
      <c r="UGF96" s="350"/>
      <c r="UGG96" s="350"/>
      <c r="UGH96" s="350"/>
      <c r="UGI96" s="350"/>
      <c r="UGJ96" s="350"/>
      <c r="UGK96" s="350"/>
      <c r="UGL96" s="350"/>
      <c r="UGM96" s="350"/>
      <c r="UGN96" s="350"/>
      <c r="UGO96" s="350"/>
      <c r="UGP96" s="350"/>
      <c r="UGQ96" s="350"/>
      <c r="UGR96" s="350"/>
      <c r="UGS96" s="350"/>
      <c r="UGT96" s="350"/>
      <c r="UGU96" s="350"/>
      <c r="UGV96" s="350"/>
      <c r="UGW96" s="350"/>
      <c r="UGX96" s="350"/>
      <c r="UGY96" s="350"/>
      <c r="UGZ96" s="350"/>
      <c r="UHA96" s="350"/>
      <c r="UHB96" s="350"/>
      <c r="UHC96" s="350"/>
      <c r="UHD96" s="350"/>
      <c r="UHE96" s="350"/>
      <c r="UHF96" s="350"/>
      <c r="UHG96" s="350"/>
      <c r="UHH96" s="350"/>
      <c r="UHI96" s="350"/>
      <c r="UHJ96" s="350"/>
      <c r="UHK96" s="350"/>
      <c r="UHL96" s="350"/>
      <c r="UHM96" s="350"/>
      <c r="UHN96" s="350"/>
      <c r="UHO96" s="350"/>
      <c r="UHP96" s="350"/>
      <c r="UHQ96" s="350"/>
      <c r="UHR96" s="350"/>
      <c r="UHS96" s="350"/>
      <c r="UHT96" s="350"/>
      <c r="UHU96" s="350"/>
      <c r="UHV96" s="350"/>
      <c r="UHW96" s="350"/>
      <c r="UHX96" s="350"/>
      <c r="UHY96" s="350"/>
      <c r="UHZ96" s="350"/>
      <c r="UIA96" s="350"/>
      <c r="UIB96" s="350"/>
      <c r="UIC96" s="350"/>
      <c r="UID96" s="350"/>
      <c r="UIE96" s="350"/>
      <c r="UIF96" s="350"/>
      <c r="UIG96" s="350"/>
      <c r="UIH96" s="350"/>
      <c r="UII96" s="350"/>
      <c r="UIJ96" s="350"/>
      <c r="UIK96" s="350"/>
      <c r="UIL96" s="350"/>
      <c r="UIM96" s="350"/>
      <c r="UIN96" s="350"/>
      <c r="UIO96" s="350"/>
      <c r="UIP96" s="350"/>
      <c r="UIQ96" s="350"/>
      <c r="UIR96" s="350"/>
      <c r="UIS96" s="350"/>
      <c r="UIT96" s="350"/>
      <c r="UIU96" s="350"/>
      <c r="UIV96" s="350"/>
      <c r="UIW96" s="350"/>
      <c r="UIX96" s="350"/>
      <c r="UIY96" s="350"/>
      <c r="UIZ96" s="350"/>
      <c r="UJA96" s="350"/>
      <c r="UJB96" s="350"/>
      <c r="UJC96" s="350"/>
      <c r="UJD96" s="350"/>
      <c r="UJE96" s="350"/>
      <c r="UJF96" s="350"/>
      <c r="UJG96" s="350"/>
      <c r="UJH96" s="350"/>
      <c r="UJI96" s="350"/>
      <c r="UJJ96" s="350"/>
      <c r="UJK96" s="350"/>
      <c r="UJL96" s="350"/>
      <c r="UJM96" s="350"/>
      <c r="UJN96" s="350"/>
      <c r="UJO96" s="350"/>
      <c r="UJP96" s="350"/>
      <c r="UJQ96" s="350"/>
      <c r="UJR96" s="350"/>
      <c r="UJS96" s="350"/>
      <c r="UJT96" s="350"/>
      <c r="UJU96" s="350"/>
      <c r="UJV96" s="350"/>
      <c r="UJW96" s="350"/>
      <c r="UJX96" s="350"/>
      <c r="UJY96" s="350"/>
      <c r="UJZ96" s="350"/>
      <c r="UKA96" s="350"/>
      <c r="UKB96" s="350"/>
      <c r="UKC96" s="350"/>
      <c r="UKD96" s="350"/>
      <c r="UKE96" s="350"/>
      <c r="UKF96" s="350"/>
      <c r="UKG96" s="350"/>
      <c r="UKH96" s="350"/>
      <c r="UKI96" s="350"/>
      <c r="UKJ96" s="350"/>
      <c r="UKK96" s="350"/>
      <c r="UKL96" s="350"/>
      <c r="UKM96" s="350"/>
      <c r="UKN96" s="350"/>
      <c r="UKO96" s="350"/>
      <c r="UKP96" s="350"/>
      <c r="UKQ96" s="350"/>
      <c r="UKR96" s="350"/>
      <c r="UKS96" s="350"/>
      <c r="UKT96" s="350"/>
      <c r="UKU96" s="350"/>
      <c r="UKV96" s="350"/>
      <c r="UKW96" s="350"/>
      <c r="UKX96" s="350"/>
      <c r="UKY96" s="350"/>
      <c r="UKZ96" s="350"/>
      <c r="ULA96" s="350"/>
      <c r="ULB96" s="350"/>
      <c r="ULC96" s="350"/>
      <c r="ULD96" s="350"/>
      <c r="ULE96" s="350"/>
      <c r="ULF96" s="350"/>
      <c r="ULG96" s="350"/>
      <c r="ULH96" s="350"/>
      <c r="ULI96" s="350"/>
      <c r="ULJ96" s="350"/>
      <c r="ULK96" s="350"/>
      <c r="ULL96" s="350"/>
      <c r="ULM96" s="350"/>
      <c r="ULN96" s="350"/>
      <c r="ULO96" s="350"/>
      <c r="ULP96" s="350"/>
      <c r="ULQ96" s="350"/>
      <c r="ULR96" s="350"/>
      <c r="ULS96" s="350"/>
      <c r="ULT96" s="350"/>
      <c r="ULU96" s="350"/>
      <c r="ULV96" s="350"/>
      <c r="ULW96" s="350"/>
      <c r="ULX96" s="350"/>
      <c r="ULY96" s="350"/>
      <c r="ULZ96" s="350"/>
      <c r="UMA96" s="350"/>
      <c r="UMB96" s="350"/>
      <c r="UMC96" s="350"/>
      <c r="UMD96" s="350"/>
      <c r="UME96" s="350"/>
      <c r="UMF96" s="350"/>
      <c r="UMG96" s="350"/>
      <c r="UMH96" s="350"/>
      <c r="UMI96" s="350"/>
      <c r="UMJ96" s="350"/>
      <c r="UMK96" s="350"/>
      <c r="UML96" s="350"/>
      <c r="UMM96" s="350"/>
      <c r="UMN96" s="350"/>
      <c r="UMO96" s="350"/>
      <c r="UMP96" s="350"/>
      <c r="UMQ96" s="350"/>
      <c r="UMR96" s="350"/>
      <c r="UMS96" s="350"/>
      <c r="UMT96" s="350"/>
      <c r="UMU96" s="350"/>
      <c r="UMV96" s="350"/>
      <c r="UMW96" s="350"/>
      <c r="UMX96" s="350"/>
      <c r="UMY96" s="350"/>
      <c r="UMZ96" s="350"/>
      <c r="UNA96" s="350"/>
      <c r="UNB96" s="350"/>
      <c r="UNC96" s="350"/>
      <c r="UND96" s="350"/>
      <c r="UNE96" s="350"/>
      <c r="UNF96" s="350"/>
      <c r="UNG96" s="350"/>
      <c r="UNH96" s="350"/>
      <c r="UNI96" s="350"/>
      <c r="UNJ96" s="350"/>
      <c r="UNK96" s="350"/>
      <c r="UNL96" s="350"/>
      <c r="UNM96" s="350"/>
      <c r="UNN96" s="350"/>
      <c r="UNO96" s="350"/>
      <c r="UNP96" s="350"/>
      <c r="UNQ96" s="350"/>
      <c r="UNR96" s="350"/>
      <c r="UNS96" s="350"/>
      <c r="UNT96" s="350"/>
      <c r="UNU96" s="350"/>
      <c r="UNV96" s="350"/>
      <c r="UNW96" s="350"/>
      <c r="UNX96" s="350"/>
      <c r="UNY96" s="350"/>
      <c r="UNZ96" s="350"/>
      <c r="UOA96" s="350"/>
      <c r="UOB96" s="350"/>
      <c r="UOC96" s="350"/>
      <c r="UOD96" s="350"/>
      <c r="UOE96" s="350"/>
      <c r="UOF96" s="350"/>
      <c r="UOG96" s="350"/>
      <c r="UOH96" s="350"/>
      <c r="UOI96" s="350"/>
      <c r="UOJ96" s="350"/>
      <c r="UOK96" s="350"/>
      <c r="UOL96" s="350"/>
      <c r="UOM96" s="350"/>
      <c r="UON96" s="350"/>
      <c r="UOO96" s="350"/>
      <c r="UOP96" s="350"/>
      <c r="UOQ96" s="350"/>
      <c r="UOR96" s="350"/>
      <c r="UOS96" s="350"/>
      <c r="UOT96" s="350"/>
      <c r="UOU96" s="350"/>
      <c r="UOV96" s="350"/>
      <c r="UOW96" s="350"/>
      <c r="UOX96" s="350"/>
      <c r="UOY96" s="350"/>
      <c r="UOZ96" s="350"/>
      <c r="UPA96" s="350"/>
      <c r="UPB96" s="350"/>
      <c r="UPC96" s="350"/>
      <c r="UPD96" s="350"/>
      <c r="UPE96" s="350"/>
      <c r="UPF96" s="350"/>
      <c r="UPG96" s="350"/>
      <c r="UPH96" s="350"/>
      <c r="UPI96" s="350"/>
      <c r="UPJ96" s="350"/>
      <c r="UPK96" s="350"/>
      <c r="UPL96" s="350"/>
      <c r="UPM96" s="350"/>
      <c r="UPN96" s="350"/>
      <c r="UPO96" s="350"/>
      <c r="UPP96" s="350"/>
      <c r="UPQ96" s="350"/>
      <c r="UPR96" s="350"/>
      <c r="UPS96" s="350"/>
      <c r="UPT96" s="350"/>
      <c r="UPU96" s="350"/>
      <c r="UPV96" s="350"/>
      <c r="UPW96" s="350"/>
      <c r="UPX96" s="350"/>
      <c r="UPY96" s="350"/>
      <c r="UPZ96" s="350"/>
      <c r="UQA96" s="350"/>
      <c r="UQB96" s="350"/>
      <c r="UQC96" s="350"/>
      <c r="UQD96" s="350"/>
      <c r="UQE96" s="350"/>
      <c r="UQF96" s="350"/>
      <c r="UQG96" s="350"/>
      <c r="UQH96" s="350"/>
      <c r="UQI96" s="350"/>
      <c r="UQJ96" s="350"/>
      <c r="UQK96" s="350"/>
      <c r="UQL96" s="350"/>
      <c r="UQM96" s="350"/>
      <c r="UQN96" s="350"/>
      <c r="UQO96" s="350"/>
      <c r="UQP96" s="350"/>
      <c r="UQQ96" s="350"/>
      <c r="UQR96" s="350"/>
      <c r="UQS96" s="350"/>
      <c r="UQT96" s="350"/>
      <c r="UQU96" s="350"/>
      <c r="UQV96" s="350"/>
      <c r="UQW96" s="350"/>
      <c r="UQX96" s="350"/>
      <c r="UQY96" s="350"/>
      <c r="UQZ96" s="350"/>
      <c r="URA96" s="350"/>
      <c r="URB96" s="350"/>
      <c r="URC96" s="350"/>
      <c r="URD96" s="350"/>
      <c r="URE96" s="350"/>
      <c r="URF96" s="350"/>
      <c r="URG96" s="350"/>
      <c r="URH96" s="350"/>
      <c r="URI96" s="350"/>
      <c r="URJ96" s="350"/>
      <c r="URK96" s="350"/>
      <c r="URL96" s="350"/>
      <c r="URM96" s="350"/>
      <c r="URN96" s="350"/>
      <c r="URO96" s="350"/>
      <c r="URP96" s="350"/>
      <c r="URQ96" s="350"/>
      <c r="URR96" s="350"/>
      <c r="URS96" s="350"/>
      <c r="URT96" s="350"/>
      <c r="URU96" s="350"/>
      <c r="URV96" s="350"/>
      <c r="URW96" s="350"/>
      <c r="URX96" s="350"/>
      <c r="URY96" s="350"/>
      <c r="URZ96" s="350"/>
      <c r="USA96" s="350"/>
      <c r="USB96" s="350"/>
      <c r="USC96" s="350"/>
      <c r="USD96" s="350"/>
      <c r="USE96" s="350"/>
      <c r="USF96" s="350"/>
      <c r="USG96" s="350"/>
      <c r="USH96" s="350"/>
      <c r="USI96" s="350"/>
      <c r="USJ96" s="350"/>
      <c r="USK96" s="350"/>
      <c r="USL96" s="350"/>
      <c r="USM96" s="350"/>
      <c r="USN96" s="350"/>
      <c r="USO96" s="350"/>
      <c r="USP96" s="350"/>
      <c r="USQ96" s="350"/>
      <c r="USR96" s="350"/>
      <c r="USS96" s="350"/>
      <c r="UST96" s="350"/>
      <c r="USU96" s="350"/>
      <c r="USV96" s="350"/>
      <c r="USW96" s="350"/>
      <c r="USX96" s="350"/>
      <c r="USY96" s="350"/>
      <c r="USZ96" s="350"/>
      <c r="UTA96" s="350"/>
      <c r="UTB96" s="350"/>
      <c r="UTC96" s="350"/>
      <c r="UTD96" s="350"/>
      <c r="UTE96" s="350"/>
      <c r="UTF96" s="350"/>
      <c r="UTG96" s="350"/>
      <c r="UTH96" s="350"/>
      <c r="UTI96" s="350"/>
      <c r="UTJ96" s="350"/>
      <c r="UTK96" s="350"/>
      <c r="UTL96" s="350"/>
      <c r="UTM96" s="350"/>
      <c r="UTN96" s="350"/>
      <c r="UTO96" s="350"/>
      <c r="UTP96" s="350"/>
      <c r="UTQ96" s="350"/>
      <c r="UTR96" s="350"/>
      <c r="UTS96" s="350"/>
      <c r="UTT96" s="350"/>
      <c r="UTU96" s="350"/>
      <c r="UTV96" s="350"/>
      <c r="UTW96" s="350"/>
      <c r="UTX96" s="350"/>
      <c r="UTY96" s="350"/>
      <c r="UTZ96" s="350"/>
      <c r="UUA96" s="350"/>
      <c r="UUB96" s="350"/>
      <c r="UUC96" s="350"/>
      <c r="UUD96" s="350"/>
      <c r="UUE96" s="350"/>
      <c r="UUF96" s="350"/>
      <c r="UUG96" s="350"/>
      <c r="UUH96" s="350"/>
      <c r="UUI96" s="350"/>
      <c r="UUJ96" s="350"/>
      <c r="UUK96" s="350"/>
      <c r="UUL96" s="350"/>
      <c r="UUM96" s="350"/>
      <c r="UUN96" s="350"/>
      <c r="UUO96" s="350"/>
      <c r="UUP96" s="350"/>
      <c r="UUQ96" s="350"/>
      <c r="UUR96" s="350"/>
      <c r="UUS96" s="350"/>
      <c r="UUT96" s="350"/>
      <c r="UUU96" s="350"/>
      <c r="UUV96" s="350"/>
      <c r="UUW96" s="350"/>
      <c r="UUX96" s="350"/>
      <c r="UUY96" s="350"/>
      <c r="UUZ96" s="350"/>
      <c r="UVA96" s="350"/>
      <c r="UVB96" s="350"/>
      <c r="UVC96" s="350"/>
      <c r="UVD96" s="350"/>
      <c r="UVE96" s="350"/>
      <c r="UVF96" s="350"/>
      <c r="UVG96" s="350"/>
      <c r="UVH96" s="350"/>
      <c r="UVI96" s="350"/>
      <c r="UVJ96" s="350"/>
      <c r="UVK96" s="350"/>
      <c r="UVL96" s="350"/>
      <c r="UVM96" s="350"/>
      <c r="UVN96" s="350"/>
      <c r="UVO96" s="350"/>
      <c r="UVP96" s="350"/>
      <c r="UVQ96" s="350"/>
      <c r="UVR96" s="350"/>
      <c r="UVS96" s="350"/>
      <c r="UVT96" s="350"/>
      <c r="UVU96" s="350"/>
      <c r="UVV96" s="350"/>
      <c r="UVW96" s="350"/>
      <c r="UVX96" s="350"/>
      <c r="UVY96" s="350"/>
      <c r="UVZ96" s="350"/>
      <c r="UWA96" s="350"/>
      <c r="UWB96" s="350"/>
      <c r="UWC96" s="350"/>
      <c r="UWD96" s="350"/>
      <c r="UWE96" s="350"/>
      <c r="UWF96" s="350"/>
      <c r="UWG96" s="350"/>
      <c r="UWH96" s="350"/>
      <c r="UWI96" s="350"/>
      <c r="UWJ96" s="350"/>
      <c r="UWK96" s="350"/>
      <c r="UWL96" s="350"/>
      <c r="UWM96" s="350"/>
      <c r="UWN96" s="350"/>
      <c r="UWO96" s="350"/>
      <c r="UWP96" s="350"/>
      <c r="UWQ96" s="350"/>
      <c r="UWR96" s="350"/>
      <c r="UWS96" s="350"/>
      <c r="UWT96" s="350"/>
      <c r="UWU96" s="350"/>
      <c r="UWV96" s="350"/>
      <c r="UWW96" s="350"/>
      <c r="UWX96" s="350"/>
      <c r="UWY96" s="350"/>
      <c r="UWZ96" s="350"/>
      <c r="UXA96" s="350"/>
      <c r="UXB96" s="350"/>
      <c r="UXC96" s="350"/>
      <c r="UXD96" s="350"/>
      <c r="UXE96" s="350"/>
      <c r="UXF96" s="350"/>
      <c r="UXG96" s="350"/>
      <c r="UXH96" s="350"/>
      <c r="UXI96" s="350"/>
      <c r="UXJ96" s="350"/>
      <c r="UXK96" s="350"/>
      <c r="UXL96" s="350"/>
      <c r="UXM96" s="350"/>
      <c r="UXN96" s="350"/>
      <c r="UXO96" s="350"/>
      <c r="UXP96" s="350"/>
      <c r="UXQ96" s="350"/>
      <c r="UXR96" s="350"/>
      <c r="UXS96" s="350"/>
      <c r="UXT96" s="350"/>
      <c r="UXU96" s="350"/>
      <c r="UXV96" s="350"/>
      <c r="UXW96" s="350"/>
      <c r="UXX96" s="350"/>
      <c r="UXY96" s="350"/>
      <c r="UXZ96" s="350"/>
      <c r="UYA96" s="350"/>
      <c r="UYB96" s="350"/>
      <c r="UYC96" s="350"/>
      <c r="UYD96" s="350"/>
      <c r="UYE96" s="350"/>
      <c r="UYF96" s="350"/>
      <c r="UYG96" s="350"/>
      <c r="UYH96" s="350"/>
      <c r="UYI96" s="350"/>
      <c r="UYJ96" s="350"/>
      <c r="UYK96" s="350"/>
      <c r="UYL96" s="350"/>
      <c r="UYM96" s="350"/>
      <c r="UYN96" s="350"/>
      <c r="UYO96" s="350"/>
      <c r="UYP96" s="350"/>
      <c r="UYQ96" s="350"/>
      <c r="UYR96" s="350"/>
      <c r="UYS96" s="350"/>
      <c r="UYT96" s="350"/>
      <c r="UYU96" s="350"/>
      <c r="UYV96" s="350"/>
      <c r="UYW96" s="350"/>
      <c r="UYX96" s="350"/>
      <c r="UYY96" s="350"/>
      <c r="UYZ96" s="350"/>
      <c r="UZA96" s="350"/>
      <c r="UZB96" s="350"/>
      <c r="UZC96" s="350"/>
      <c r="UZD96" s="350"/>
      <c r="UZE96" s="350"/>
      <c r="UZF96" s="350"/>
      <c r="UZG96" s="350"/>
      <c r="UZH96" s="350"/>
      <c r="UZI96" s="350"/>
      <c r="UZJ96" s="350"/>
      <c r="UZK96" s="350"/>
      <c r="UZL96" s="350"/>
      <c r="UZM96" s="350"/>
      <c r="UZN96" s="350"/>
      <c r="UZO96" s="350"/>
      <c r="UZP96" s="350"/>
      <c r="UZQ96" s="350"/>
      <c r="UZR96" s="350"/>
      <c r="UZS96" s="350"/>
      <c r="UZT96" s="350"/>
      <c r="UZU96" s="350"/>
      <c r="UZV96" s="350"/>
      <c r="UZW96" s="350"/>
      <c r="UZX96" s="350"/>
      <c r="UZY96" s="350"/>
      <c r="UZZ96" s="350"/>
      <c r="VAA96" s="350"/>
      <c r="VAB96" s="350"/>
      <c r="VAC96" s="350"/>
      <c r="VAD96" s="350"/>
      <c r="VAE96" s="350"/>
      <c r="VAF96" s="350"/>
      <c r="VAG96" s="350"/>
      <c r="VAH96" s="350"/>
      <c r="VAI96" s="350"/>
      <c r="VAJ96" s="350"/>
      <c r="VAK96" s="350"/>
      <c r="VAL96" s="350"/>
      <c r="VAM96" s="350"/>
      <c r="VAN96" s="350"/>
      <c r="VAO96" s="350"/>
      <c r="VAP96" s="350"/>
      <c r="VAQ96" s="350"/>
      <c r="VAR96" s="350"/>
      <c r="VAS96" s="350"/>
      <c r="VAT96" s="350"/>
      <c r="VAU96" s="350"/>
      <c r="VAV96" s="350"/>
      <c r="VAW96" s="350"/>
      <c r="VAX96" s="350"/>
      <c r="VAY96" s="350"/>
      <c r="VAZ96" s="350"/>
      <c r="VBA96" s="350"/>
      <c r="VBB96" s="350"/>
      <c r="VBC96" s="350"/>
      <c r="VBD96" s="350"/>
      <c r="VBE96" s="350"/>
      <c r="VBF96" s="350"/>
      <c r="VBG96" s="350"/>
      <c r="VBH96" s="350"/>
      <c r="VBI96" s="350"/>
      <c r="VBJ96" s="350"/>
      <c r="VBK96" s="350"/>
      <c r="VBL96" s="350"/>
      <c r="VBM96" s="350"/>
      <c r="VBN96" s="350"/>
      <c r="VBO96" s="350"/>
      <c r="VBP96" s="350"/>
      <c r="VBQ96" s="350"/>
      <c r="VBR96" s="350"/>
      <c r="VBS96" s="350"/>
      <c r="VBT96" s="350"/>
      <c r="VBU96" s="350"/>
      <c r="VBV96" s="350"/>
      <c r="VBW96" s="350"/>
      <c r="VBX96" s="350"/>
      <c r="VBY96" s="350"/>
      <c r="VBZ96" s="350"/>
      <c r="VCA96" s="350"/>
      <c r="VCB96" s="350"/>
      <c r="VCC96" s="350"/>
      <c r="VCD96" s="350"/>
      <c r="VCE96" s="350"/>
      <c r="VCF96" s="350"/>
      <c r="VCG96" s="350"/>
      <c r="VCH96" s="350"/>
      <c r="VCI96" s="350"/>
      <c r="VCJ96" s="350"/>
      <c r="VCK96" s="350"/>
      <c r="VCL96" s="350"/>
      <c r="VCM96" s="350"/>
      <c r="VCN96" s="350"/>
      <c r="VCO96" s="350"/>
      <c r="VCP96" s="350"/>
      <c r="VCQ96" s="350"/>
      <c r="VCR96" s="350"/>
      <c r="VCS96" s="350"/>
      <c r="VCT96" s="350"/>
      <c r="VCU96" s="350"/>
      <c r="VCV96" s="350"/>
      <c r="VCW96" s="350"/>
      <c r="VCX96" s="350"/>
      <c r="VCY96" s="350"/>
      <c r="VCZ96" s="350"/>
      <c r="VDA96" s="350"/>
      <c r="VDB96" s="350"/>
      <c r="VDC96" s="350"/>
      <c r="VDD96" s="350"/>
      <c r="VDE96" s="350"/>
      <c r="VDF96" s="350"/>
      <c r="VDG96" s="350"/>
      <c r="VDH96" s="350"/>
      <c r="VDI96" s="350"/>
      <c r="VDJ96" s="350"/>
      <c r="VDK96" s="350"/>
      <c r="VDL96" s="350"/>
      <c r="VDM96" s="350"/>
      <c r="VDN96" s="350"/>
      <c r="VDO96" s="350"/>
      <c r="VDP96" s="350"/>
      <c r="VDQ96" s="350"/>
      <c r="VDR96" s="350"/>
      <c r="VDS96" s="350"/>
      <c r="VDT96" s="350"/>
      <c r="VDU96" s="350"/>
      <c r="VDV96" s="350"/>
      <c r="VDW96" s="350"/>
      <c r="VDX96" s="350"/>
      <c r="VDY96" s="350"/>
      <c r="VDZ96" s="350"/>
      <c r="VEA96" s="350"/>
      <c r="VEB96" s="350"/>
      <c r="VEC96" s="350"/>
      <c r="VED96" s="350"/>
      <c r="VEE96" s="350"/>
      <c r="VEF96" s="350"/>
      <c r="VEG96" s="350"/>
      <c r="VEH96" s="350"/>
      <c r="VEI96" s="350"/>
      <c r="VEJ96" s="350"/>
      <c r="VEK96" s="350"/>
      <c r="VEL96" s="350"/>
      <c r="VEM96" s="350"/>
      <c r="VEN96" s="350"/>
      <c r="VEO96" s="350"/>
      <c r="VEP96" s="350"/>
      <c r="VEQ96" s="350"/>
      <c r="VER96" s="350"/>
      <c r="VES96" s="350"/>
      <c r="VET96" s="350"/>
      <c r="VEU96" s="350"/>
      <c r="VEV96" s="350"/>
      <c r="VEW96" s="350"/>
      <c r="VEX96" s="350"/>
      <c r="VEY96" s="350"/>
      <c r="VEZ96" s="350"/>
      <c r="VFA96" s="350"/>
      <c r="VFB96" s="350"/>
      <c r="VFC96" s="350"/>
      <c r="VFD96" s="350"/>
      <c r="VFE96" s="350"/>
      <c r="VFF96" s="350"/>
      <c r="VFG96" s="350"/>
      <c r="VFH96" s="350"/>
      <c r="VFI96" s="350"/>
      <c r="VFJ96" s="350"/>
      <c r="VFK96" s="350"/>
      <c r="VFL96" s="350"/>
      <c r="VFM96" s="350"/>
      <c r="VFN96" s="350"/>
      <c r="VFO96" s="350"/>
      <c r="VFP96" s="350"/>
      <c r="VFQ96" s="350"/>
      <c r="VFR96" s="350"/>
      <c r="VFS96" s="350"/>
      <c r="VFT96" s="350"/>
      <c r="VFU96" s="350"/>
      <c r="VFV96" s="350"/>
      <c r="VFW96" s="350"/>
      <c r="VFX96" s="350"/>
      <c r="VFY96" s="350"/>
      <c r="VFZ96" s="350"/>
      <c r="VGA96" s="350"/>
      <c r="VGB96" s="350"/>
      <c r="VGC96" s="350"/>
      <c r="VGD96" s="350"/>
      <c r="VGE96" s="350"/>
      <c r="VGF96" s="350"/>
      <c r="VGG96" s="350"/>
      <c r="VGH96" s="350"/>
      <c r="VGI96" s="350"/>
      <c r="VGJ96" s="350"/>
      <c r="VGK96" s="350"/>
      <c r="VGL96" s="350"/>
      <c r="VGM96" s="350"/>
      <c r="VGN96" s="350"/>
      <c r="VGO96" s="350"/>
      <c r="VGP96" s="350"/>
      <c r="VGQ96" s="350"/>
      <c r="VGR96" s="350"/>
      <c r="VGS96" s="350"/>
      <c r="VGT96" s="350"/>
      <c r="VGU96" s="350"/>
      <c r="VGV96" s="350"/>
      <c r="VGW96" s="350"/>
      <c r="VGX96" s="350"/>
      <c r="VGY96" s="350"/>
      <c r="VGZ96" s="350"/>
      <c r="VHA96" s="350"/>
      <c r="VHB96" s="350"/>
      <c r="VHC96" s="350"/>
      <c r="VHD96" s="350"/>
      <c r="VHE96" s="350"/>
      <c r="VHF96" s="350"/>
      <c r="VHG96" s="350"/>
      <c r="VHH96" s="350"/>
      <c r="VHI96" s="350"/>
      <c r="VHJ96" s="350"/>
      <c r="VHK96" s="350"/>
      <c r="VHL96" s="350"/>
      <c r="VHM96" s="350"/>
      <c r="VHN96" s="350"/>
      <c r="VHO96" s="350"/>
      <c r="VHP96" s="350"/>
      <c r="VHQ96" s="350"/>
      <c r="VHR96" s="350"/>
      <c r="VHS96" s="350"/>
      <c r="VHT96" s="350"/>
      <c r="VHU96" s="350"/>
      <c r="VHV96" s="350"/>
      <c r="VHW96" s="350"/>
      <c r="VHX96" s="350"/>
      <c r="VHY96" s="350"/>
      <c r="VHZ96" s="350"/>
      <c r="VIA96" s="350"/>
      <c r="VIB96" s="350"/>
      <c r="VIC96" s="350"/>
      <c r="VID96" s="350"/>
      <c r="VIE96" s="350"/>
      <c r="VIF96" s="350"/>
      <c r="VIG96" s="350"/>
      <c r="VIH96" s="350"/>
      <c r="VII96" s="350"/>
      <c r="VIJ96" s="350"/>
      <c r="VIK96" s="350"/>
      <c r="VIL96" s="350"/>
      <c r="VIM96" s="350"/>
      <c r="VIN96" s="350"/>
      <c r="VIO96" s="350"/>
      <c r="VIP96" s="350"/>
      <c r="VIQ96" s="350"/>
      <c r="VIR96" s="350"/>
      <c r="VIS96" s="350"/>
      <c r="VIT96" s="350"/>
      <c r="VIU96" s="350"/>
      <c r="VIV96" s="350"/>
      <c r="VIW96" s="350"/>
      <c r="VIX96" s="350"/>
      <c r="VIY96" s="350"/>
      <c r="VIZ96" s="350"/>
      <c r="VJA96" s="350"/>
      <c r="VJB96" s="350"/>
      <c r="VJC96" s="350"/>
      <c r="VJD96" s="350"/>
      <c r="VJE96" s="350"/>
      <c r="VJF96" s="350"/>
      <c r="VJG96" s="350"/>
      <c r="VJH96" s="350"/>
      <c r="VJI96" s="350"/>
      <c r="VJJ96" s="350"/>
      <c r="VJK96" s="350"/>
      <c r="VJL96" s="350"/>
      <c r="VJM96" s="350"/>
      <c r="VJN96" s="350"/>
      <c r="VJO96" s="350"/>
      <c r="VJP96" s="350"/>
      <c r="VJQ96" s="350"/>
      <c r="VJR96" s="350"/>
      <c r="VJS96" s="350"/>
      <c r="VJT96" s="350"/>
      <c r="VJU96" s="350"/>
      <c r="VJV96" s="350"/>
      <c r="VJW96" s="350"/>
      <c r="VJX96" s="350"/>
      <c r="VJY96" s="350"/>
      <c r="VJZ96" s="350"/>
      <c r="VKA96" s="350"/>
      <c r="VKB96" s="350"/>
      <c r="VKC96" s="350"/>
      <c r="VKD96" s="350"/>
      <c r="VKE96" s="350"/>
      <c r="VKF96" s="350"/>
      <c r="VKG96" s="350"/>
      <c r="VKH96" s="350"/>
      <c r="VKI96" s="350"/>
      <c r="VKJ96" s="350"/>
      <c r="VKK96" s="350"/>
      <c r="VKL96" s="350"/>
      <c r="VKM96" s="350"/>
      <c r="VKN96" s="350"/>
      <c r="VKO96" s="350"/>
      <c r="VKP96" s="350"/>
      <c r="VKQ96" s="350"/>
      <c r="VKR96" s="350"/>
      <c r="VKS96" s="350"/>
      <c r="VKT96" s="350"/>
      <c r="VKU96" s="350"/>
      <c r="VKV96" s="350"/>
      <c r="VKW96" s="350"/>
      <c r="VKX96" s="350"/>
      <c r="VKY96" s="350"/>
      <c r="VKZ96" s="350"/>
      <c r="VLA96" s="350"/>
      <c r="VLB96" s="350"/>
      <c r="VLC96" s="350"/>
      <c r="VLD96" s="350"/>
      <c r="VLE96" s="350"/>
      <c r="VLF96" s="350"/>
      <c r="VLG96" s="350"/>
      <c r="VLH96" s="350"/>
      <c r="VLI96" s="350"/>
      <c r="VLJ96" s="350"/>
      <c r="VLK96" s="350"/>
      <c r="VLL96" s="350"/>
      <c r="VLM96" s="350"/>
      <c r="VLN96" s="350"/>
      <c r="VLO96" s="350"/>
      <c r="VLP96" s="350"/>
      <c r="VLQ96" s="350"/>
      <c r="VLR96" s="350"/>
      <c r="VLS96" s="350"/>
      <c r="VLT96" s="350"/>
      <c r="VLU96" s="350"/>
      <c r="VLV96" s="350"/>
      <c r="VLW96" s="350"/>
      <c r="VLX96" s="350"/>
      <c r="VLY96" s="350"/>
      <c r="VLZ96" s="350"/>
      <c r="VMA96" s="350"/>
      <c r="VMB96" s="350"/>
      <c r="VMC96" s="350"/>
      <c r="VMD96" s="350"/>
      <c r="VME96" s="350"/>
      <c r="VMF96" s="350"/>
      <c r="VMG96" s="350"/>
      <c r="VMH96" s="350"/>
      <c r="VMI96" s="350"/>
      <c r="VMJ96" s="350"/>
      <c r="VMK96" s="350"/>
      <c r="VML96" s="350"/>
      <c r="VMM96" s="350"/>
      <c r="VMN96" s="350"/>
      <c r="VMO96" s="350"/>
      <c r="VMP96" s="350"/>
      <c r="VMQ96" s="350"/>
      <c r="VMR96" s="350"/>
      <c r="VMS96" s="350"/>
      <c r="VMT96" s="350"/>
      <c r="VMU96" s="350"/>
      <c r="VMV96" s="350"/>
      <c r="VMW96" s="350"/>
      <c r="VMX96" s="350"/>
      <c r="VMY96" s="350"/>
      <c r="VMZ96" s="350"/>
      <c r="VNA96" s="350"/>
      <c r="VNB96" s="350"/>
      <c r="VNC96" s="350"/>
      <c r="VND96" s="350"/>
      <c r="VNE96" s="350"/>
      <c r="VNF96" s="350"/>
      <c r="VNG96" s="350"/>
      <c r="VNH96" s="350"/>
      <c r="VNI96" s="350"/>
      <c r="VNJ96" s="350"/>
      <c r="VNK96" s="350"/>
      <c r="VNL96" s="350"/>
      <c r="VNM96" s="350"/>
      <c r="VNN96" s="350"/>
      <c r="VNO96" s="350"/>
      <c r="VNP96" s="350"/>
      <c r="VNQ96" s="350"/>
      <c r="VNR96" s="350"/>
      <c r="VNS96" s="350"/>
      <c r="VNT96" s="350"/>
      <c r="VNU96" s="350"/>
      <c r="VNV96" s="350"/>
      <c r="VNW96" s="350"/>
      <c r="VNX96" s="350"/>
      <c r="VNY96" s="350"/>
      <c r="VNZ96" s="350"/>
      <c r="VOA96" s="350"/>
      <c r="VOB96" s="350"/>
      <c r="VOC96" s="350"/>
      <c r="VOD96" s="350"/>
      <c r="VOE96" s="350"/>
      <c r="VOF96" s="350"/>
      <c r="VOG96" s="350"/>
      <c r="VOH96" s="350"/>
      <c r="VOI96" s="350"/>
      <c r="VOJ96" s="350"/>
      <c r="VOK96" s="350"/>
      <c r="VOL96" s="350"/>
      <c r="VOM96" s="350"/>
      <c r="VON96" s="350"/>
      <c r="VOO96" s="350"/>
      <c r="VOP96" s="350"/>
      <c r="VOQ96" s="350"/>
      <c r="VOR96" s="350"/>
      <c r="VOS96" s="350"/>
      <c r="VOT96" s="350"/>
      <c r="VOU96" s="350"/>
      <c r="VOV96" s="350"/>
      <c r="VOW96" s="350"/>
      <c r="VOX96" s="350"/>
      <c r="VOY96" s="350"/>
      <c r="VOZ96" s="350"/>
      <c r="VPA96" s="350"/>
      <c r="VPB96" s="350"/>
      <c r="VPC96" s="350"/>
      <c r="VPD96" s="350"/>
      <c r="VPE96" s="350"/>
      <c r="VPF96" s="350"/>
      <c r="VPG96" s="350"/>
      <c r="VPH96" s="350"/>
      <c r="VPI96" s="350"/>
      <c r="VPJ96" s="350"/>
      <c r="VPK96" s="350"/>
      <c r="VPL96" s="350"/>
      <c r="VPM96" s="350"/>
      <c r="VPN96" s="350"/>
      <c r="VPO96" s="350"/>
      <c r="VPP96" s="350"/>
      <c r="VPQ96" s="350"/>
      <c r="VPR96" s="350"/>
      <c r="VPS96" s="350"/>
      <c r="VPT96" s="350"/>
      <c r="VPU96" s="350"/>
      <c r="VPV96" s="350"/>
      <c r="VPW96" s="350"/>
      <c r="VPX96" s="350"/>
      <c r="VPY96" s="350"/>
      <c r="VPZ96" s="350"/>
      <c r="VQA96" s="350"/>
      <c r="VQB96" s="350"/>
      <c r="VQC96" s="350"/>
      <c r="VQD96" s="350"/>
      <c r="VQE96" s="350"/>
      <c r="VQF96" s="350"/>
      <c r="VQG96" s="350"/>
      <c r="VQH96" s="350"/>
      <c r="VQI96" s="350"/>
      <c r="VQJ96" s="350"/>
      <c r="VQK96" s="350"/>
      <c r="VQL96" s="350"/>
      <c r="VQM96" s="350"/>
      <c r="VQN96" s="350"/>
      <c r="VQO96" s="350"/>
      <c r="VQP96" s="350"/>
      <c r="VQQ96" s="350"/>
      <c r="VQR96" s="350"/>
      <c r="VQS96" s="350"/>
      <c r="VQT96" s="350"/>
      <c r="VQU96" s="350"/>
      <c r="VQV96" s="350"/>
      <c r="VQW96" s="350"/>
      <c r="VQX96" s="350"/>
      <c r="VQY96" s="350"/>
      <c r="VQZ96" s="350"/>
      <c r="VRA96" s="350"/>
      <c r="VRB96" s="350"/>
      <c r="VRC96" s="350"/>
      <c r="VRD96" s="350"/>
      <c r="VRE96" s="350"/>
      <c r="VRF96" s="350"/>
      <c r="VRG96" s="350"/>
      <c r="VRH96" s="350"/>
      <c r="VRI96" s="350"/>
      <c r="VRJ96" s="350"/>
      <c r="VRK96" s="350"/>
      <c r="VRL96" s="350"/>
      <c r="VRM96" s="350"/>
      <c r="VRN96" s="350"/>
      <c r="VRO96" s="350"/>
      <c r="VRP96" s="350"/>
      <c r="VRQ96" s="350"/>
      <c r="VRR96" s="350"/>
      <c r="VRS96" s="350"/>
      <c r="VRT96" s="350"/>
      <c r="VRU96" s="350"/>
      <c r="VRV96" s="350"/>
      <c r="VRW96" s="350"/>
      <c r="VRX96" s="350"/>
      <c r="VRY96" s="350"/>
      <c r="VRZ96" s="350"/>
      <c r="VSA96" s="350"/>
      <c r="VSB96" s="350"/>
      <c r="VSC96" s="350"/>
      <c r="VSD96" s="350"/>
      <c r="VSE96" s="350"/>
      <c r="VSF96" s="350"/>
      <c r="VSG96" s="350"/>
      <c r="VSH96" s="350"/>
      <c r="VSI96" s="350"/>
      <c r="VSJ96" s="350"/>
      <c r="VSK96" s="350"/>
      <c r="VSL96" s="350"/>
      <c r="VSM96" s="350"/>
      <c r="VSN96" s="350"/>
      <c r="VSO96" s="350"/>
      <c r="VSP96" s="350"/>
      <c r="VSQ96" s="350"/>
      <c r="VSR96" s="350"/>
      <c r="VSS96" s="350"/>
      <c r="VST96" s="350"/>
      <c r="VSU96" s="350"/>
      <c r="VSV96" s="350"/>
      <c r="VSW96" s="350"/>
      <c r="VSX96" s="350"/>
      <c r="VSY96" s="350"/>
      <c r="VSZ96" s="350"/>
      <c r="VTA96" s="350"/>
      <c r="VTB96" s="350"/>
      <c r="VTC96" s="350"/>
      <c r="VTD96" s="350"/>
      <c r="VTE96" s="350"/>
      <c r="VTF96" s="350"/>
      <c r="VTG96" s="350"/>
      <c r="VTH96" s="350"/>
      <c r="VTI96" s="350"/>
      <c r="VTJ96" s="350"/>
      <c r="VTK96" s="350"/>
      <c r="VTL96" s="350"/>
      <c r="VTM96" s="350"/>
      <c r="VTN96" s="350"/>
      <c r="VTO96" s="350"/>
      <c r="VTP96" s="350"/>
      <c r="VTQ96" s="350"/>
      <c r="VTR96" s="350"/>
      <c r="VTS96" s="350"/>
      <c r="VTT96" s="350"/>
      <c r="VTU96" s="350"/>
      <c r="VTV96" s="350"/>
      <c r="VTW96" s="350"/>
      <c r="VTX96" s="350"/>
      <c r="VTY96" s="350"/>
      <c r="VTZ96" s="350"/>
      <c r="VUA96" s="350"/>
      <c r="VUB96" s="350"/>
      <c r="VUC96" s="350"/>
      <c r="VUD96" s="350"/>
      <c r="VUE96" s="350"/>
      <c r="VUF96" s="350"/>
      <c r="VUG96" s="350"/>
      <c r="VUH96" s="350"/>
      <c r="VUI96" s="350"/>
      <c r="VUJ96" s="350"/>
      <c r="VUK96" s="350"/>
      <c r="VUL96" s="350"/>
      <c r="VUM96" s="350"/>
      <c r="VUN96" s="350"/>
      <c r="VUO96" s="350"/>
      <c r="VUP96" s="350"/>
      <c r="VUQ96" s="350"/>
      <c r="VUR96" s="350"/>
      <c r="VUS96" s="350"/>
      <c r="VUT96" s="350"/>
      <c r="VUU96" s="350"/>
      <c r="VUV96" s="350"/>
      <c r="VUW96" s="350"/>
      <c r="VUX96" s="350"/>
      <c r="VUY96" s="350"/>
      <c r="VUZ96" s="350"/>
      <c r="VVA96" s="350"/>
      <c r="VVB96" s="350"/>
      <c r="VVC96" s="350"/>
      <c r="VVD96" s="350"/>
      <c r="VVE96" s="350"/>
      <c r="VVF96" s="350"/>
      <c r="VVG96" s="350"/>
      <c r="VVH96" s="350"/>
      <c r="VVI96" s="350"/>
      <c r="VVJ96" s="350"/>
      <c r="VVK96" s="350"/>
      <c r="VVL96" s="350"/>
      <c r="VVM96" s="350"/>
      <c r="VVN96" s="350"/>
      <c r="VVO96" s="350"/>
      <c r="VVP96" s="350"/>
      <c r="VVQ96" s="350"/>
      <c r="VVR96" s="350"/>
      <c r="VVS96" s="350"/>
      <c r="VVT96" s="350"/>
      <c r="VVU96" s="350"/>
      <c r="VVV96" s="350"/>
      <c r="VVW96" s="350"/>
      <c r="VVX96" s="350"/>
      <c r="VVY96" s="350"/>
      <c r="VVZ96" s="350"/>
      <c r="VWA96" s="350"/>
      <c r="VWB96" s="350"/>
      <c r="VWC96" s="350"/>
      <c r="VWD96" s="350"/>
      <c r="VWE96" s="350"/>
      <c r="VWF96" s="350"/>
      <c r="VWG96" s="350"/>
      <c r="VWH96" s="350"/>
      <c r="VWI96" s="350"/>
      <c r="VWJ96" s="350"/>
      <c r="VWK96" s="350"/>
      <c r="VWL96" s="350"/>
      <c r="VWM96" s="350"/>
      <c r="VWN96" s="350"/>
      <c r="VWO96" s="350"/>
      <c r="VWP96" s="350"/>
      <c r="VWQ96" s="350"/>
      <c r="VWR96" s="350"/>
      <c r="VWS96" s="350"/>
      <c r="VWT96" s="350"/>
      <c r="VWU96" s="350"/>
      <c r="VWV96" s="350"/>
      <c r="VWW96" s="350"/>
      <c r="VWX96" s="350"/>
      <c r="VWY96" s="350"/>
      <c r="VWZ96" s="350"/>
      <c r="VXA96" s="350"/>
      <c r="VXB96" s="350"/>
      <c r="VXC96" s="350"/>
      <c r="VXD96" s="350"/>
      <c r="VXE96" s="350"/>
      <c r="VXF96" s="350"/>
      <c r="VXG96" s="350"/>
      <c r="VXH96" s="350"/>
      <c r="VXI96" s="350"/>
      <c r="VXJ96" s="350"/>
      <c r="VXK96" s="350"/>
      <c r="VXL96" s="350"/>
      <c r="VXM96" s="350"/>
      <c r="VXN96" s="350"/>
      <c r="VXO96" s="350"/>
      <c r="VXP96" s="350"/>
      <c r="VXQ96" s="350"/>
      <c r="VXR96" s="350"/>
      <c r="VXS96" s="350"/>
      <c r="VXT96" s="350"/>
      <c r="VXU96" s="350"/>
      <c r="VXV96" s="350"/>
      <c r="VXW96" s="350"/>
      <c r="VXX96" s="350"/>
      <c r="VXY96" s="350"/>
      <c r="VXZ96" s="350"/>
      <c r="VYA96" s="350"/>
      <c r="VYB96" s="350"/>
      <c r="VYC96" s="350"/>
      <c r="VYD96" s="350"/>
      <c r="VYE96" s="350"/>
      <c r="VYF96" s="350"/>
      <c r="VYG96" s="350"/>
      <c r="VYH96" s="350"/>
      <c r="VYI96" s="350"/>
      <c r="VYJ96" s="350"/>
      <c r="VYK96" s="350"/>
      <c r="VYL96" s="350"/>
      <c r="VYM96" s="350"/>
      <c r="VYN96" s="350"/>
      <c r="VYO96" s="350"/>
      <c r="VYP96" s="350"/>
      <c r="VYQ96" s="350"/>
      <c r="VYR96" s="350"/>
      <c r="VYS96" s="350"/>
      <c r="VYT96" s="350"/>
      <c r="VYU96" s="350"/>
      <c r="VYV96" s="350"/>
      <c r="VYW96" s="350"/>
      <c r="VYX96" s="350"/>
      <c r="VYY96" s="350"/>
      <c r="VYZ96" s="350"/>
      <c r="VZA96" s="350"/>
      <c r="VZB96" s="350"/>
      <c r="VZC96" s="350"/>
      <c r="VZD96" s="350"/>
      <c r="VZE96" s="350"/>
      <c r="VZF96" s="350"/>
      <c r="VZG96" s="350"/>
      <c r="VZH96" s="350"/>
      <c r="VZI96" s="350"/>
      <c r="VZJ96" s="350"/>
      <c r="VZK96" s="350"/>
      <c r="VZL96" s="350"/>
      <c r="VZM96" s="350"/>
      <c r="VZN96" s="350"/>
      <c r="VZO96" s="350"/>
      <c r="VZP96" s="350"/>
      <c r="VZQ96" s="350"/>
      <c r="VZR96" s="350"/>
      <c r="VZS96" s="350"/>
      <c r="VZT96" s="350"/>
      <c r="VZU96" s="350"/>
      <c r="VZV96" s="350"/>
      <c r="VZW96" s="350"/>
      <c r="VZX96" s="350"/>
      <c r="VZY96" s="350"/>
      <c r="VZZ96" s="350"/>
      <c r="WAA96" s="350"/>
      <c r="WAB96" s="350"/>
      <c r="WAC96" s="350"/>
      <c r="WAD96" s="350"/>
      <c r="WAE96" s="350"/>
      <c r="WAF96" s="350"/>
      <c r="WAG96" s="350"/>
      <c r="WAH96" s="350"/>
      <c r="WAI96" s="350"/>
      <c r="WAJ96" s="350"/>
      <c r="WAK96" s="350"/>
      <c r="WAL96" s="350"/>
      <c r="WAM96" s="350"/>
      <c r="WAN96" s="350"/>
      <c r="WAO96" s="350"/>
      <c r="WAP96" s="350"/>
      <c r="WAQ96" s="350"/>
      <c r="WAR96" s="350"/>
      <c r="WAS96" s="350"/>
      <c r="WAT96" s="350"/>
      <c r="WAU96" s="350"/>
      <c r="WAV96" s="350"/>
      <c r="WAW96" s="350"/>
      <c r="WAX96" s="350"/>
      <c r="WAY96" s="350"/>
      <c r="WAZ96" s="350"/>
      <c r="WBA96" s="350"/>
      <c r="WBB96" s="350"/>
      <c r="WBC96" s="350"/>
      <c r="WBD96" s="350"/>
      <c r="WBE96" s="350"/>
      <c r="WBF96" s="350"/>
      <c r="WBG96" s="350"/>
      <c r="WBH96" s="350"/>
      <c r="WBI96" s="350"/>
      <c r="WBJ96" s="350"/>
      <c r="WBK96" s="350"/>
      <c r="WBL96" s="350"/>
      <c r="WBM96" s="350"/>
      <c r="WBN96" s="350"/>
      <c r="WBO96" s="350"/>
      <c r="WBP96" s="350"/>
      <c r="WBQ96" s="350"/>
      <c r="WBR96" s="350"/>
      <c r="WBS96" s="350"/>
      <c r="WBT96" s="350"/>
      <c r="WBU96" s="350"/>
      <c r="WBV96" s="350"/>
      <c r="WBW96" s="350"/>
      <c r="WBX96" s="350"/>
      <c r="WBY96" s="350"/>
      <c r="WBZ96" s="350"/>
      <c r="WCA96" s="350"/>
      <c r="WCB96" s="350"/>
      <c r="WCC96" s="350"/>
      <c r="WCD96" s="350"/>
      <c r="WCE96" s="350"/>
      <c r="WCF96" s="350"/>
      <c r="WCG96" s="350"/>
      <c r="WCH96" s="350"/>
      <c r="WCI96" s="350"/>
      <c r="WCJ96" s="350"/>
      <c r="WCK96" s="350"/>
      <c r="WCL96" s="350"/>
      <c r="WCM96" s="350"/>
      <c r="WCN96" s="350"/>
      <c r="WCO96" s="350"/>
      <c r="WCP96" s="350"/>
      <c r="WCQ96" s="350"/>
      <c r="WCR96" s="350"/>
      <c r="WCS96" s="350"/>
      <c r="WCT96" s="350"/>
      <c r="WCU96" s="350"/>
      <c r="WCV96" s="350"/>
      <c r="WCW96" s="350"/>
      <c r="WCX96" s="350"/>
      <c r="WCY96" s="350"/>
      <c r="WCZ96" s="350"/>
      <c r="WDA96" s="350"/>
      <c r="WDB96" s="350"/>
      <c r="WDC96" s="350"/>
      <c r="WDD96" s="350"/>
      <c r="WDE96" s="350"/>
      <c r="WDF96" s="350"/>
      <c r="WDG96" s="350"/>
      <c r="WDH96" s="350"/>
      <c r="WDI96" s="350"/>
      <c r="WDJ96" s="350"/>
      <c r="WDK96" s="350"/>
      <c r="WDL96" s="350"/>
      <c r="WDM96" s="350"/>
      <c r="WDN96" s="350"/>
      <c r="WDO96" s="350"/>
      <c r="WDP96" s="350"/>
      <c r="WDQ96" s="350"/>
      <c r="WDR96" s="350"/>
      <c r="WDS96" s="350"/>
      <c r="WDT96" s="350"/>
      <c r="WDU96" s="350"/>
      <c r="WDV96" s="350"/>
      <c r="WDW96" s="350"/>
      <c r="WDX96" s="350"/>
      <c r="WDY96" s="350"/>
      <c r="WDZ96" s="350"/>
      <c r="WEA96" s="350"/>
      <c r="WEB96" s="350"/>
      <c r="WEC96" s="350"/>
      <c r="WED96" s="350"/>
      <c r="WEE96" s="350"/>
      <c r="WEF96" s="350"/>
      <c r="WEG96" s="350"/>
      <c r="WEH96" s="350"/>
      <c r="WEI96" s="350"/>
      <c r="WEJ96" s="350"/>
      <c r="WEK96" s="350"/>
      <c r="WEL96" s="350"/>
      <c r="WEM96" s="350"/>
      <c r="WEN96" s="350"/>
      <c r="WEO96" s="350"/>
      <c r="WEP96" s="350"/>
      <c r="WEQ96" s="350"/>
      <c r="WER96" s="350"/>
      <c r="WES96" s="350"/>
      <c r="WET96" s="350"/>
      <c r="WEU96" s="350"/>
      <c r="WEV96" s="350"/>
      <c r="WEW96" s="350"/>
      <c r="WEX96" s="350"/>
      <c r="WEY96" s="350"/>
      <c r="WEZ96" s="350"/>
      <c r="WFA96" s="350"/>
      <c r="WFB96" s="350"/>
      <c r="WFC96" s="350"/>
      <c r="WFD96" s="350"/>
      <c r="WFE96" s="350"/>
      <c r="WFF96" s="350"/>
      <c r="WFG96" s="350"/>
      <c r="WFH96" s="350"/>
      <c r="WFI96" s="350"/>
      <c r="WFJ96" s="350"/>
      <c r="WFK96" s="350"/>
      <c r="WFL96" s="350"/>
      <c r="WFM96" s="350"/>
      <c r="WFN96" s="350"/>
      <c r="WFO96" s="350"/>
      <c r="WFP96" s="350"/>
      <c r="WFQ96" s="350"/>
      <c r="WFR96" s="350"/>
      <c r="WFS96" s="350"/>
      <c r="WFT96" s="350"/>
      <c r="WFU96" s="350"/>
      <c r="WFV96" s="350"/>
      <c r="WFW96" s="350"/>
      <c r="WFX96" s="350"/>
      <c r="WFY96" s="350"/>
      <c r="WFZ96" s="350"/>
      <c r="WGA96" s="350"/>
      <c r="WGB96" s="350"/>
      <c r="WGC96" s="350"/>
      <c r="WGD96" s="350"/>
      <c r="WGE96" s="350"/>
      <c r="WGF96" s="350"/>
      <c r="WGG96" s="350"/>
      <c r="WGH96" s="350"/>
      <c r="WGI96" s="350"/>
      <c r="WGJ96" s="350"/>
      <c r="WGK96" s="350"/>
      <c r="WGL96" s="350"/>
      <c r="WGM96" s="350"/>
      <c r="WGN96" s="350"/>
      <c r="WGO96" s="350"/>
      <c r="WGP96" s="350"/>
      <c r="WGQ96" s="350"/>
      <c r="WGR96" s="350"/>
      <c r="WGS96" s="350"/>
      <c r="WGT96" s="350"/>
      <c r="WGU96" s="350"/>
      <c r="WGV96" s="350"/>
      <c r="WGW96" s="350"/>
      <c r="WGX96" s="350"/>
      <c r="WGY96" s="350"/>
      <c r="WGZ96" s="350"/>
      <c r="WHA96" s="350"/>
      <c r="WHB96" s="350"/>
      <c r="WHC96" s="350"/>
      <c r="WHD96" s="350"/>
      <c r="WHE96" s="350"/>
      <c r="WHF96" s="350"/>
      <c r="WHG96" s="350"/>
      <c r="WHH96" s="350"/>
      <c r="WHI96" s="350"/>
      <c r="WHJ96" s="350"/>
      <c r="WHK96" s="350"/>
      <c r="WHL96" s="350"/>
      <c r="WHM96" s="350"/>
      <c r="WHN96" s="350"/>
      <c r="WHO96" s="350"/>
      <c r="WHP96" s="350"/>
      <c r="WHQ96" s="350"/>
      <c r="WHR96" s="350"/>
      <c r="WHS96" s="350"/>
      <c r="WHT96" s="350"/>
      <c r="WHU96" s="350"/>
      <c r="WHV96" s="350"/>
      <c r="WHW96" s="350"/>
      <c r="WHX96" s="350"/>
      <c r="WHY96" s="350"/>
      <c r="WHZ96" s="350"/>
      <c r="WIA96" s="350"/>
      <c r="WIB96" s="350"/>
      <c r="WIC96" s="350"/>
      <c r="WID96" s="350"/>
      <c r="WIE96" s="350"/>
      <c r="WIF96" s="350"/>
      <c r="WIG96" s="350"/>
      <c r="WIH96" s="350"/>
      <c r="WII96" s="350"/>
      <c r="WIJ96" s="350"/>
      <c r="WIK96" s="350"/>
      <c r="WIL96" s="350"/>
      <c r="WIM96" s="350"/>
      <c r="WIN96" s="350"/>
      <c r="WIO96" s="350"/>
      <c r="WIP96" s="350"/>
      <c r="WIQ96" s="350"/>
      <c r="WIR96" s="350"/>
      <c r="WIS96" s="350"/>
      <c r="WIT96" s="350"/>
      <c r="WIU96" s="350"/>
      <c r="WIV96" s="350"/>
      <c r="WIW96" s="350"/>
      <c r="WIX96" s="350"/>
      <c r="WIY96" s="350"/>
      <c r="WIZ96" s="350"/>
      <c r="WJA96" s="350"/>
      <c r="WJB96" s="350"/>
      <c r="WJC96" s="350"/>
      <c r="WJD96" s="350"/>
      <c r="WJE96" s="350"/>
      <c r="WJF96" s="350"/>
      <c r="WJG96" s="350"/>
      <c r="WJH96" s="350"/>
      <c r="WJI96" s="350"/>
      <c r="WJJ96" s="350"/>
      <c r="WJK96" s="350"/>
      <c r="WJL96" s="350"/>
      <c r="WJM96" s="350"/>
      <c r="WJN96" s="350"/>
      <c r="WJO96" s="350"/>
      <c r="WJP96" s="350"/>
      <c r="WJQ96" s="350"/>
      <c r="WJR96" s="350"/>
      <c r="WJS96" s="350"/>
      <c r="WJT96" s="350"/>
      <c r="WJU96" s="350"/>
      <c r="WJV96" s="350"/>
      <c r="WJW96" s="350"/>
      <c r="WJX96" s="350"/>
      <c r="WJY96" s="350"/>
      <c r="WJZ96" s="350"/>
      <c r="WKA96" s="350"/>
      <c r="WKB96" s="350"/>
      <c r="WKC96" s="350"/>
      <c r="WKD96" s="350"/>
      <c r="WKE96" s="350"/>
      <c r="WKF96" s="350"/>
      <c r="WKG96" s="350"/>
      <c r="WKH96" s="350"/>
      <c r="WKI96" s="350"/>
      <c r="WKJ96" s="350"/>
      <c r="WKK96" s="350"/>
      <c r="WKL96" s="350"/>
      <c r="WKM96" s="350"/>
      <c r="WKN96" s="350"/>
      <c r="WKO96" s="350"/>
      <c r="WKP96" s="350"/>
      <c r="WKQ96" s="350"/>
      <c r="WKR96" s="350"/>
      <c r="WKS96" s="350"/>
      <c r="WKT96" s="350"/>
      <c r="WKU96" s="350"/>
      <c r="WKV96" s="350"/>
      <c r="WKW96" s="350"/>
      <c r="WKX96" s="350"/>
      <c r="WKY96" s="350"/>
      <c r="WKZ96" s="350"/>
      <c r="WLA96" s="350"/>
      <c r="WLB96" s="350"/>
      <c r="WLC96" s="350"/>
      <c r="WLD96" s="350"/>
      <c r="WLE96" s="350"/>
      <c r="WLF96" s="350"/>
      <c r="WLG96" s="350"/>
      <c r="WLH96" s="350"/>
      <c r="WLI96" s="350"/>
      <c r="WLJ96" s="350"/>
      <c r="WLK96" s="350"/>
      <c r="WLL96" s="350"/>
      <c r="WLM96" s="350"/>
      <c r="WLN96" s="350"/>
      <c r="WLO96" s="350"/>
      <c r="WLP96" s="350"/>
      <c r="WLQ96" s="350"/>
      <c r="WLR96" s="350"/>
      <c r="WLS96" s="350"/>
      <c r="WLT96" s="350"/>
      <c r="WLU96" s="350"/>
      <c r="WLV96" s="350"/>
      <c r="WLW96" s="350"/>
      <c r="WLX96" s="350"/>
      <c r="WLY96" s="350"/>
      <c r="WLZ96" s="350"/>
      <c r="WMA96" s="350"/>
      <c r="WMB96" s="350"/>
      <c r="WMC96" s="350"/>
      <c r="WMD96" s="350"/>
      <c r="WME96" s="350"/>
      <c r="WMF96" s="350"/>
      <c r="WMG96" s="350"/>
      <c r="WMH96" s="350"/>
      <c r="WMI96" s="350"/>
      <c r="WMJ96" s="350"/>
      <c r="WMK96" s="350"/>
      <c r="WML96" s="350"/>
      <c r="WMM96" s="350"/>
      <c r="WMN96" s="350"/>
      <c r="WMO96" s="350"/>
      <c r="WMP96" s="350"/>
      <c r="WMQ96" s="350"/>
      <c r="WMR96" s="350"/>
      <c r="WMS96" s="350"/>
      <c r="WMT96" s="350"/>
      <c r="WMU96" s="350"/>
      <c r="WMV96" s="350"/>
      <c r="WMW96" s="350"/>
      <c r="WMX96" s="350"/>
      <c r="WMY96" s="350"/>
      <c r="WMZ96" s="350"/>
      <c r="WNA96" s="350"/>
      <c r="WNB96" s="350"/>
      <c r="WNC96" s="350"/>
      <c r="WND96" s="350"/>
      <c r="WNE96" s="350"/>
      <c r="WNF96" s="350"/>
      <c r="WNG96" s="350"/>
      <c r="WNH96" s="350"/>
      <c r="WNI96" s="350"/>
      <c r="WNJ96" s="350"/>
      <c r="WNK96" s="350"/>
      <c r="WNL96" s="350"/>
      <c r="WNM96" s="350"/>
      <c r="WNN96" s="350"/>
      <c r="WNO96" s="350"/>
      <c r="WNP96" s="350"/>
      <c r="WNQ96" s="350"/>
      <c r="WNR96" s="350"/>
      <c r="WNS96" s="350"/>
      <c r="WNT96" s="350"/>
      <c r="WNU96" s="350"/>
      <c r="WNV96" s="350"/>
      <c r="WNW96" s="350"/>
      <c r="WNX96" s="350"/>
      <c r="WNY96" s="350"/>
      <c r="WNZ96" s="350"/>
      <c r="WOA96" s="350"/>
      <c r="WOB96" s="350"/>
      <c r="WOC96" s="350"/>
      <c r="WOD96" s="350"/>
      <c r="WOE96" s="350"/>
      <c r="WOF96" s="350"/>
      <c r="WOG96" s="350"/>
      <c r="WOH96" s="350"/>
      <c r="WOI96" s="350"/>
      <c r="WOJ96" s="350"/>
      <c r="WOK96" s="350"/>
      <c r="WOL96" s="350"/>
      <c r="WOM96" s="350"/>
      <c r="WON96" s="350"/>
      <c r="WOO96" s="350"/>
      <c r="WOP96" s="350"/>
      <c r="WOQ96" s="350"/>
      <c r="WOR96" s="350"/>
      <c r="WOS96" s="350"/>
      <c r="WOT96" s="350"/>
      <c r="WOU96" s="350"/>
      <c r="WOV96" s="350"/>
      <c r="WOW96" s="350"/>
      <c r="WOX96" s="350"/>
      <c r="WOY96" s="350"/>
      <c r="WOZ96" s="350"/>
      <c r="WPA96" s="350"/>
      <c r="WPB96" s="350"/>
      <c r="WPC96" s="350"/>
      <c r="WPD96" s="350"/>
      <c r="WPE96" s="350"/>
      <c r="WPF96" s="350"/>
      <c r="WPG96" s="350"/>
      <c r="WPH96" s="350"/>
      <c r="WPI96" s="350"/>
      <c r="WPJ96" s="350"/>
      <c r="WPK96" s="350"/>
      <c r="WPL96" s="350"/>
      <c r="WPM96" s="350"/>
      <c r="WPN96" s="350"/>
      <c r="WPO96" s="350"/>
      <c r="WPP96" s="350"/>
      <c r="WPQ96" s="350"/>
      <c r="WPR96" s="350"/>
      <c r="WPS96" s="350"/>
      <c r="WPT96" s="350"/>
      <c r="WPU96" s="350"/>
      <c r="WPV96" s="350"/>
      <c r="WPW96" s="350"/>
      <c r="WPX96" s="350"/>
      <c r="WPY96" s="350"/>
      <c r="WPZ96" s="350"/>
      <c r="WQA96" s="350"/>
      <c r="WQB96" s="350"/>
      <c r="WQC96" s="350"/>
      <c r="WQD96" s="350"/>
      <c r="WQE96" s="350"/>
      <c r="WQF96" s="350"/>
      <c r="WQG96" s="350"/>
      <c r="WQH96" s="350"/>
      <c r="WQI96" s="350"/>
      <c r="WQJ96" s="350"/>
      <c r="WQK96" s="350"/>
      <c r="WQL96" s="350"/>
      <c r="WQM96" s="350"/>
      <c r="WQN96" s="350"/>
      <c r="WQO96" s="350"/>
      <c r="WQP96" s="350"/>
      <c r="WQQ96" s="350"/>
      <c r="WQR96" s="350"/>
      <c r="WQS96" s="350"/>
      <c r="WQT96" s="350"/>
      <c r="WQU96" s="350"/>
      <c r="WQV96" s="350"/>
      <c r="WQW96" s="350"/>
      <c r="WQX96" s="350"/>
      <c r="WQY96" s="350"/>
      <c r="WQZ96" s="350"/>
      <c r="WRA96" s="350"/>
      <c r="WRB96" s="350"/>
      <c r="WRC96" s="350"/>
      <c r="WRD96" s="350"/>
      <c r="WRE96" s="350"/>
      <c r="WRF96" s="350"/>
      <c r="WRG96" s="350"/>
      <c r="WRH96" s="350"/>
      <c r="WRI96" s="350"/>
      <c r="WRJ96" s="350"/>
      <c r="WRK96" s="350"/>
      <c r="WRL96" s="350"/>
      <c r="WRM96" s="350"/>
      <c r="WRN96" s="350"/>
      <c r="WRO96" s="350"/>
      <c r="WRP96" s="350"/>
      <c r="WRQ96" s="350"/>
      <c r="WRR96" s="350"/>
      <c r="WRS96" s="350"/>
      <c r="WRT96" s="350"/>
      <c r="WRU96" s="350"/>
      <c r="WRV96" s="350"/>
      <c r="WRW96" s="350"/>
      <c r="WRX96" s="350"/>
      <c r="WRY96" s="350"/>
      <c r="WRZ96" s="350"/>
      <c r="WSA96" s="350"/>
      <c r="WSB96" s="350"/>
      <c r="WSC96" s="350"/>
      <c r="WSD96" s="350"/>
      <c r="WSE96" s="350"/>
      <c r="WSF96" s="350"/>
      <c r="WSG96" s="350"/>
      <c r="WSH96" s="350"/>
      <c r="WSI96" s="350"/>
      <c r="WSJ96" s="350"/>
      <c r="WSK96" s="350"/>
      <c r="WSL96" s="350"/>
      <c r="WSM96" s="350"/>
      <c r="WSN96" s="350"/>
      <c r="WSO96" s="350"/>
      <c r="WSP96" s="350"/>
      <c r="WSQ96" s="350"/>
      <c r="WSR96" s="350"/>
      <c r="WSS96" s="350"/>
      <c r="WST96" s="350"/>
      <c r="WSU96" s="350"/>
      <c r="WSV96" s="350"/>
      <c r="WSW96" s="350"/>
      <c r="WSX96" s="350"/>
      <c r="WSY96" s="350"/>
      <c r="WSZ96" s="350"/>
      <c r="WTA96" s="350"/>
      <c r="WTB96" s="350"/>
      <c r="WTC96" s="350"/>
      <c r="WTD96" s="350"/>
      <c r="WTE96" s="350"/>
      <c r="WTF96" s="350"/>
      <c r="WTG96" s="350"/>
      <c r="WTH96" s="350"/>
      <c r="WTI96" s="350"/>
      <c r="WTJ96" s="350"/>
      <c r="WTK96" s="350"/>
      <c r="WTL96" s="350"/>
      <c r="WTM96" s="350"/>
      <c r="WTN96" s="350"/>
      <c r="WTO96" s="350"/>
      <c r="WTP96" s="350"/>
      <c r="WTQ96" s="350"/>
      <c r="WTR96" s="350"/>
      <c r="WTS96" s="350"/>
      <c r="WTT96" s="350"/>
      <c r="WTU96" s="350"/>
      <c r="WTV96" s="350"/>
      <c r="WTW96" s="350"/>
      <c r="WTX96" s="350"/>
      <c r="WTY96" s="350"/>
      <c r="WTZ96" s="350"/>
      <c r="WUA96" s="350"/>
      <c r="WUB96" s="350"/>
      <c r="WUC96" s="350"/>
      <c r="WUD96" s="350"/>
      <c r="WUE96" s="350"/>
      <c r="WUF96" s="350"/>
      <c r="WUG96" s="350"/>
      <c r="WUH96" s="350"/>
      <c r="WUI96" s="350"/>
      <c r="WUJ96" s="350"/>
      <c r="WUK96" s="350"/>
      <c r="WUL96" s="350"/>
      <c r="WUM96" s="350"/>
      <c r="WUN96" s="350"/>
      <c r="WUO96" s="350"/>
      <c r="WUP96" s="350"/>
      <c r="WUQ96" s="350"/>
      <c r="WUR96" s="350"/>
      <c r="WUS96" s="350"/>
      <c r="WUT96" s="350"/>
      <c r="WUU96" s="350"/>
      <c r="WUV96" s="350"/>
      <c r="WUW96" s="350"/>
      <c r="WUX96" s="350"/>
      <c r="WUY96" s="350"/>
      <c r="WUZ96" s="350"/>
      <c r="WVA96" s="350"/>
      <c r="WVB96" s="350"/>
      <c r="WVC96" s="350"/>
      <c r="WVD96" s="350"/>
      <c r="WVE96" s="350"/>
      <c r="WVF96" s="350"/>
      <c r="WVG96" s="350"/>
      <c r="WVH96" s="350"/>
      <c r="WVI96" s="350"/>
      <c r="WVJ96" s="350"/>
      <c r="WVK96" s="350"/>
      <c r="WVL96" s="350"/>
      <c r="WVM96" s="350"/>
      <c r="WVN96" s="350"/>
      <c r="WVO96" s="350"/>
      <c r="WVP96" s="350"/>
      <c r="WVQ96" s="350"/>
      <c r="WVR96" s="350"/>
      <c r="WVS96" s="350"/>
      <c r="WVT96" s="350"/>
      <c r="WVU96" s="350"/>
      <c r="WVV96" s="350"/>
      <c r="WVW96" s="350"/>
      <c r="WVX96" s="350"/>
      <c r="WVY96" s="350"/>
      <c r="WVZ96" s="350"/>
      <c r="WWA96" s="350"/>
      <c r="WWB96" s="350"/>
      <c r="WWC96" s="350"/>
      <c r="WWD96" s="350"/>
      <c r="WWE96" s="350"/>
      <c r="WWF96" s="350"/>
      <c r="WWG96" s="350"/>
      <c r="WWH96" s="350"/>
      <c r="WWI96" s="350"/>
      <c r="WWJ96" s="350"/>
      <c r="WWK96" s="350"/>
      <c r="WWL96" s="350"/>
      <c r="WWM96" s="350"/>
      <c r="WWN96" s="350"/>
      <c r="WWO96" s="350"/>
      <c r="WWP96" s="350"/>
      <c r="WWQ96" s="350"/>
      <c r="WWR96" s="350"/>
      <c r="WWS96" s="350"/>
      <c r="WWT96" s="350"/>
      <c r="WWU96" s="350"/>
      <c r="WWV96" s="350"/>
      <c r="WWW96" s="350"/>
      <c r="WWX96" s="350"/>
      <c r="WWY96" s="350"/>
      <c r="WWZ96" s="350"/>
      <c r="WXA96" s="350"/>
      <c r="WXB96" s="350"/>
      <c r="WXC96" s="350"/>
      <c r="WXD96" s="350"/>
      <c r="WXE96" s="350"/>
      <c r="WXF96" s="350"/>
      <c r="WXG96" s="350"/>
      <c r="WXH96" s="350"/>
      <c r="WXI96" s="350"/>
      <c r="WXJ96" s="350"/>
      <c r="WXK96" s="350"/>
      <c r="WXL96" s="350"/>
      <c r="WXM96" s="350"/>
      <c r="WXN96" s="350"/>
      <c r="WXO96" s="350"/>
      <c r="WXP96" s="350"/>
      <c r="WXQ96" s="350"/>
      <c r="WXR96" s="350"/>
      <c r="WXS96" s="350"/>
      <c r="WXT96" s="350"/>
      <c r="WXU96" s="350"/>
      <c r="WXV96" s="350"/>
      <c r="WXW96" s="350"/>
      <c r="WXX96" s="350"/>
      <c r="WXY96" s="350"/>
      <c r="WXZ96" s="350"/>
      <c r="WYA96" s="350"/>
      <c r="WYB96" s="350"/>
      <c r="WYC96" s="350"/>
      <c r="WYD96" s="350"/>
      <c r="WYE96" s="350"/>
      <c r="WYF96" s="350"/>
      <c r="WYG96" s="350"/>
      <c r="WYH96" s="350"/>
      <c r="WYI96" s="350"/>
      <c r="WYJ96" s="350"/>
      <c r="WYK96" s="350"/>
      <c r="WYL96" s="350"/>
      <c r="WYM96" s="350"/>
      <c r="WYN96" s="350"/>
      <c r="WYO96" s="350"/>
      <c r="WYP96" s="350"/>
      <c r="WYQ96" s="350"/>
      <c r="WYR96" s="350"/>
      <c r="WYS96" s="350"/>
      <c r="WYT96" s="350"/>
      <c r="WYU96" s="350"/>
      <c r="WYV96" s="350"/>
      <c r="WYW96" s="350"/>
      <c r="WYX96" s="350"/>
      <c r="WYY96" s="350"/>
      <c r="WYZ96" s="350"/>
      <c r="WZA96" s="350"/>
      <c r="WZB96" s="350"/>
      <c r="WZC96" s="350"/>
      <c r="WZD96" s="350"/>
      <c r="WZE96" s="350"/>
      <c r="WZF96" s="350"/>
      <c r="WZG96" s="350"/>
      <c r="WZH96" s="350"/>
      <c r="WZI96" s="350"/>
      <c r="WZJ96" s="350"/>
      <c r="WZK96" s="350"/>
      <c r="WZL96" s="350"/>
      <c r="WZM96" s="350"/>
      <c r="WZN96" s="350"/>
      <c r="WZO96" s="350"/>
      <c r="WZP96" s="350"/>
      <c r="WZQ96" s="350"/>
      <c r="WZR96" s="350"/>
      <c r="WZS96" s="350"/>
      <c r="WZT96" s="350"/>
      <c r="WZU96" s="350"/>
      <c r="WZV96" s="350"/>
      <c r="WZW96" s="350"/>
      <c r="WZX96" s="350"/>
      <c r="WZY96" s="350"/>
      <c r="WZZ96" s="350"/>
      <c r="XAA96" s="350"/>
      <c r="XAB96" s="350"/>
      <c r="XAC96" s="350"/>
      <c r="XAD96" s="350"/>
      <c r="XAE96" s="350"/>
      <c r="XAF96" s="350"/>
      <c r="XAG96" s="350"/>
      <c r="XAH96" s="350"/>
      <c r="XAI96" s="350"/>
      <c r="XAJ96" s="350"/>
      <c r="XAK96" s="350"/>
      <c r="XAL96" s="350"/>
      <c r="XAM96" s="350"/>
      <c r="XAN96" s="350"/>
      <c r="XAO96" s="350"/>
      <c r="XAP96" s="350"/>
      <c r="XAQ96" s="350"/>
      <c r="XAR96" s="350"/>
      <c r="XAS96" s="350"/>
      <c r="XAT96" s="350"/>
      <c r="XAU96" s="350"/>
      <c r="XAV96" s="350"/>
      <c r="XAW96" s="350"/>
      <c r="XAX96" s="350"/>
      <c r="XAY96" s="350"/>
      <c r="XAZ96" s="350"/>
      <c r="XBA96" s="350"/>
      <c r="XBB96" s="350"/>
      <c r="XBC96" s="350"/>
      <c r="XBD96" s="350"/>
      <c r="XBE96" s="350"/>
      <c r="XBF96" s="350"/>
      <c r="XBG96" s="350"/>
      <c r="XBH96" s="350"/>
      <c r="XBI96" s="350"/>
      <c r="XBJ96" s="350"/>
      <c r="XBK96" s="350"/>
      <c r="XBL96" s="350"/>
      <c r="XBM96" s="350"/>
      <c r="XBN96" s="350"/>
      <c r="XBO96" s="350"/>
      <c r="XBP96" s="350"/>
      <c r="XBQ96" s="350"/>
      <c r="XBR96" s="350"/>
      <c r="XBS96" s="350"/>
      <c r="XBT96" s="350"/>
      <c r="XBU96" s="350"/>
      <c r="XBV96" s="350"/>
      <c r="XBW96" s="350"/>
      <c r="XBX96" s="350"/>
      <c r="XBY96" s="350"/>
      <c r="XBZ96" s="350"/>
      <c r="XCA96" s="350"/>
      <c r="XCB96" s="350"/>
      <c r="XCC96" s="350"/>
      <c r="XCD96" s="350"/>
      <c r="XCE96" s="350"/>
      <c r="XCF96" s="350"/>
      <c r="XCG96" s="350"/>
      <c r="XCH96" s="350"/>
      <c r="XCI96" s="350"/>
      <c r="XCJ96" s="350"/>
      <c r="XCK96" s="350"/>
      <c r="XCL96" s="350"/>
      <c r="XCM96" s="350"/>
      <c r="XCN96" s="350"/>
      <c r="XCO96" s="350"/>
      <c r="XCP96" s="350"/>
      <c r="XCQ96" s="350"/>
      <c r="XCR96" s="350"/>
      <c r="XCS96" s="350"/>
      <c r="XCT96" s="350"/>
      <c r="XCU96" s="350"/>
      <c r="XCV96" s="350"/>
      <c r="XCW96" s="350"/>
      <c r="XCX96" s="350"/>
      <c r="XCY96" s="350"/>
      <c r="XCZ96" s="350"/>
      <c r="XDA96" s="350"/>
      <c r="XDB96" s="350"/>
      <c r="XDC96" s="350"/>
      <c r="XDD96" s="350"/>
      <c r="XDE96" s="350"/>
      <c r="XDF96" s="350"/>
      <c r="XDG96" s="350"/>
      <c r="XDH96" s="350"/>
      <c r="XDI96" s="350"/>
      <c r="XDJ96" s="350"/>
      <c r="XDK96" s="350"/>
      <c r="XDL96" s="350"/>
      <c r="XDM96" s="350"/>
      <c r="XDN96" s="350"/>
      <c r="XDO96" s="350"/>
      <c r="XDP96" s="350"/>
      <c r="XDQ96" s="350"/>
      <c r="XDR96" s="350"/>
      <c r="XDS96" s="350"/>
      <c r="XDT96" s="350"/>
      <c r="XDU96" s="350"/>
      <c r="XDV96" s="350"/>
      <c r="XDW96" s="350"/>
      <c r="XDX96" s="350"/>
      <c r="XDY96" s="350"/>
      <c r="XDZ96" s="350"/>
      <c r="XEA96" s="350"/>
      <c r="XEB96" s="350"/>
      <c r="XEC96" s="350"/>
      <c r="XED96" s="350"/>
      <c r="XEE96" s="350"/>
      <c r="XEF96" s="350"/>
      <c r="XEG96" s="350"/>
      <c r="XEH96" s="350"/>
      <c r="XEI96" s="350"/>
      <c r="XEJ96" s="350"/>
      <c r="XEK96" s="350"/>
      <c r="XEL96" s="350"/>
      <c r="XEM96" s="350"/>
      <c r="XEN96" s="350"/>
      <c r="XEO96" s="350"/>
      <c r="XEP96" s="350"/>
      <c r="XEQ96" s="350"/>
      <c r="XER96" s="350"/>
      <c r="XES96" s="350"/>
      <c r="XET96" s="350"/>
      <c r="XEU96" s="350"/>
      <c r="XEV96" s="350"/>
      <c r="XEW96" s="350"/>
      <c r="XEX96" s="350"/>
      <c r="XEY96" s="350"/>
      <c r="XEZ96" s="350"/>
      <c r="XFA96" s="350"/>
      <c r="XFB96" s="350"/>
      <c r="XFC96" s="350"/>
      <c r="XFD96" s="350"/>
    </row>
    <row r="97" spans="1:11" s="233" customFormat="1">
      <c r="A97" s="219">
        <v>92</v>
      </c>
      <c r="B97" s="235"/>
      <c r="C97" s="220"/>
      <c r="D97" s="221"/>
      <c r="E97" s="222"/>
      <c r="F97" s="223"/>
      <c r="G97" s="224"/>
      <c r="H97" s="224"/>
      <c r="I97" s="59"/>
      <c r="J97" s="375"/>
    </row>
    <row r="98" spans="1:11" s="233" customFormat="1">
      <c r="A98" s="219">
        <v>93</v>
      </c>
      <c r="B98" s="235"/>
      <c r="C98" s="220"/>
      <c r="D98" s="221"/>
      <c r="E98" s="222"/>
      <c r="F98" s="223"/>
      <c r="G98" s="224"/>
      <c r="H98" s="224"/>
      <c r="I98" s="375"/>
      <c r="J98" s="375"/>
    </row>
    <row r="99" spans="1:11" s="233" customFormat="1">
      <c r="A99" s="219">
        <v>94</v>
      </c>
      <c r="B99" s="235"/>
      <c r="C99" s="220"/>
      <c r="D99" s="221"/>
      <c r="E99" s="222"/>
      <c r="F99" s="223"/>
      <c r="G99" s="224"/>
      <c r="H99" s="224"/>
      <c r="I99" s="375"/>
      <c r="J99" s="375"/>
    </row>
    <row r="100" spans="1:11" s="233" customFormat="1">
      <c r="A100" s="219">
        <v>95</v>
      </c>
      <c r="B100" s="235"/>
      <c r="C100" s="220"/>
      <c r="D100" s="221"/>
      <c r="E100" s="222"/>
      <c r="F100" s="223"/>
      <c r="G100" s="224"/>
      <c r="H100" s="224"/>
      <c r="I100" s="375"/>
      <c r="J100" s="375"/>
    </row>
    <row r="101" spans="1:11" s="233" customFormat="1">
      <c r="A101" s="219">
        <v>96</v>
      </c>
      <c r="B101" s="235"/>
      <c r="C101" s="220"/>
      <c r="D101" s="221"/>
      <c r="E101" s="222"/>
      <c r="F101" s="223"/>
      <c r="G101" s="224"/>
      <c r="H101" s="224"/>
      <c r="I101" s="375"/>
      <c r="J101" s="375"/>
    </row>
    <row r="102" spans="1:11" s="233" customFormat="1">
      <c r="A102" s="219">
        <v>97</v>
      </c>
      <c r="B102" s="235"/>
      <c r="C102" s="220"/>
      <c r="D102" s="221"/>
      <c r="E102" s="222"/>
      <c r="F102" s="223"/>
      <c r="G102" s="224"/>
      <c r="H102" s="224"/>
      <c r="I102" s="375"/>
      <c r="J102" s="375"/>
    </row>
    <row r="103" spans="1:11" s="233" customFormat="1">
      <c r="A103" s="219">
        <v>98</v>
      </c>
      <c r="B103" s="235"/>
      <c r="C103" s="220"/>
      <c r="D103" s="221"/>
      <c r="E103" s="222"/>
      <c r="F103" s="223"/>
      <c r="G103" s="224"/>
      <c r="H103" s="224"/>
      <c r="I103" s="59"/>
      <c r="J103" s="59"/>
    </row>
    <row r="104" spans="1:11" s="233" customFormat="1">
      <c r="A104" s="219">
        <v>99</v>
      </c>
      <c r="B104" s="235"/>
      <c r="C104" s="220"/>
      <c r="D104" s="221"/>
      <c r="E104" s="222"/>
      <c r="F104" s="223"/>
      <c r="G104" s="224"/>
      <c r="H104" s="224"/>
      <c r="I104" s="375"/>
      <c r="J104" s="375"/>
    </row>
    <row r="105" spans="1:11" s="233" customFormat="1">
      <c r="A105" s="219">
        <v>100</v>
      </c>
      <c r="B105" s="235"/>
      <c r="C105" s="220"/>
      <c r="D105" s="221"/>
      <c r="E105" s="222"/>
      <c r="F105" s="223"/>
      <c r="G105" s="224"/>
      <c r="H105" s="224"/>
      <c r="I105" s="375"/>
      <c r="J105" s="375"/>
      <c r="K105" s="234"/>
    </row>
    <row r="106" spans="1:11">
      <c r="A106" s="219">
        <v>101</v>
      </c>
      <c r="B106" s="235"/>
      <c r="C106" s="220"/>
      <c r="D106" s="221"/>
      <c r="E106" s="222"/>
      <c r="F106" s="223"/>
      <c r="G106" s="224"/>
      <c r="H106" s="224"/>
      <c r="I106" s="375"/>
      <c r="J106" s="375"/>
    </row>
    <row r="107" spans="1:11">
      <c r="A107" s="219">
        <v>102</v>
      </c>
      <c r="B107" s="235"/>
      <c r="C107" s="220"/>
      <c r="D107" s="221"/>
      <c r="E107" s="222"/>
      <c r="F107" s="223"/>
      <c r="G107" s="224"/>
      <c r="H107" s="224"/>
      <c r="I107" s="375"/>
      <c r="J107" s="375"/>
    </row>
    <row r="108" spans="1:11">
      <c r="A108" s="219">
        <v>103</v>
      </c>
      <c r="B108" s="235"/>
      <c r="C108" s="220"/>
      <c r="D108" s="221"/>
      <c r="E108" s="222"/>
      <c r="F108" s="223"/>
      <c r="G108" s="224"/>
      <c r="H108" s="224"/>
      <c r="I108" s="375"/>
      <c r="J108" s="375"/>
    </row>
    <row r="109" spans="1:11">
      <c r="A109" s="219">
        <v>104</v>
      </c>
      <c r="B109" s="235"/>
      <c r="C109" s="220"/>
      <c r="D109" s="221"/>
      <c r="E109" s="222"/>
      <c r="F109" s="223"/>
      <c r="G109" s="224"/>
      <c r="H109" s="224"/>
      <c r="I109" s="375"/>
      <c r="J109" s="375"/>
    </row>
    <row r="110" spans="1:11">
      <c r="A110" s="219">
        <v>105</v>
      </c>
      <c r="B110" s="235"/>
      <c r="C110" s="220"/>
      <c r="D110" s="221"/>
      <c r="E110" s="222"/>
      <c r="F110" s="223"/>
      <c r="G110" s="224"/>
      <c r="H110" s="224"/>
      <c r="I110" s="375"/>
      <c r="J110" s="375"/>
    </row>
    <row r="111" spans="1:11">
      <c r="A111" s="219">
        <v>106</v>
      </c>
      <c r="B111" s="235"/>
      <c r="C111" s="220"/>
      <c r="D111" s="221"/>
      <c r="E111" s="222"/>
      <c r="F111" s="223"/>
      <c r="G111" s="224"/>
      <c r="H111" s="224"/>
      <c r="I111" s="375"/>
      <c r="J111" s="375"/>
    </row>
    <row r="112" spans="1:11">
      <c r="A112" s="219">
        <v>107</v>
      </c>
      <c r="B112" s="235"/>
      <c r="C112" s="220"/>
      <c r="D112" s="221"/>
      <c r="E112" s="222"/>
      <c r="F112" s="223"/>
      <c r="G112" s="224"/>
      <c r="H112" s="224"/>
      <c r="I112" s="375"/>
      <c r="J112" s="375"/>
    </row>
    <row r="113" spans="1:10">
      <c r="A113" s="219">
        <v>108</v>
      </c>
      <c r="B113" s="235"/>
      <c r="C113" s="220"/>
      <c r="D113" s="221"/>
      <c r="E113" s="222"/>
      <c r="F113" s="223"/>
      <c r="G113" s="224"/>
      <c r="H113" s="224"/>
      <c r="I113" s="375"/>
      <c r="J113" s="375"/>
    </row>
    <row r="114" spans="1:10">
      <c r="A114" s="219">
        <v>109</v>
      </c>
      <c r="B114" s="235"/>
      <c r="C114" s="220"/>
      <c r="D114" s="221"/>
      <c r="E114" s="222"/>
      <c r="F114" s="223"/>
      <c r="G114" s="224"/>
      <c r="H114" s="224"/>
      <c r="I114" s="375"/>
      <c r="J114" s="375"/>
    </row>
    <row r="115" spans="1:10">
      <c r="A115" s="219">
        <v>110</v>
      </c>
      <c r="B115" s="235"/>
      <c r="C115" s="220"/>
      <c r="D115" s="221"/>
      <c r="E115" s="222"/>
      <c r="F115" s="223"/>
      <c r="G115" s="224"/>
      <c r="H115" s="224"/>
      <c r="I115" s="59"/>
      <c r="J115" s="375"/>
    </row>
    <row r="116" spans="1:10">
      <c r="A116" s="219">
        <v>111</v>
      </c>
      <c r="B116" s="235"/>
      <c r="C116" s="220"/>
      <c r="D116" s="221"/>
      <c r="E116" s="222"/>
      <c r="F116" s="223"/>
      <c r="G116" s="224"/>
      <c r="H116" s="224"/>
      <c r="I116" s="375"/>
      <c r="J116" s="375"/>
    </row>
    <row r="117" spans="1:10">
      <c r="A117" s="219">
        <v>112</v>
      </c>
      <c r="B117" s="235"/>
      <c r="C117" s="220"/>
      <c r="D117" s="221"/>
      <c r="E117" s="222"/>
      <c r="F117" s="223"/>
      <c r="G117" s="224"/>
      <c r="H117" s="224"/>
      <c r="I117" s="59"/>
      <c r="J117" s="375"/>
    </row>
    <row r="118" spans="1:10">
      <c r="A118" s="219">
        <v>113</v>
      </c>
      <c r="B118" s="235"/>
      <c r="C118" s="220"/>
      <c r="D118" s="221"/>
      <c r="E118" s="222"/>
      <c r="F118" s="223"/>
      <c r="G118" s="224"/>
      <c r="H118" s="224"/>
      <c r="I118" s="375"/>
      <c r="J118" s="375"/>
    </row>
    <row r="119" spans="1:10">
      <c r="A119" s="219">
        <v>114</v>
      </c>
      <c r="B119" s="235"/>
      <c r="C119" s="225"/>
      <c r="D119" s="226"/>
      <c r="E119" s="227"/>
      <c r="F119" s="228"/>
      <c r="G119" s="224"/>
      <c r="H119" s="229"/>
      <c r="I119" s="59"/>
      <c r="J119" s="375"/>
    </row>
    <row r="120" spans="1:10">
      <c r="A120" s="219">
        <v>115</v>
      </c>
      <c r="B120" s="235"/>
      <c r="C120" s="220"/>
      <c r="D120" s="221"/>
      <c r="E120" s="222"/>
      <c r="F120" s="223"/>
      <c r="G120" s="224"/>
      <c r="H120" s="224"/>
      <c r="I120" s="59"/>
      <c r="J120" s="375"/>
    </row>
    <row r="121" spans="1:10">
      <c r="A121" s="219">
        <v>116</v>
      </c>
      <c r="B121" s="235"/>
      <c r="C121" s="220"/>
      <c r="D121" s="221"/>
      <c r="E121" s="222"/>
      <c r="F121" s="223"/>
      <c r="G121" s="224"/>
      <c r="H121" s="224"/>
      <c r="I121" s="375"/>
      <c r="J121" s="375"/>
    </row>
    <row r="122" spans="1:10">
      <c r="A122" s="219">
        <v>117</v>
      </c>
      <c r="B122" s="235"/>
      <c r="C122" s="220"/>
      <c r="D122" s="221"/>
      <c r="E122" s="222"/>
      <c r="F122" s="223"/>
      <c r="G122" s="224"/>
      <c r="H122" s="224"/>
      <c r="I122" s="375"/>
      <c r="J122" s="375"/>
    </row>
    <row r="123" spans="1:10">
      <c r="A123" s="219">
        <v>118</v>
      </c>
      <c r="B123" s="235"/>
      <c r="C123" s="220"/>
      <c r="D123" s="221"/>
      <c r="E123" s="222"/>
      <c r="F123" s="223"/>
      <c r="G123" s="224"/>
      <c r="H123" s="224"/>
      <c r="I123" s="375"/>
      <c r="J123" s="375"/>
    </row>
    <row r="124" spans="1:10">
      <c r="A124" s="219">
        <v>119</v>
      </c>
      <c r="B124" s="235"/>
      <c r="C124" s="220"/>
      <c r="D124" s="221"/>
      <c r="E124" s="222"/>
      <c r="F124" s="223"/>
      <c r="G124" s="224"/>
      <c r="H124" s="224"/>
      <c r="I124" s="375"/>
      <c r="J124" s="375"/>
    </row>
    <row r="125" spans="1:10">
      <c r="A125" s="219">
        <v>120</v>
      </c>
      <c r="B125" s="235"/>
      <c r="C125" s="220"/>
      <c r="D125" s="221"/>
      <c r="E125" s="222"/>
      <c r="F125" s="223"/>
      <c r="G125" s="224"/>
      <c r="H125" s="224"/>
      <c r="I125" s="375"/>
      <c r="J125" s="375"/>
    </row>
    <row r="126" spans="1:10">
      <c r="A126" s="219">
        <v>121</v>
      </c>
      <c r="B126" s="235"/>
      <c r="C126" s="220"/>
      <c r="D126" s="221"/>
      <c r="E126" s="222"/>
      <c r="F126" s="223"/>
      <c r="G126" s="224"/>
      <c r="H126" s="224"/>
      <c r="I126" s="59"/>
      <c r="J126" s="375"/>
    </row>
    <row r="127" spans="1:10">
      <c r="A127" s="219">
        <v>122</v>
      </c>
      <c r="B127" s="235"/>
      <c r="C127" s="220"/>
      <c r="D127" s="221"/>
      <c r="E127" s="222"/>
      <c r="F127" s="223"/>
      <c r="G127" s="224"/>
      <c r="H127" s="224"/>
      <c r="I127" s="375"/>
      <c r="J127" s="375"/>
    </row>
    <row r="128" spans="1:10">
      <c r="A128" s="219">
        <v>123</v>
      </c>
      <c r="B128" s="235"/>
      <c r="C128" s="220"/>
      <c r="D128" s="221"/>
      <c r="E128" s="222"/>
      <c r="F128" s="223"/>
      <c r="G128" s="224"/>
      <c r="H128" s="224"/>
      <c r="I128" s="59"/>
      <c r="J128" s="375"/>
    </row>
    <row r="129" spans="1:10">
      <c r="A129" s="219">
        <v>124</v>
      </c>
      <c r="B129" s="235"/>
      <c r="C129" s="220"/>
      <c r="D129" s="221"/>
      <c r="E129" s="222"/>
      <c r="F129" s="223"/>
      <c r="G129" s="224"/>
      <c r="H129" s="224"/>
      <c r="I129" s="59"/>
      <c r="J129" s="59"/>
    </row>
    <row r="130" spans="1:10">
      <c r="A130" s="219">
        <v>125</v>
      </c>
      <c r="B130" s="235"/>
      <c r="C130" s="220"/>
      <c r="D130" s="221"/>
      <c r="E130" s="222"/>
      <c r="F130" s="223"/>
      <c r="G130" s="224"/>
      <c r="H130" s="224"/>
      <c r="I130" s="375"/>
      <c r="J130" s="375"/>
    </row>
    <row r="131" spans="1:10">
      <c r="A131" s="219">
        <v>126</v>
      </c>
      <c r="B131" s="235"/>
      <c r="C131" s="220"/>
      <c r="D131" s="221"/>
      <c r="E131" s="222"/>
      <c r="F131" s="223"/>
      <c r="G131" s="224"/>
      <c r="H131" s="224"/>
      <c r="I131" s="375"/>
      <c r="J131" s="375"/>
    </row>
    <row r="132" spans="1:10">
      <c r="A132" s="219">
        <v>127</v>
      </c>
      <c r="B132" s="235"/>
      <c r="C132" s="220"/>
      <c r="D132" s="221"/>
      <c r="E132" s="222"/>
      <c r="F132" s="223"/>
      <c r="G132" s="224"/>
      <c r="H132" s="224"/>
      <c r="I132" s="375"/>
      <c r="J132" s="375"/>
    </row>
    <row r="133" spans="1:10">
      <c r="A133" s="219">
        <v>128</v>
      </c>
      <c r="B133" s="235"/>
      <c r="C133" s="220"/>
      <c r="D133" s="221"/>
      <c r="E133" s="222"/>
      <c r="F133" s="223"/>
      <c r="G133" s="224"/>
      <c r="H133" s="224"/>
      <c r="I133" s="375"/>
      <c r="J133" s="375"/>
    </row>
    <row r="134" spans="1:10">
      <c r="A134" s="219">
        <v>129</v>
      </c>
      <c r="B134" s="235"/>
      <c r="C134" s="220"/>
      <c r="D134" s="221"/>
      <c r="E134" s="222"/>
      <c r="F134" s="223"/>
      <c r="G134" s="224"/>
      <c r="H134" s="224"/>
      <c r="I134" s="375"/>
      <c r="J134" s="375"/>
    </row>
    <row r="135" spans="1:10">
      <c r="A135" s="219">
        <v>130</v>
      </c>
      <c r="B135" s="235"/>
      <c r="C135" s="220"/>
      <c r="D135" s="221"/>
      <c r="E135" s="222"/>
      <c r="F135" s="223"/>
      <c r="G135" s="224"/>
      <c r="H135" s="224"/>
      <c r="I135" s="375"/>
      <c r="J135" s="375"/>
    </row>
    <row r="136" spans="1:10">
      <c r="A136" s="219">
        <v>131</v>
      </c>
      <c r="B136" s="235"/>
      <c r="C136" s="220"/>
      <c r="D136" s="221"/>
      <c r="E136" s="222"/>
      <c r="F136" s="223"/>
      <c r="G136" s="224"/>
      <c r="H136" s="224"/>
      <c r="I136" s="375"/>
      <c r="J136" s="375"/>
    </row>
    <row r="137" spans="1:10">
      <c r="A137" s="219">
        <v>132</v>
      </c>
      <c r="B137" s="235"/>
      <c r="C137" s="220"/>
      <c r="D137" s="221"/>
      <c r="E137" s="222"/>
      <c r="F137" s="223"/>
      <c r="G137" s="224"/>
      <c r="H137" s="224"/>
      <c r="I137" s="375"/>
      <c r="J137" s="375"/>
    </row>
    <row r="138" spans="1:10">
      <c r="A138" s="219">
        <v>133</v>
      </c>
      <c r="B138" s="235"/>
      <c r="C138" s="220"/>
      <c r="D138" s="221"/>
      <c r="E138" s="222"/>
      <c r="F138" s="223"/>
      <c r="G138" s="224"/>
      <c r="H138" s="224"/>
      <c r="I138" s="376"/>
      <c r="J138" s="375"/>
    </row>
    <row r="139" spans="1:10">
      <c r="A139" s="219">
        <v>134</v>
      </c>
      <c r="B139" s="235"/>
      <c r="C139" s="220"/>
      <c r="D139" s="221"/>
      <c r="E139" s="222"/>
      <c r="F139" s="223"/>
      <c r="G139" s="224"/>
      <c r="H139" s="224"/>
      <c r="I139" s="375"/>
      <c r="J139" s="375"/>
    </row>
    <row r="140" spans="1:10">
      <c r="A140" s="219">
        <v>135</v>
      </c>
      <c r="B140" s="235"/>
      <c r="C140" s="220"/>
      <c r="D140" s="221"/>
      <c r="E140" s="222"/>
      <c r="F140" s="223"/>
      <c r="G140" s="224"/>
      <c r="H140" s="224"/>
      <c r="I140" s="375"/>
      <c r="J140" s="375"/>
    </row>
    <row r="141" spans="1:10">
      <c r="A141" s="219">
        <v>136</v>
      </c>
      <c r="B141" s="235"/>
      <c r="C141" s="220"/>
      <c r="D141" s="221"/>
      <c r="E141" s="222"/>
      <c r="F141" s="223"/>
      <c r="G141" s="224"/>
      <c r="H141" s="224"/>
      <c r="I141" s="375"/>
      <c r="J141" s="375"/>
    </row>
    <row r="142" spans="1:10">
      <c r="A142" s="219">
        <v>137</v>
      </c>
      <c r="B142" s="235"/>
      <c r="C142" s="220"/>
      <c r="D142" s="221"/>
      <c r="E142" s="222"/>
      <c r="F142" s="223"/>
      <c r="G142" s="224"/>
      <c r="H142" s="224"/>
      <c r="I142" s="375"/>
      <c r="J142" s="375"/>
    </row>
    <row r="143" spans="1:10">
      <c r="A143" s="219">
        <v>138</v>
      </c>
      <c r="B143" s="235"/>
      <c r="C143" s="220"/>
      <c r="D143" s="221"/>
      <c r="E143" s="222"/>
      <c r="F143" s="223"/>
      <c r="G143" s="224"/>
      <c r="H143" s="224"/>
      <c r="I143" s="375"/>
      <c r="J143" s="375"/>
    </row>
    <row r="144" spans="1:10">
      <c r="A144" s="219">
        <v>139</v>
      </c>
      <c r="B144" s="235"/>
      <c r="C144" s="220"/>
      <c r="D144" s="221"/>
      <c r="E144" s="222"/>
      <c r="F144" s="223"/>
      <c r="G144" s="224"/>
      <c r="H144" s="224"/>
      <c r="I144" s="375"/>
      <c r="J144" s="375"/>
    </row>
    <row r="145" spans="1:10">
      <c r="A145" s="219">
        <v>140</v>
      </c>
      <c r="B145" s="235"/>
      <c r="C145" s="220"/>
      <c r="D145" s="221"/>
      <c r="E145" s="222"/>
      <c r="F145" s="223"/>
      <c r="G145" s="224"/>
      <c r="H145" s="224"/>
      <c r="I145" s="59"/>
      <c r="J145" s="375"/>
    </row>
    <row r="146" spans="1:10">
      <c r="A146" s="219">
        <v>141</v>
      </c>
      <c r="B146" s="235"/>
      <c r="C146" s="220"/>
      <c r="D146" s="221"/>
      <c r="E146" s="222"/>
      <c r="F146" s="223"/>
      <c r="G146" s="224"/>
      <c r="H146" s="224"/>
      <c r="I146" s="59"/>
      <c r="J146" s="375"/>
    </row>
    <row r="147" spans="1:10">
      <c r="A147" s="219">
        <v>142</v>
      </c>
      <c r="B147" s="235"/>
      <c r="C147" s="220"/>
      <c r="D147" s="221"/>
      <c r="E147" s="222"/>
      <c r="F147" s="223"/>
      <c r="G147" s="224"/>
      <c r="H147" s="224"/>
      <c r="I147" s="59"/>
      <c r="J147" s="375"/>
    </row>
    <row r="148" spans="1:10">
      <c r="A148" s="219">
        <v>143</v>
      </c>
      <c r="B148" s="235"/>
      <c r="C148" s="220"/>
      <c r="D148" s="221"/>
      <c r="E148" s="222"/>
      <c r="F148" s="223"/>
      <c r="G148" s="224"/>
      <c r="H148" s="224"/>
      <c r="I148" s="375"/>
      <c r="J148" s="375"/>
    </row>
    <row r="149" spans="1:10">
      <c r="A149" s="219">
        <v>144</v>
      </c>
      <c r="B149" s="235"/>
      <c r="C149" s="220"/>
      <c r="D149" s="221"/>
      <c r="E149" s="222"/>
      <c r="F149" s="223"/>
      <c r="G149" s="224"/>
      <c r="H149" s="224"/>
      <c r="I149" s="59"/>
      <c r="J149" s="375"/>
    </row>
    <row r="150" spans="1:10">
      <c r="A150" s="219">
        <v>145</v>
      </c>
      <c r="B150" s="235"/>
      <c r="C150" s="220"/>
      <c r="D150" s="221"/>
      <c r="E150" s="222"/>
      <c r="F150" s="223"/>
      <c r="G150" s="224"/>
      <c r="H150" s="224"/>
      <c r="I150" s="375"/>
      <c r="J150" s="375"/>
    </row>
    <row r="151" spans="1:10">
      <c r="A151" s="219">
        <v>146</v>
      </c>
      <c r="B151" s="235"/>
      <c r="C151" s="220"/>
      <c r="D151" s="221"/>
      <c r="E151" s="222"/>
      <c r="F151" s="223"/>
      <c r="G151" s="224"/>
      <c r="H151" s="224"/>
      <c r="I151" s="59"/>
      <c r="J151" s="375"/>
    </row>
    <row r="152" spans="1:10">
      <c r="A152" s="219">
        <v>147</v>
      </c>
      <c r="B152" s="235"/>
      <c r="C152" s="220"/>
      <c r="D152" s="221"/>
      <c r="E152" s="222"/>
      <c r="F152" s="223"/>
      <c r="G152" s="224"/>
      <c r="H152" s="224"/>
      <c r="I152" s="59"/>
      <c r="J152" s="375"/>
    </row>
    <row r="153" spans="1:10">
      <c r="A153" s="219">
        <v>148</v>
      </c>
      <c r="B153" s="235"/>
      <c r="C153" s="220"/>
      <c r="D153" s="221"/>
      <c r="E153" s="222"/>
      <c r="F153" s="223"/>
      <c r="G153" s="224"/>
      <c r="H153" s="224"/>
      <c r="I153" s="375"/>
      <c r="J153" s="375"/>
    </row>
    <row r="154" spans="1:10">
      <c r="A154" s="219">
        <v>149</v>
      </c>
      <c r="B154" s="235"/>
      <c r="C154" s="220"/>
      <c r="D154" s="221"/>
      <c r="E154" s="222"/>
      <c r="F154" s="223"/>
      <c r="G154" s="224"/>
      <c r="H154" s="224"/>
      <c r="I154" s="375"/>
      <c r="J154" s="375"/>
    </row>
    <row r="155" spans="1:10">
      <c r="A155" s="219">
        <v>150</v>
      </c>
      <c r="B155" s="235"/>
      <c r="C155" s="220"/>
      <c r="D155" s="221"/>
      <c r="E155" s="222"/>
      <c r="F155" s="223"/>
      <c r="G155" s="224"/>
      <c r="H155" s="224"/>
      <c r="I155" s="375"/>
      <c r="J155" s="375"/>
    </row>
    <row r="156" spans="1:10">
      <c r="A156" s="219">
        <v>151</v>
      </c>
      <c r="B156" s="235"/>
      <c r="C156" s="220"/>
      <c r="D156" s="220"/>
      <c r="E156" s="222"/>
      <c r="F156" s="223"/>
      <c r="G156" s="224"/>
      <c r="H156" s="224"/>
      <c r="I156" s="375"/>
      <c r="J156" s="375"/>
    </row>
    <row r="157" spans="1:10">
      <c r="A157" s="219">
        <v>152</v>
      </c>
      <c r="B157" s="235"/>
      <c r="C157" s="220"/>
      <c r="D157" s="220"/>
      <c r="E157" s="222"/>
      <c r="F157" s="223"/>
      <c r="G157" s="224"/>
      <c r="H157" s="224"/>
      <c r="I157" s="59"/>
      <c r="J157" s="375"/>
    </row>
    <row r="158" spans="1:10">
      <c r="A158" s="219">
        <v>153</v>
      </c>
      <c r="B158" s="235"/>
      <c r="C158" s="225"/>
      <c r="D158" s="226"/>
      <c r="E158" s="227"/>
      <c r="F158" s="228"/>
      <c r="G158" s="224"/>
      <c r="H158" s="229"/>
      <c r="I158" s="59"/>
      <c r="J158" s="59"/>
    </row>
    <row r="159" spans="1:10">
      <c r="A159" s="219">
        <v>154</v>
      </c>
      <c r="B159" s="235"/>
      <c r="C159" s="220"/>
      <c r="D159" s="221"/>
      <c r="E159" s="222"/>
      <c r="F159" s="223"/>
      <c r="G159" s="224"/>
      <c r="H159" s="224"/>
      <c r="I159" s="59"/>
      <c r="J159" s="375"/>
    </row>
    <row r="160" spans="1:10">
      <c r="A160" s="219">
        <v>155</v>
      </c>
      <c r="B160" s="235"/>
      <c r="C160" s="220"/>
      <c r="D160" s="221"/>
      <c r="E160" s="222"/>
      <c r="F160" s="223"/>
      <c r="G160" s="224"/>
      <c r="H160" s="224"/>
      <c r="I160" s="375"/>
      <c r="J160" s="375"/>
    </row>
    <row r="161" spans="1:10">
      <c r="A161" s="219">
        <v>156</v>
      </c>
      <c r="B161" s="235"/>
      <c r="C161" s="220"/>
      <c r="D161" s="221"/>
      <c r="E161" s="222"/>
      <c r="F161" s="223"/>
      <c r="G161" s="224"/>
      <c r="H161" s="224"/>
      <c r="I161" s="59"/>
      <c r="J161" s="375"/>
    </row>
    <row r="162" spans="1:10">
      <c r="A162" s="219">
        <v>157</v>
      </c>
      <c r="B162" s="235"/>
      <c r="C162" s="220"/>
      <c r="D162" s="221"/>
      <c r="E162" s="222"/>
      <c r="F162" s="223"/>
      <c r="G162" s="224"/>
      <c r="H162" s="224"/>
      <c r="I162" s="59"/>
      <c r="J162" s="375"/>
    </row>
    <row r="163" spans="1:10">
      <c r="A163" s="219">
        <v>158</v>
      </c>
      <c r="B163" s="235"/>
      <c r="C163" s="220"/>
      <c r="D163" s="221"/>
      <c r="E163" s="222"/>
      <c r="F163" s="223"/>
      <c r="G163" s="224"/>
      <c r="H163" s="224"/>
      <c r="I163" s="375"/>
      <c r="J163" s="375"/>
    </row>
    <row r="164" spans="1:10">
      <c r="A164" s="219">
        <v>159</v>
      </c>
      <c r="B164" s="235"/>
      <c r="C164" s="220"/>
      <c r="D164" s="221"/>
      <c r="E164" s="222"/>
      <c r="F164" s="223"/>
      <c r="G164" s="224"/>
      <c r="H164" s="224"/>
      <c r="I164" s="375"/>
      <c r="J164" s="375"/>
    </row>
    <row r="165" spans="1:10">
      <c r="A165" s="219">
        <v>160</v>
      </c>
      <c r="B165" s="235"/>
      <c r="C165" s="220"/>
      <c r="D165" s="221"/>
      <c r="E165" s="222"/>
      <c r="F165" s="223"/>
      <c r="G165" s="224"/>
      <c r="H165" s="224"/>
      <c r="I165" s="375"/>
      <c r="J165" s="375"/>
    </row>
    <row r="166" spans="1:10">
      <c r="A166" s="219">
        <v>161</v>
      </c>
      <c r="B166" s="235"/>
      <c r="C166" s="220"/>
      <c r="D166" s="221"/>
      <c r="E166" s="222"/>
      <c r="F166" s="223"/>
      <c r="G166" s="224"/>
      <c r="H166" s="224"/>
      <c r="I166" s="59"/>
      <c r="J166" s="59"/>
    </row>
    <row r="167" spans="1:10">
      <c r="A167" s="219">
        <v>162</v>
      </c>
      <c r="B167" s="235"/>
      <c r="C167" s="220"/>
      <c r="D167" s="221"/>
      <c r="E167" s="222"/>
      <c r="F167" s="223"/>
      <c r="G167" s="224"/>
      <c r="H167" s="224"/>
      <c r="I167" s="375"/>
      <c r="J167" s="375"/>
    </row>
    <row r="168" spans="1:10">
      <c r="A168" s="219">
        <v>163</v>
      </c>
      <c r="B168" s="235"/>
      <c r="C168" s="220"/>
      <c r="D168" s="221"/>
      <c r="E168" s="222"/>
      <c r="F168" s="223"/>
      <c r="G168" s="224"/>
      <c r="H168" s="224"/>
      <c r="I168" s="375"/>
      <c r="J168" s="375"/>
    </row>
    <row r="169" spans="1:10">
      <c r="A169" s="219">
        <v>164</v>
      </c>
      <c r="B169" s="235"/>
      <c r="C169" s="220"/>
      <c r="D169" s="221"/>
      <c r="E169" s="222"/>
      <c r="F169" s="223"/>
      <c r="G169" s="224"/>
      <c r="H169" s="224"/>
      <c r="I169" s="375"/>
      <c r="J169" s="375"/>
    </row>
    <row r="170" spans="1:10">
      <c r="A170" s="219">
        <v>165</v>
      </c>
      <c r="B170" s="235"/>
      <c r="C170" s="220"/>
      <c r="D170" s="221"/>
      <c r="E170" s="222"/>
      <c r="F170" s="223"/>
      <c r="G170" s="224"/>
      <c r="H170" s="224"/>
      <c r="I170" s="59"/>
      <c r="J170" s="375"/>
    </row>
    <row r="171" spans="1:10">
      <c r="A171" s="219">
        <v>166</v>
      </c>
      <c r="B171" s="235"/>
      <c r="C171" s="220"/>
      <c r="D171" s="221"/>
      <c r="E171" s="222"/>
      <c r="F171" s="223"/>
      <c r="G171" s="224"/>
      <c r="H171" s="224"/>
      <c r="I171" s="59"/>
      <c r="J171" s="375"/>
    </row>
    <row r="172" spans="1:10">
      <c r="A172" s="219">
        <v>167</v>
      </c>
      <c r="B172" s="235"/>
      <c r="C172" s="220"/>
      <c r="D172" s="221"/>
      <c r="E172" s="222"/>
      <c r="F172" s="223"/>
      <c r="G172" s="224"/>
      <c r="H172" s="224"/>
      <c r="I172" s="375"/>
      <c r="J172" s="375"/>
    </row>
    <row r="173" spans="1:10">
      <c r="A173" s="219">
        <v>168</v>
      </c>
      <c r="B173" s="235"/>
      <c r="C173" s="220"/>
      <c r="D173" s="221"/>
      <c r="E173" s="222"/>
      <c r="F173" s="223"/>
      <c r="G173" s="224"/>
      <c r="H173" s="224"/>
      <c r="I173" s="59"/>
      <c r="J173" s="375"/>
    </row>
    <row r="174" spans="1:10">
      <c r="A174" s="219">
        <v>169</v>
      </c>
      <c r="B174" s="235"/>
      <c r="C174" s="220"/>
      <c r="D174" s="221"/>
      <c r="E174" s="222"/>
      <c r="F174" s="223"/>
      <c r="G174" s="224"/>
      <c r="H174" s="224"/>
      <c r="I174" s="375"/>
      <c r="J174" s="375"/>
    </row>
    <row r="175" spans="1:10">
      <c r="A175" s="219">
        <v>170</v>
      </c>
      <c r="B175" s="235"/>
      <c r="C175" s="220"/>
      <c r="D175" s="221"/>
      <c r="E175" s="222"/>
      <c r="F175" s="223"/>
      <c r="G175" s="224"/>
      <c r="H175" s="224"/>
      <c r="I175" s="375"/>
      <c r="J175" s="375"/>
    </row>
    <row r="176" spans="1:10">
      <c r="A176" s="219">
        <v>171</v>
      </c>
      <c r="B176" s="235"/>
      <c r="C176" s="220"/>
      <c r="D176" s="221"/>
      <c r="E176" s="222"/>
      <c r="F176" s="223"/>
      <c r="G176" s="224"/>
      <c r="H176" s="224"/>
      <c r="I176" s="375"/>
      <c r="J176" s="375"/>
    </row>
    <row r="177" spans="1:10">
      <c r="A177" s="219">
        <v>172</v>
      </c>
      <c r="B177" s="235"/>
      <c r="C177" s="220"/>
      <c r="D177" s="221"/>
      <c r="E177" s="222"/>
      <c r="F177" s="223"/>
      <c r="G177" s="224"/>
      <c r="H177" s="224"/>
      <c r="I177" s="375"/>
      <c r="J177" s="375"/>
    </row>
    <row r="178" spans="1:10">
      <c r="A178" s="219">
        <v>173</v>
      </c>
      <c r="B178" s="235"/>
      <c r="C178" s="220"/>
      <c r="D178" s="221"/>
      <c r="E178" s="222"/>
      <c r="F178" s="223"/>
      <c r="G178" s="224"/>
      <c r="H178" s="224"/>
      <c r="I178" s="375"/>
      <c r="J178" s="375"/>
    </row>
    <row r="179" spans="1:10">
      <c r="A179" s="219">
        <v>174</v>
      </c>
      <c r="B179" s="235"/>
      <c r="C179" s="220"/>
      <c r="D179" s="221"/>
      <c r="E179" s="222"/>
      <c r="F179" s="223"/>
      <c r="G179" s="224"/>
      <c r="H179" s="224"/>
      <c r="I179" s="59"/>
      <c r="J179" s="375"/>
    </row>
    <row r="180" spans="1:10">
      <c r="A180" s="219">
        <v>175</v>
      </c>
      <c r="B180" s="235"/>
      <c r="C180" s="220"/>
      <c r="D180" s="221"/>
      <c r="E180" s="222"/>
      <c r="F180" s="223"/>
      <c r="G180" s="224"/>
      <c r="H180" s="224"/>
      <c r="I180" s="375"/>
      <c r="J180" s="375"/>
    </row>
    <row r="181" spans="1:10">
      <c r="A181" s="219">
        <v>176</v>
      </c>
      <c r="B181" s="235"/>
      <c r="C181" s="220"/>
      <c r="D181" s="221"/>
      <c r="E181" s="222"/>
      <c r="F181" s="223"/>
      <c r="G181" s="224"/>
      <c r="H181" s="224"/>
      <c r="I181" s="375"/>
      <c r="J181" s="375"/>
    </row>
    <row r="182" spans="1:10">
      <c r="A182" s="219">
        <v>177</v>
      </c>
      <c r="B182" s="235"/>
      <c r="C182" s="342"/>
      <c r="D182" s="343"/>
      <c r="E182" s="344"/>
      <c r="F182" s="345"/>
      <c r="G182" s="224"/>
      <c r="H182" s="346"/>
      <c r="I182" s="375"/>
      <c r="J182" s="375"/>
    </row>
    <row r="183" spans="1:10">
      <c r="A183" s="219">
        <v>178</v>
      </c>
      <c r="B183" s="235"/>
      <c r="C183" s="220"/>
      <c r="D183" s="221"/>
      <c r="E183" s="222"/>
      <c r="F183" s="223"/>
      <c r="G183" s="224"/>
      <c r="H183" s="224"/>
      <c r="I183" s="375"/>
      <c r="J183" s="375"/>
    </row>
    <row r="184" spans="1:10">
      <c r="A184" s="219">
        <v>179</v>
      </c>
      <c r="B184" s="235"/>
      <c r="C184" s="220"/>
      <c r="D184" s="221"/>
      <c r="E184" s="222"/>
      <c r="F184" s="223"/>
      <c r="G184" s="224"/>
      <c r="H184" s="224"/>
      <c r="I184" s="375"/>
      <c r="J184" s="375"/>
    </row>
    <row r="185" spans="1:10">
      <c r="A185" s="219">
        <v>180</v>
      </c>
      <c r="B185" s="235"/>
      <c r="C185" s="220"/>
      <c r="D185" s="221"/>
      <c r="E185" s="222"/>
      <c r="F185" s="223"/>
      <c r="G185" s="224"/>
      <c r="H185" s="224"/>
      <c r="I185" s="375"/>
      <c r="J185" s="375"/>
    </row>
    <row r="186" spans="1:10">
      <c r="A186" s="219">
        <v>181</v>
      </c>
      <c r="B186" s="235"/>
      <c r="C186" s="220"/>
      <c r="D186" s="221"/>
      <c r="E186" s="222"/>
      <c r="F186" s="223"/>
      <c r="G186" s="224"/>
      <c r="H186" s="224"/>
      <c r="I186" s="375"/>
      <c r="J186" s="375"/>
    </row>
    <row r="187" spans="1:10">
      <c r="A187" s="219">
        <v>182</v>
      </c>
      <c r="B187" s="235"/>
      <c r="C187" s="220"/>
      <c r="D187" s="221"/>
      <c r="E187" s="222"/>
      <c r="F187" s="223"/>
      <c r="G187" s="224"/>
      <c r="H187" s="224"/>
      <c r="I187" s="375"/>
      <c r="J187" s="375"/>
    </row>
    <row r="188" spans="1:10">
      <c r="A188" s="219">
        <v>183</v>
      </c>
      <c r="B188" s="235"/>
      <c r="C188" s="220"/>
      <c r="D188" s="221"/>
      <c r="E188" s="222"/>
      <c r="F188" s="223"/>
      <c r="G188" s="224"/>
      <c r="H188" s="224"/>
      <c r="I188" s="375"/>
      <c r="J188" s="375"/>
    </row>
    <row r="189" spans="1:10">
      <c r="A189" s="219">
        <v>184</v>
      </c>
      <c r="B189" s="235"/>
      <c r="C189" s="220"/>
      <c r="D189" s="221"/>
      <c r="E189" s="222"/>
      <c r="F189" s="223"/>
      <c r="G189" s="224"/>
      <c r="H189" s="224"/>
      <c r="I189" s="375"/>
      <c r="J189" s="375"/>
    </row>
    <row r="190" spans="1:10">
      <c r="A190" s="233"/>
      <c r="B190" s="235"/>
      <c r="C190" s="220"/>
      <c r="D190" s="221"/>
      <c r="E190" s="222"/>
      <c r="F190" s="223"/>
      <c r="G190" s="224"/>
      <c r="H190" s="224"/>
      <c r="I190" s="375"/>
      <c r="J190" s="375"/>
    </row>
  </sheetData>
  <autoFilter ref="A5:J189">
    <sortState ref="A6:J182">
      <sortCondition ref="B5:B182"/>
    </sortState>
  </autoFilter>
  <dataValidations count="1">
    <dataValidation type="list" allowBlank="1" showInputMessage="1" showErrorMessage="1" sqref="B140 B104">
      <formula1>INDIRECT(A104)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40"/>
  <sheetViews>
    <sheetView workbookViewId="0">
      <pane ySplit="6" topLeftCell="A13" activePane="bottomLeft" state="frozen"/>
      <selection pane="bottomLeft" activeCell="A24" sqref="A24"/>
    </sheetView>
  </sheetViews>
  <sheetFormatPr baseColWidth="10" defaultRowHeight="15.75"/>
  <cols>
    <col min="1" max="1" width="6.28515625" style="260" customWidth="1"/>
    <col min="2" max="2" width="27" style="261" bestFit="1" customWidth="1"/>
    <col min="3" max="3" width="16" style="262" bestFit="1" customWidth="1"/>
    <col min="4" max="4" width="14.85546875" style="263" customWidth="1"/>
    <col min="5" max="5" width="21.28515625" style="289" customWidth="1"/>
    <col min="6" max="6" width="21.28515625" style="290" customWidth="1"/>
    <col min="7" max="7" width="21.28515625" style="291" customWidth="1"/>
    <col min="8" max="8" width="17.140625" style="291" customWidth="1"/>
    <col min="9" max="9" width="20.7109375" style="292" customWidth="1"/>
    <col min="10" max="10" width="21.42578125" style="293" bestFit="1" customWidth="1"/>
    <col min="11" max="11" width="19" style="266" customWidth="1"/>
    <col min="12" max="16384" width="11.42578125" style="260"/>
  </cols>
  <sheetData>
    <row r="1" spans="1:11">
      <c r="B1"/>
      <c r="C1"/>
      <c r="D1"/>
      <c r="E1"/>
      <c r="F1"/>
      <c r="G1"/>
      <c r="H1"/>
      <c r="I1"/>
      <c r="J1"/>
    </row>
    <row r="2" spans="1:11">
      <c r="B2"/>
      <c r="C2"/>
      <c r="D2"/>
      <c r="E2"/>
      <c r="F2" s="264">
        <f>SUM(F7:F3205)*$C$3</f>
        <v>1271360</v>
      </c>
      <c r="G2" s="265">
        <f>G4+H4</f>
        <v>11721510</v>
      </c>
      <c r="H2"/>
      <c r="I2" s="264">
        <f>SUM(I7:I312)</f>
        <v>267528.62</v>
      </c>
      <c r="J2" s="265">
        <f>SUM(J7:J312)</f>
        <v>2441869.09</v>
      </c>
    </row>
    <row r="3" spans="1:11" ht="18">
      <c r="B3" s="294" t="s">
        <v>132</v>
      </c>
      <c r="C3" s="294">
        <v>14500</v>
      </c>
      <c r="D3"/>
      <c r="E3"/>
      <c r="F3"/>
      <c r="G3"/>
      <c r="H3"/>
      <c r="I3"/>
      <c r="J3"/>
    </row>
    <row r="4" spans="1:11" ht="24.75" customHeight="1">
      <c r="B4" s="295" t="s">
        <v>133</v>
      </c>
      <c r="C4" s="295">
        <v>16500</v>
      </c>
      <c r="D4" s="285"/>
      <c r="E4" s="264">
        <f>E5*C4</f>
        <v>964260</v>
      </c>
      <c r="F4" s="264">
        <f>F5*C3</f>
        <v>1271360</v>
      </c>
      <c r="G4" s="265">
        <f>G5*C3</f>
        <v>11721510</v>
      </c>
      <c r="H4" s="265">
        <f>H5*C4</f>
        <v>0</v>
      </c>
      <c r="I4" s="264">
        <f>SUBTOTAL(9,I6:I315)</f>
        <v>267528.62</v>
      </c>
      <c r="J4" s="265">
        <f>SUBTOTAL(9,J6:J315)</f>
        <v>2441869.09</v>
      </c>
    </row>
    <row r="5" spans="1:11" ht="24.75" customHeight="1">
      <c r="B5" s="284"/>
      <c r="C5" s="283"/>
      <c r="D5" s="285"/>
      <c r="E5" s="264">
        <f>SUBTOTAL(9,E7:E316)</f>
        <v>58.44</v>
      </c>
      <c r="F5" s="264">
        <f>SUBTOTAL(9,F7:F316)</f>
        <v>87.68</v>
      </c>
      <c r="G5" s="265">
        <f>SUBTOTAL(9,G7:G316)</f>
        <v>808.38</v>
      </c>
      <c r="H5" s="265">
        <f>SUBTOTAL(9,H7:H316)</f>
        <v>0</v>
      </c>
      <c r="I5" s="264"/>
      <c r="J5" s="265"/>
    </row>
    <row r="6" spans="1:11" ht="16.5">
      <c r="A6" s="267" t="s">
        <v>15</v>
      </c>
      <c r="B6" s="268" t="s">
        <v>124</v>
      </c>
      <c r="C6" s="269" t="s">
        <v>108</v>
      </c>
      <c r="D6" s="269" t="s">
        <v>109</v>
      </c>
      <c r="E6" s="270" t="s">
        <v>110</v>
      </c>
      <c r="F6" s="270" t="s">
        <v>111</v>
      </c>
      <c r="G6" s="271" t="s">
        <v>112</v>
      </c>
      <c r="H6" s="271" t="s">
        <v>113</v>
      </c>
      <c r="I6" s="272" t="s">
        <v>114</v>
      </c>
      <c r="J6" s="271" t="s">
        <v>115</v>
      </c>
      <c r="K6" s="273"/>
    </row>
    <row r="7" spans="1:11" ht="16.5">
      <c r="A7" s="274">
        <v>1</v>
      </c>
      <c r="B7" s="225" t="s">
        <v>323</v>
      </c>
      <c r="C7" s="220"/>
      <c r="D7" s="221"/>
      <c r="E7" s="222">
        <v>14.52</v>
      </c>
      <c r="F7" s="223"/>
      <c r="G7" s="224">
        <v>44.61</v>
      </c>
      <c r="H7" s="224"/>
      <c r="I7" s="208"/>
      <c r="J7" s="276">
        <v>684487.22</v>
      </c>
      <c r="K7" s="278"/>
    </row>
    <row r="8" spans="1:11" ht="16.5">
      <c r="A8" s="274">
        <v>2</v>
      </c>
      <c r="B8" s="225" t="s">
        <v>326</v>
      </c>
      <c r="C8" s="220"/>
      <c r="D8" s="221"/>
      <c r="E8" s="222"/>
      <c r="F8" s="223">
        <v>9.1199999999999992</v>
      </c>
      <c r="G8" s="224"/>
      <c r="H8" s="224"/>
      <c r="I8" s="208">
        <v>1957.34</v>
      </c>
      <c r="J8" s="276"/>
      <c r="K8" s="278"/>
    </row>
    <row r="9" spans="1:11" ht="16.5">
      <c r="A9" s="274">
        <v>3</v>
      </c>
      <c r="B9" s="225" t="s">
        <v>325</v>
      </c>
      <c r="C9" s="348"/>
      <c r="D9" s="356"/>
      <c r="E9" s="349"/>
      <c r="F9" s="223"/>
      <c r="G9" s="224">
        <v>227.11</v>
      </c>
      <c r="H9" s="224"/>
      <c r="I9" s="208"/>
      <c r="J9" s="276">
        <v>288716</v>
      </c>
      <c r="K9" s="278"/>
    </row>
    <row r="10" spans="1:11" ht="16.5">
      <c r="A10" s="274">
        <v>4</v>
      </c>
      <c r="B10" s="225" t="s">
        <v>324</v>
      </c>
      <c r="C10" s="220"/>
      <c r="D10" s="356"/>
      <c r="E10" s="222"/>
      <c r="F10" s="223"/>
      <c r="G10" s="224"/>
      <c r="H10" s="224"/>
      <c r="I10" s="208"/>
      <c r="J10" s="209">
        <v>1292728.57</v>
      </c>
      <c r="K10" s="279"/>
    </row>
    <row r="11" spans="1:11">
      <c r="A11" s="274">
        <v>5</v>
      </c>
      <c r="B11" s="225" t="s">
        <v>366</v>
      </c>
      <c r="C11" s="225"/>
      <c r="D11" s="226"/>
      <c r="E11" s="227"/>
      <c r="F11" s="228"/>
      <c r="G11" s="229"/>
      <c r="H11" s="229"/>
      <c r="I11" s="230"/>
      <c r="J11" s="209">
        <v>16900</v>
      </c>
      <c r="K11" s="279"/>
    </row>
    <row r="12" spans="1:11" ht="16.5">
      <c r="A12" s="274">
        <v>6</v>
      </c>
      <c r="B12" s="225" t="s">
        <v>327</v>
      </c>
      <c r="C12" s="220"/>
      <c r="D12" s="221"/>
      <c r="E12" s="222"/>
      <c r="F12" s="223"/>
      <c r="G12" s="224">
        <v>68.39</v>
      </c>
      <c r="H12" s="224"/>
      <c r="I12" s="208"/>
      <c r="J12" s="276">
        <v>9190.5</v>
      </c>
      <c r="K12" s="278"/>
    </row>
    <row r="13" spans="1:11" ht="16.5">
      <c r="A13" s="274">
        <v>7</v>
      </c>
      <c r="B13" s="225" t="s">
        <v>328</v>
      </c>
      <c r="C13" s="220"/>
      <c r="D13" s="226"/>
      <c r="E13" s="222"/>
      <c r="F13" s="228"/>
      <c r="G13" s="229">
        <v>168.68</v>
      </c>
      <c r="H13" s="229"/>
      <c r="I13" s="230"/>
      <c r="J13" s="209">
        <f>3895.5+4000</f>
        <v>7895.5</v>
      </c>
      <c r="K13" s="280"/>
    </row>
    <row r="14" spans="1:11" ht="16.5">
      <c r="A14" s="274">
        <v>8</v>
      </c>
      <c r="B14" s="225" t="s">
        <v>329</v>
      </c>
      <c r="C14" s="220"/>
      <c r="D14" s="221"/>
      <c r="E14" s="222"/>
      <c r="F14" s="223"/>
      <c r="G14" s="224">
        <v>62.71</v>
      </c>
      <c r="H14" s="224"/>
      <c r="I14" s="208"/>
      <c r="J14" s="209">
        <v>10721.9</v>
      </c>
      <c r="K14" s="280"/>
    </row>
    <row r="15" spans="1:11" ht="16.5">
      <c r="A15" s="274">
        <v>9</v>
      </c>
      <c r="B15" s="225" t="s">
        <v>330</v>
      </c>
      <c r="C15" s="220"/>
      <c r="D15" s="221"/>
      <c r="E15" s="222"/>
      <c r="F15" s="275"/>
      <c r="G15" s="224">
        <v>117.07</v>
      </c>
      <c r="H15" s="276"/>
      <c r="I15" s="277"/>
      <c r="J15" s="276"/>
      <c r="K15" s="279"/>
    </row>
    <row r="16" spans="1:11" ht="16.5">
      <c r="A16" s="274">
        <v>10</v>
      </c>
      <c r="B16" s="225" t="s">
        <v>331</v>
      </c>
      <c r="C16" s="220"/>
      <c r="D16" s="221"/>
      <c r="E16" s="222"/>
      <c r="F16" s="275"/>
      <c r="G16" s="224">
        <v>64.7</v>
      </c>
      <c r="H16" s="276"/>
      <c r="I16" s="277"/>
      <c r="J16" s="276"/>
      <c r="K16" s="251">
        <v>247.46</v>
      </c>
    </row>
    <row r="17" spans="1:11" ht="16.5">
      <c r="A17" s="274">
        <v>11</v>
      </c>
      <c r="B17" s="225" t="s">
        <v>332</v>
      </c>
      <c r="C17" s="220"/>
      <c r="D17" s="221"/>
      <c r="E17" s="222"/>
      <c r="F17" s="281"/>
      <c r="G17" s="224">
        <v>34.96</v>
      </c>
      <c r="H17" s="282"/>
      <c r="I17" s="264">
        <v>57320</v>
      </c>
      <c r="J17" s="276"/>
      <c r="K17" s="279"/>
    </row>
    <row r="18" spans="1:11" ht="16.5">
      <c r="A18" s="274">
        <v>12</v>
      </c>
      <c r="B18" s="225" t="s">
        <v>368</v>
      </c>
      <c r="C18" s="220"/>
      <c r="D18" s="221"/>
      <c r="E18" s="222"/>
      <c r="F18" s="281"/>
      <c r="G18" s="224"/>
      <c r="H18" s="282"/>
      <c r="I18" s="264"/>
      <c r="J18" s="265">
        <v>120000</v>
      </c>
      <c r="K18" s="251"/>
    </row>
    <row r="19" spans="1:11" ht="16.5">
      <c r="A19" s="274">
        <v>13</v>
      </c>
      <c r="B19" s="225" t="s">
        <v>333</v>
      </c>
      <c r="C19" s="220"/>
      <c r="D19" s="221"/>
      <c r="E19" s="222">
        <v>43.56</v>
      </c>
      <c r="F19" s="228">
        <v>77.040000000000006</v>
      </c>
      <c r="G19" s="224">
        <v>18.28</v>
      </c>
      <c r="H19" s="282"/>
      <c r="I19" s="264"/>
      <c r="J19" s="265">
        <v>11229.4</v>
      </c>
      <c r="K19" s="251"/>
    </row>
    <row r="20" spans="1:11" ht="16.5">
      <c r="A20" s="274">
        <v>14</v>
      </c>
      <c r="B20" s="225" t="s">
        <v>367</v>
      </c>
      <c r="C20" s="220"/>
      <c r="D20" s="226"/>
      <c r="E20" s="222"/>
      <c r="F20" s="223"/>
      <c r="G20" s="224"/>
      <c r="H20" s="224"/>
      <c r="I20" s="208">
        <v>122100</v>
      </c>
      <c r="J20" s="209"/>
      <c r="K20" s="416"/>
    </row>
    <row r="21" spans="1:11" s="417" customFormat="1" ht="16.5">
      <c r="A21" s="274">
        <v>15</v>
      </c>
      <c r="B21" s="225" t="s">
        <v>337</v>
      </c>
      <c r="C21" s="220"/>
      <c r="D21" s="226"/>
      <c r="E21" s="222">
        <v>0.36</v>
      </c>
      <c r="F21" s="223"/>
      <c r="G21" s="224"/>
      <c r="H21" s="224"/>
      <c r="I21" s="208">
        <v>528</v>
      </c>
      <c r="J21" s="209"/>
      <c r="K21" s="256"/>
    </row>
    <row r="22" spans="1:11" s="417" customFormat="1" ht="16.5">
      <c r="A22" s="274">
        <v>16</v>
      </c>
      <c r="B22" s="225" t="s">
        <v>379</v>
      </c>
      <c r="C22" s="220"/>
      <c r="D22" s="220"/>
      <c r="E22" s="222"/>
      <c r="F22" s="222"/>
      <c r="G22" s="224">
        <v>1.87</v>
      </c>
      <c r="H22" s="224"/>
      <c r="I22" s="208">
        <v>64623.28</v>
      </c>
      <c r="J22" s="209"/>
      <c r="K22" s="256"/>
    </row>
    <row r="23" spans="1:11" s="417" customFormat="1" ht="16.5">
      <c r="A23" s="274">
        <v>17</v>
      </c>
      <c r="B23" s="225" t="s">
        <v>384</v>
      </c>
      <c r="C23" s="220"/>
      <c r="D23" s="220"/>
      <c r="E23" s="222"/>
      <c r="F23" s="222">
        <v>1.52</v>
      </c>
      <c r="G23" s="224"/>
      <c r="H23" s="224"/>
      <c r="I23" s="208">
        <v>21000</v>
      </c>
      <c r="J23" s="209"/>
      <c r="K23" s="256"/>
    </row>
    <row r="24" spans="1:11" s="417" customFormat="1">
      <c r="B24" s="256"/>
      <c r="D24" s="418"/>
      <c r="E24" s="418"/>
      <c r="F24" s="419"/>
      <c r="G24" s="420"/>
      <c r="H24" s="420"/>
      <c r="I24" s="421"/>
      <c r="J24" s="421"/>
      <c r="K24" s="256"/>
    </row>
    <row r="25" spans="1:11" s="283" customFormat="1">
      <c r="B25" s="284"/>
      <c r="D25" s="285"/>
      <c r="E25" s="285"/>
      <c r="F25" s="286"/>
      <c r="G25" s="287"/>
      <c r="H25" s="287"/>
      <c r="I25" s="288"/>
      <c r="J25" s="288"/>
      <c r="K25" s="284"/>
    </row>
    <row r="26" spans="1:11" s="283" customFormat="1">
      <c r="B26" s="284"/>
      <c r="D26" s="285"/>
      <c r="E26" s="285"/>
      <c r="F26" s="286"/>
      <c r="G26" s="287"/>
      <c r="H26" s="287"/>
      <c r="I26" s="288"/>
      <c r="J26" s="288"/>
      <c r="K26" s="284"/>
    </row>
    <row r="27" spans="1:11" s="283" customFormat="1">
      <c r="B27" s="284"/>
      <c r="D27" s="285"/>
      <c r="E27" s="285"/>
      <c r="F27" s="286"/>
      <c r="G27" s="287"/>
      <c r="H27" s="287"/>
      <c r="I27" s="288"/>
      <c r="J27" s="288"/>
      <c r="K27" s="284"/>
    </row>
    <row r="28" spans="1:11" s="283" customFormat="1">
      <c r="B28" s="284"/>
      <c r="D28" s="285"/>
      <c r="E28" s="285"/>
      <c r="F28" s="286"/>
      <c r="G28" s="287"/>
      <c r="H28" s="287"/>
      <c r="I28" s="288"/>
      <c r="J28" s="288"/>
      <c r="K28" s="284"/>
    </row>
    <row r="29" spans="1:11" s="283" customFormat="1">
      <c r="B29" s="284"/>
      <c r="D29" s="285"/>
      <c r="E29" s="285"/>
      <c r="F29" s="286"/>
      <c r="G29" s="287"/>
      <c r="H29" s="287"/>
      <c r="I29" s="288"/>
      <c r="J29" s="288"/>
      <c r="K29" s="284"/>
    </row>
    <row r="30" spans="1:11" s="283" customFormat="1">
      <c r="B30" s="284"/>
      <c r="D30" s="285"/>
      <c r="E30" s="285"/>
      <c r="F30" s="286"/>
      <c r="G30" s="287"/>
      <c r="H30" s="287"/>
      <c r="I30" s="288"/>
      <c r="J30" s="288"/>
      <c r="K30" s="284"/>
    </row>
    <row r="31" spans="1:11" s="283" customFormat="1">
      <c r="B31" s="284"/>
      <c r="D31" s="285"/>
      <c r="E31" s="285"/>
      <c r="F31" s="286"/>
      <c r="G31" s="287"/>
      <c r="H31" s="287"/>
      <c r="I31" s="288"/>
      <c r="J31" s="288"/>
      <c r="K31" s="284"/>
    </row>
    <row r="32" spans="1:11" s="283" customFormat="1">
      <c r="B32" s="284"/>
      <c r="D32" s="285"/>
      <c r="E32" s="285"/>
      <c r="F32" s="286"/>
      <c r="G32" s="287"/>
      <c r="H32" s="287"/>
      <c r="I32" s="288"/>
      <c r="J32" s="288"/>
      <c r="K32" s="284"/>
    </row>
    <row r="33" spans="2:11" s="283" customFormat="1">
      <c r="B33" s="284"/>
      <c r="D33" s="285"/>
      <c r="E33" s="285"/>
      <c r="F33" s="286"/>
      <c r="G33" s="287"/>
      <c r="H33" s="287"/>
      <c r="I33" s="288"/>
      <c r="J33" s="288"/>
      <c r="K33" s="284"/>
    </row>
    <row r="34" spans="2:11" s="283" customFormat="1">
      <c r="B34" s="284"/>
      <c r="D34" s="285"/>
      <c r="E34" s="285"/>
      <c r="F34" s="286"/>
      <c r="G34" s="287"/>
      <c r="H34" s="287"/>
      <c r="I34" s="288"/>
      <c r="J34" s="288"/>
      <c r="K34" s="284"/>
    </row>
    <row r="35" spans="2:11" s="283" customFormat="1">
      <c r="B35" s="284"/>
      <c r="D35" s="285"/>
      <c r="E35" s="285"/>
      <c r="F35" s="286"/>
      <c r="G35" s="287"/>
      <c r="H35" s="287"/>
      <c r="I35" s="288"/>
      <c r="J35" s="288"/>
      <c r="K35" s="284"/>
    </row>
    <row r="36" spans="2:11" s="283" customFormat="1">
      <c r="B36" s="284"/>
      <c r="D36" s="285"/>
      <c r="E36" s="285"/>
      <c r="F36" s="286"/>
      <c r="G36" s="287"/>
      <c r="H36" s="287"/>
      <c r="I36" s="288"/>
      <c r="J36" s="288"/>
      <c r="K36" s="284"/>
    </row>
    <row r="37" spans="2:11" s="283" customFormat="1">
      <c r="B37" s="284"/>
      <c r="D37" s="285"/>
      <c r="E37" s="285"/>
      <c r="F37" s="286"/>
      <c r="G37" s="287"/>
      <c r="H37" s="287"/>
      <c r="I37" s="288"/>
      <c r="J37" s="288"/>
      <c r="K37" s="284"/>
    </row>
    <row r="38" spans="2:11" s="283" customFormat="1">
      <c r="B38" s="284"/>
      <c r="D38" s="285"/>
      <c r="E38" s="285"/>
      <c r="F38" s="286"/>
      <c r="G38" s="287"/>
      <c r="H38" s="287"/>
      <c r="I38" s="288"/>
      <c r="J38" s="288"/>
      <c r="K38" s="284"/>
    </row>
    <row r="39" spans="2:11" s="283" customFormat="1">
      <c r="B39" s="284"/>
      <c r="D39" s="285"/>
      <c r="E39" s="285"/>
      <c r="F39" s="286"/>
      <c r="G39" s="287"/>
      <c r="H39" s="287"/>
      <c r="I39" s="288"/>
      <c r="J39" s="288"/>
      <c r="K39" s="284"/>
    </row>
    <row r="40" spans="2:11" s="283" customFormat="1">
      <c r="B40" s="284"/>
      <c r="D40" s="285"/>
      <c r="E40" s="285"/>
      <c r="F40" s="286"/>
      <c r="G40" s="287"/>
      <c r="H40" s="287"/>
      <c r="I40" s="288"/>
      <c r="J40" s="288"/>
      <c r="K40" s="284"/>
    </row>
    <row r="41" spans="2:11" s="283" customFormat="1">
      <c r="B41" s="284"/>
      <c r="D41" s="285"/>
      <c r="E41" s="285"/>
      <c r="F41" s="286"/>
      <c r="G41" s="287"/>
      <c r="H41" s="287"/>
      <c r="I41" s="288"/>
      <c r="J41" s="288"/>
      <c r="K41" s="284"/>
    </row>
    <row r="42" spans="2:11" s="283" customFormat="1">
      <c r="B42" s="284"/>
      <c r="D42" s="285"/>
      <c r="E42" s="285"/>
      <c r="F42" s="286"/>
      <c r="G42" s="287"/>
      <c r="H42" s="287"/>
      <c r="I42" s="288"/>
      <c r="J42" s="288"/>
      <c r="K42" s="284"/>
    </row>
    <row r="43" spans="2:11" s="283" customFormat="1">
      <c r="B43" s="284"/>
      <c r="D43" s="285"/>
      <c r="E43" s="285"/>
      <c r="F43" s="286"/>
      <c r="G43" s="287"/>
      <c r="H43" s="287"/>
      <c r="I43" s="288"/>
      <c r="J43" s="288"/>
      <c r="K43" s="284"/>
    </row>
    <row r="44" spans="2:11" s="283" customFormat="1">
      <c r="B44" s="284"/>
      <c r="D44" s="285"/>
      <c r="E44" s="285"/>
      <c r="F44" s="286"/>
      <c r="G44" s="287"/>
      <c r="H44" s="287"/>
      <c r="I44" s="288"/>
      <c r="J44" s="288"/>
      <c r="K44" s="284"/>
    </row>
    <row r="45" spans="2:11" s="283" customFormat="1">
      <c r="B45" s="284"/>
      <c r="D45" s="285"/>
      <c r="E45" s="285"/>
      <c r="F45" s="286"/>
      <c r="G45" s="287"/>
      <c r="H45" s="287"/>
      <c r="I45" s="288"/>
      <c r="J45" s="288"/>
      <c r="K45" s="284"/>
    </row>
    <row r="46" spans="2:11" s="283" customFormat="1">
      <c r="B46" s="284"/>
      <c r="D46" s="285"/>
      <c r="E46" s="285"/>
      <c r="F46" s="286"/>
      <c r="G46" s="287"/>
      <c r="H46" s="287"/>
      <c r="I46" s="288"/>
      <c r="J46" s="288"/>
      <c r="K46" s="284"/>
    </row>
    <row r="47" spans="2:11" s="283" customFormat="1">
      <c r="B47" s="284"/>
      <c r="D47" s="285"/>
      <c r="E47" s="285"/>
      <c r="F47" s="286"/>
      <c r="G47" s="287"/>
      <c r="H47" s="287"/>
      <c r="I47" s="288"/>
      <c r="J47" s="288"/>
      <c r="K47" s="284"/>
    </row>
    <row r="48" spans="2:11" s="283" customFormat="1">
      <c r="B48" s="284"/>
      <c r="D48" s="285"/>
      <c r="E48" s="285"/>
      <c r="F48" s="286"/>
      <c r="G48" s="287"/>
      <c r="H48" s="287"/>
      <c r="I48" s="288"/>
      <c r="J48" s="288"/>
      <c r="K48" s="284"/>
    </row>
    <row r="49" spans="2:11" s="283" customFormat="1">
      <c r="B49" s="284"/>
      <c r="D49" s="285"/>
      <c r="E49" s="285"/>
      <c r="F49" s="286"/>
      <c r="G49" s="287"/>
      <c r="H49" s="287"/>
      <c r="I49" s="288"/>
      <c r="J49" s="288"/>
      <c r="K49" s="284"/>
    </row>
    <row r="50" spans="2:11" s="283" customFormat="1">
      <c r="B50" s="284"/>
      <c r="D50" s="285"/>
      <c r="E50" s="285"/>
      <c r="F50" s="286"/>
      <c r="G50" s="287"/>
      <c r="H50" s="287"/>
      <c r="I50" s="288"/>
      <c r="J50" s="288"/>
      <c r="K50" s="284"/>
    </row>
    <row r="51" spans="2:11" s="283" customFormat="1">
      <c r="B51" s="284"/>
      <c r="D51" s="285"/>
      <c r="E51" s="285"/>
      <c r="F51" s="286"/>
      <c r="G51" s="287"/>
      <c r="H51" s="287"/>
      <c r="I51" s="288"/>
      <c r="J51" s="288"/>
      <c r="K51" s="284"/>
    </row>
    <row r="52" spans="2:11" s="283" customFormat="1">
      <c r="B52" s="284"/>
      <c r="D52" s="285"/>
      <c r="E52" s="285"/>
      <c r="F52" s="286"/>
      <c r="G52" s="287"/>
      <c r="H52" s="287"/>
      <c r="I52" s="288"/>
      <c r="J52" s="288"/>
      <c r="K52" s="284"/>
    </row>
    <row r="53" spans="2:11" s="283" customFormat="1">
      <c r="B53" s="284"/>
      <c r="D53" s="285"/>
      <c r="E53" s="285"/>
      <c r="F53" s="286"/>
      <c r="G53" s="287"/>
      <c r="H53" s="287"/>
      <c r="I53" s="288"/>
      <c r="J53" s="288"/>
      <c r="K53" s="284"/>
    </row>
    <row r="54" spans="2:11" s="283" customFormat="1">
      <c r="B54" s="284"/>
      <c r="D54" s="285"/>
      <c r="E54" s="285"/>
      <c r="F54" s="286"/>
      <c r="G54" s="287"/>
      <c r="H54" s="287"/>
      <c r="I54" s="288"/>
      <c r="J54" s="288"/>
      <c r="K54" s="284"/>
    </row>
    <row r="55" spans="2:11" s="283" customFormat="1">
      <c r="B55" s="284"/>
      <c r="D55" s="285"/>
      <c r="E55" s="285"/>
      <c r="F55" s="286"/>
      <c r="G55" s="287"/>
      <c r="H55" s="287"/>
      <c r="I55" s="288"/>
      <c r="J55" s="288"/>
      <c r="K55" s="284"/>
    </row>
    <row r="56" spans="2:11" s="283" customFormat="1">
      <c r="B56" s="284"/>
      <c r="D56" s="285"/>
      <c r="E56" s="285"/>
      <c r="F56" s="286"/>
      <c r="G56" s="287"/>
      <c r="H56" s="287"/>
      <c r="I56" s="288"/>
      <c r="J56" s="288"/>
      <c r="K56" s="284"/>
    </row>
    <row r="57" spans="2:11" s="283" customFormat="1">
      <c r="B57" s="284"/>
      <c r="D57" s="285"/>
      <c r="E57" s="285"/>
      <c r="F57" s="286"/>
      <c r="G57" s="287"/>
      <c r="H57" s="287"/>
      <c r="I57" s="288"/>
      <c r="J57" s="288"/>
      <c r="K57" s="284"/>
    </row>
    <row r="58" spans="2:11" s="283" customFormat="1">
      <c r="B58" s="284"/>
      <c r="D58" s="285"/>
      <c r="E58" s="285"/>
      <c r="F58" s="286"/>
      <c r="G58" s="287"/>
      <c r="H58" s="287"/>
      <c r="I58" s="288"/>
      <c r="J58" s="288"/>
      <c r="K58" s="284"/>
    </row>
    <row r="59" spans="2:11" s="283" customFormat="1">
      <c r="B59" s="284"/>
      <c r="D59" s="285"/>
      <c r="E59" s="285"/>
      <c r="F59" s="286"/>
      <c r="G59" s="287"/>
      <c r="H59" s="287"/>
      <c r="I59" s="288"/>
      <c r="J59" s="288"/>
      <c r="K59" s="284"/>
    </row>
    <row r="60" spans="2:11" s="283" customFormat="1">
      <c r="B60" s="284"/>
      <c r="D60" s="285"/>
      <c r="E60" s="285"/>
      <c r="F60" s="286"/>
      <c r="G60" s="287"/>
      <c r="H60" s="287"/>
      <c r="I60" s="288"/>
      <c r="J60" s="288"/>
      <c r="K60" s="284"/>
    </row>
    <row r="61" spans="2:11" s="283" customFormat="1">
      <c r="B61" s="284"/>
      <c r="D61" s="285"/>
      <c r="E61" s="285"/>
      <c r="F61" s="286"/>
      <c r="G61" s="287"/>
      <c r="H61" s="287"/>
      <c r="I61" s="288"/>
      <c r="J61" s="288"/>
      <c r="K61" s="284"/>
    </row>
    <row r="62" spans="2:11" s="283" customFormat="1">
      <c r="B62" s="284"/>
      <c r="D62" s="285"/>
      <c r="E62" s="285"/>
      <c r="F62" s="286"/>
      <c r="G62" s="287"/>
      <c r="H62" s="287"/>
      <c r="I62" s="288"/>
      <c r="J62" s="288"/>
      <c r="K62" s="284"/>
    </row>
    <row r="63" spans="2:11" s="283" customFormat="1">
      <c r="B63" s="284"/>
      <c r="D63" s="285"/>
      <c r="E63" s="285"/>
      <c r="F63" s="286"/>
      <c r="G63" s="287"/>
      <c r="H63" s="287"/>
      <c r="I63" s="288"/>
      <c r="J63" s="288"/>
      <c r="K63" s="284"/>
    </row>
    <row r="64" spans="2:11" s="283" customFormat="1">
      <c r="B64" s="284"/>
      <c r="D64" s="285"/>
      <c r="E64" s="285"/>
      <c r="F64" s="286"/>
      <c r="G64" s="287"/>
      <c r="H64" s="287"/>
      <c r="I64" s="288"/>
      <c r="J64" s="288"/>
      <c r="K64" s="284"/>
    </row>
    <row r="65" spans="2:11" s="283" customFormat="1">
      <c r="B65" s="284"/>
      <c r="D65" s="285"/>
      <c r="E65" s="285"/>
      <c r="F65" s="286"/>
      <c r="G65" s="287"/>
      <c r="H65" s="287"/>
      <c r="I65" s="288"/>
      <c r="J65" s="288"/>
      <c r="K65" s="284"/>
    </row>
    <row r="66" spans="2:11" s="283" customFormat="1">
      <c r="B66" s="284"/>
      <c r="D66" s="285"/>
      <c r="E66" s="285"/>
      <c r="F66" s="286"/>
      <c r="G66" s="287"/>
      <c r="H66" s="287"/>
      <c r="I66" s="288"/>
      <c r="J66" s="288"/>
      <c r="K66" s="284"/>
    </row>
    <row r="67" spans="2:11" s="283" customFormat="1">
      <c r="B67" s="284"/>
      <c r="D67" s="285"/>
      <c r="E67" s="285"/>
      <c r="F67" s="286"/>
      <c r="G67" s="287"/>
      <c r="H67" s="287"/>
      <c r="I67" s="288"/>
      <c r="J67" s="288"/>
      <c r="K67" s="284"/>
    </row>
    <row r="68" spans="2:11" s="283" customFormat="1">
      <c r="B68" s="284"/>
      <c r="D68" s="285"/>
      <c r="E68" s="285"/>
      <c r="F68" s="286"/>
      <c r="G68" s="287"/>
      <c r="H68" s="287"/>
      <c r="I68" s="288"/>
      <c r="J68" s="288"/>
      <c r="K68" s="284"/>
    </row>
    <row r="69" spans="2:11" s="283" customFormat="1">
      <c r="B69" s="284"/>
      <c r="D69" s="285"/>
      <c r="E69" s="285"/>
      <c r="F69" s="286"/>
      <c r="G69" s="287"/>
      <c r="H69" s="287"/>
      <c r="I69" s="288"/>
      <c r="J69" s="288"/>
      <c r="K69" s="284"/>
    </row>
    <row r="70" spans="2:11" s="283" customFormat="1">
      <c r="B70" s="284"/>
      <c r="D70" s="285"/>
      <c r="E70" s="285"/>
      <c r="F70" s="286"/>
      <c r="G70" s="287"/>
      <c r="H70" s="287"/>
      <c r="I70" s="288"/>
      <c r="J70" s="288"/>
      <c r="K70" s="284"/>
    </row>
    <row r="71" spans="2:11" s="283" customFormat="1">
      <c r="B71" s="284"/>
      <c r="D71" s="285"/>
      <c r="E71" s="285"/>
      <c r="F71" s="286"/>
      <c r="G71" s="287"/>
      <c r="H71" s="287"/>
      <c r="I71" s="288"/>
      <c r="J71" s="288"/>
      <c r="K71" s="284"/>
    </row>
    <row r="72" spans="2:11" s="283" customFormat="1">
      <c r="B72" s="284"/>
      <c r="D72" s="285"/>
      <c r="E72" s="285"/>
      <c r="F72" s="286"/>
      <c r="G72" s="287"/>
      <c r="H72" s="287"/>
      <c r="I72" s="288"/>
      <c r="J72" s="288"/>
      <c r="K72" s="284"/>
    </row>
    <row r="73" spans="2:11" s="283" customFormat="1">
      <c r="B73" s="284"/>
      <c r="D73" s="285"/>
      <c r="E73" s="285"/>
      <c r="F73" s="286"/>
      <c r="G73" s="287"/>
      <c r="H73" s="287"/>
      <c r="I73" s="288"/>
      <c r="J73" s="288"/>
      <c r="K73" s="284"/>
    </row>
    <row r="74" spans="2:11" s="283" customFormat="1">
      <c r="B74" s="284"/>
      <c r="D74" s="285"/>
      <c r="E74" s="285"/>
      <c r="F74" s="286"/>
      <c r="G74" s="287"/>
      <c r="H74" s="287"/>
      <c r="I74" s="288"/>
      <c r="J74" s="288"/>
      <c r="K74" s="284"/>
    </row>
    <row r="75" spans="2:11" s="283" customFormat="1">
      <c r="B75" s="284"/>
      <c r="D75" s="285"/>
      <c r="E75" s="285"/>
      <c r="F75" s="286"/>
      <c r="G75" s="287"/>
      <c r="H75" s="287"/>
      <c r="I75" s="288"/>
      <c r="J75" s="288"/>
      <c r="K75" s="284"/>
    </row>
    <row r="76" spans="2:11" s="283" customFormat="1">
      <c r="B76" s="284"/>
      <c r="D76" s="285"/>
      <c r="E76" s="285"/>
      <c r="F76" s="286"/>
      <c r="G76" s="287"/>
      <c r="H76" s="287"/>
      <c r="I76" s="288"/>
      <c r="J76" s="288"/>
      <c r="K76" s="284"/>
    </row>
    <row r="77" spans="2:11" s="283" customFormat="1">
      <c r="B77" s="284"/>
      <c r="D77" s="285"/>
      <c r="E77" s="285"/>
      <c r="F77" s="286"/>
      <c r="G77" s="287"/>
      <c r="H77" s="287"/>
      <c r="I77" s="288"/>
      <c r="J77" s="288"/>
      <c r="K77" s="284"/>
    </row>
    <row r="78" spans="2:11" s="283" customFormat="1">
      <c r="B78" s="284"/>
      <c r="D78" s="285"/>
      <c r="E78" s="285"/>
      <c r="F78" s="286"/>
      <c r="G78" s="287"/>
      <c r="H78" s="287"/>
      <c r="I78" s="288"/>
      <c r="J78" s="288"/>
      <c r="K78" s="284"/>
    </row>
    <row r="79" spans="2:11" s="283" customFormat="1">
      <c r="B79" s="284"/>
      <c r="D79" s="285"/>
      <c r="E79" s="285"/>
      <c r="F79" s="286"/>
      <c r="G79" s="287"/>
      <c r="H79" s="287"/>
      <c r="I79" s="288"/>
      <c r="J79" s="288"/>
      <c r="K79" s="284"/>
    </row>
    <row r="80" spans="2:11" s="283" customFormat="1">
      <c r="B80" s="284"/>
      <c r="D80" s="285"/>
      <c r="E80" s="285"/>
      <c r="F80" s="286"/>
      <c r="G80" s="287"/>
      <c r="H80" s="287"/>
      <c r="I80" s="288"/>
      <c r="J80" s="288"/>
      <c r="K80" s="284"/>
    </row>
    <row r="81" spans="2:11" s="283" customFormat="1">
      <c r="B81" s="284"/>
      <c r="D81" s="285"/>
      <c r="E81" s="285"/>
      <c r="F81" s="286"/>
      <c r="G81" s="287"/>
      <c r="H81" s="287"/>
      <c r="I81" s="288"/>
      <c r="J81" s="288"/>
      <c r="K81" s="284"/>
    </row>
    <row r="82" spans="2:11" s="283" customFormat="1">
      <c r="B82" s="284"/>
      <c r="D82" s="285"/>
      <c r="E82" s="285"/>
      <c r="F82" s="286"/>
      <c r="G82" s="287"/>
      <c r="H82" s="287"/>
      <c r="I82" s="288"/>
      <c r="J82" s="288"/>
      <c r="K82" s="284"/>
    </row>
    <row r="83" spans="2:11" s="283" customFormat="1">
      <c r="B83" s="284"/>
      <c r="D83" s="285"/>
      <c r="E83" s="285"/>
      <c r="F83" s="286"/>
      <c r="G83" s="287"/>
      <c r="H83" s="287"/>
      <c r="I83" s="288"/>
      <c r="J83" s="288"/>
      <c r="K83" s="284"/>
    </row>
    <row r="84" spans="2:11" s="283" customFormat="1">
      <c r="B84" s="284"/>
      <c r="D84" s="285"/>
      <c r="E84" s="285"/>
      <c r="F84" s="286"/>
      <c r="G84" s="287"/>
      <c r="H84" s="287"/>
      <c r="I84" s="288"/>
      <c r="J84" s="288"/>
      <c r="K84" s="284"/>
    </row>
    <row r="85" spans="2:11" s="283" customFormat="1">
      <c r="B85" s="284"/>
      <c r="D85" s="285"/>
      <c r="E85" s="285"/>
      <c r="F85" s="286"/>
      <c r="G85" s="287"/>
      <c r="H85" s="287"/>
      <c r="I85" s="288"/>
      <c r="J85" s="288"/>
      <c r="K85" s="284"/>
    </row>
    <row r="86" spans="2:11" s="283" customFormat="1">
      <c r="B86" s="284"/>
      <c r="D86" s="285"/>
      <c r="E86" s="285"/>
      <c r="F86" s="286"/>
      <c r="G86" s="287"/>
      <c r="H86" s="287"/>
      <c r="I86" s="288"/>
      <c r="J86" s="288"/>
      <c r="K86" s="284"/>
    </row>
    <row r="87" spans="2:11" s="283" customFormat="1">
      <c r="B87" s="284"/>
      <c r="D87" s="285"/>
      <c r="E87" s="285"/>
      <c r="F87" s="286"/>
      <c r="G87" s="287"/>
      <c r="H87" s="287"/>
      <c r="I87" s="288"/>
      <c r="J87" s="288"/>
      <c r="K87" s="284"/>
    </row>
    <row r="88" spans="2:11" s="283" customFormat="1">
      <c r="B88" s="284"/>
      <c r="D88" s="285"/>
      <c r="E88" s="285"/>
      <c r="F88" s="286"/>
      <c r="G88" s="287"/>
      <c r="H88" s="287"/>
      <c r="I88" s="288"/>
      <c r="J88" s="288"/>
      <c r="K88" s="284"/>
    </row>
    <row r="89" spans="2:11" s="283" customFormat="1">
      <c r="B89" s="284"/>
      <c r="D89" s="285"/>
      <c r="E89" s="285"/>
      <c r="F89" s="286"/>
      <c r="G89" s="287"/>
      <c r="H89" s="287"/>
      <c r="I89" s="288"/>
      <c r="J89" s="288"/>
      <c r="K89" s="284"/>
    </row>
    <row r="90" spans="2:11" s="283" customFormat="1">
      <c r="B90" s="284"/>
      <c r="D90" s="285"/>
      <c r="E90" s="285"/>
      <c r="F90" s="286"/>
      <c r="G90" s="287"/>
      <c r="H90" s="287"/>
      <c r="I90" s="288"/>
      <c r="J90" s="288"/>
      <c r="K90" s="284"/>
    </row>
    <row r="91" spans="2:11" s="283" customFormat="1">
      <c r="B91" s="284"/>
      <c r="D91" s="285"/>
      <c r="E91" s="285"/>
      <c r="F91" s="286"/>
      <c r="G91" s="287"/>
      <c r="H91" s="287"/>
      <c r="I91" s="288"/>
      <c r="J91" s="288"/>
      <c r="K91" s="284"/>
    </row>
    <row r="92" spans="2:11" s="283" customFormat="1">
      <c r="B92" s="284"/>
      <c r="D92" s="285"/>
      <c r="E92" s="285"/>
      <c r="F92" s="286"/>
      <c r="G92" s="287"/>
      <c r="H92" s="287"/>
      <c r="I92" s="288"/>
      <c r="J92" s="288"/>
      <c r="K92" s="284"/>
    </row>
    <row r="93" spans="2:11" s="283" customFormat="1">
      <c r="B93" s="284"/>
      <c r="D93" s="285"/>
      <c r="E93" s="285"/>
      <c r="F93" s="286"/>
      <c r="G93" s="287"/>
      <c r="H93" s="287"/>
      <c r="I93" s="288"/>
      <c r="J93" s="288"/>
      <c r="K93" s="284"/>
    </row>
    <row r="94" spans="2:11" s="283" customFormat="1">
      <c r="B94" s="284"/>
      <c r="D94" s="285"/>
      <c r="E94" s="285"/>
      <c r="F94" s="286"/>
      <c r="G94" s="287"/>
      <c r="H94" s="287"/>
      <c r="I94" s="288"/>
      <c r="J94" s="288"/>
      <c r="K94" s="284"/>
    </row>
    <row r="95" spans="2:11" s="283" customFormat="1">
      <c r="B95" s="284"/>
      <c r="D95" s="285"/>
      <c r="E95" s="285"/>
      <c r="F95" s="286"/>
      <c r="G95" s="287"/>
      <c r="H95" s="287"/>
      <c r="I95" s="288"/>
      <c r="J95" s="288"/>
      <c r="K95" s="284"/>
    </row>
    <row r="96" spans="2:11" s="283" customFormat="1">
      <c r="B96" s="284"/>
      <c r="D96" s="285"/>
      <c r="E96" s="285"/>
      <c r="F96" s="286"/>
      <c r="G96" s="287"/>
      <c r="H96" s="287"/>
      <c r="I96" s="288"/>
      <c r="J96" s="288"/>
      <c r="K96" s="284"/>
    </row>
    <row r="97" spans="2:11" s="283" customFormat="1">
      <c r="B97" s="284"/>
      <c r="D97" s="285"/>
      <c r="E97" s="285"/>
      <c r="F97" s="286"/>
      <c r="G97" s="287"/>
      <c r="H97" s="287"/>
      <c r="I97" s="288"/>
      <c r="J97" s="288"/>
      <c r="K97" s="284"/>
    </row>
    <row r="98" spans="2:11" s="283" customFormat="1">
      <c r="B98" s="284"/>
      <c r="D98" s="285"/>
      <c r="E98" s="285"/>
      <c r="F98" s="286"/>
      <c r="G98" s="287"/>
      <c r="H98" s="287"/>
      <c r="I98" s="288"/>
      <c r="J98" s="288"/>
      <c r="K98" s="284"/>
    </row>
    <row r="99" spans="2:11" s="283" customFormat="1">
      <c r="B99" s="284"/>
      <c r="D99" s="285"/>
      <c r="E99" s="285"/>
      <c r="F99" s="286"/>
      <c r="G99" s="287"/>
      <c r="H99" s="287"/>
      <c r="I99" s="288"/>
      <c r="J99" s="288"/>
      <c r="K99" s="284"/>
    </row>
    <row r="100" spans="2:11" s="283" customFormat="1">
      <c r="B100" s="284"/>
      <c r="D100" s="285"/>
      <c r="E100" s="285"/>
      <c r="F100" s="286"/>
      <c r="G100" s="287"/>
      <c r="H100" s="287"/>
      <c r="I100" s="288"/>
      <c r="J100" s="288"/>
      <c r="K100" s="284"/>
    </row>
    <row r="101" spans="2:11" s="283" customFormat="1">
      <c r="B101" s="284"/>
      <c r="D101" s="285"/>
      <c r="E101" s="285"/>
      <c r="F101" s="286"/>
      <c r="G101" s="287"/>
      <c r="H101" s="287"/>
      <c r="I101" s="288"/>
      <c r="J101" s="288"/>
      <c r="K101" s="284"/>
    </row>
    <row r="102" spans="2:11" s="283" customFormat="1">
      <c r="B102" s="284"/>
      <c r="D102" s="285"/>
      <c r="E102" s="285"/>
      <c r="F102" s="286"/>
      <c r="G102" s="287"/>
      <c r="H102" s="287"/>
      <c r="I102" s="288"/>
      <c r="J102" s="288"/>
      <c r="K102" s="284"/>
    </row>
    <row r="103" spans="2:11" s="283" customFormat="1">
      <c r="B103" s="284"/>
      <c r="D103" s="285"/>
      <c r="E103" s="285"/>
      <c r="F103" s="286"/>
      <c r="G103" s="287"/>
      <c r="H103" s="287"/>
      <c r="I103" s="288"/>
      <c r="J103" s="288"/>
      <c r="K103" s="284"/>
    </row>
    <row r="104" spans="2:11" s="283" customFormat="1">
      <c r="B104" s="284"/>
      <c r="D104" s="285"/>
      <c r="E104" s="285"/>
      <c r="F104" s="286"/>
      <c r="G104" s="287"/>
      <c r="H104" s="287"/>
      <c r="I104" s="288"/>
      <c r="J104" s="288"/>
      <c r="K104" s="284"/>
    </row>
    <row r="105" spans="2:11" s="283" customFormat="1">
      <c r="B105" s="284"/>
      <c r="D105" s="285"/>
      <c r="E105" s="285"/>
      <c r="F105" s="286"/>
      <c r="G105" s="287"/>
      <c r="H105" s="287"/>
      <c r="I105" s="288"/>
      <c r="J105" s="288"/>
      <c r="K105" s="284"/>
    </row>
    <row r="106" spans="2:11" s="283" customFormat="1">
      <c r="B106" s="284"/>
      <c r="D106" s="285"/>
      <c r="E106" s="285"/>
      <c r="F106" s="286"/>
      <c r="G106" s="287"/>
      <c r="H106" s="287"/>
      <c r="I106" s="288"/>
      <c r="J106" s="288"/>
      <c r="K106" s="284"/>
    </row>
    <row r="107" spans="2:11" s="283" customFormat="1">
      <c r="B107" s="284"/>
      <c r="D107" s="285"/>
      <c r="E107" s="285"/>
      <c r="F107" s="286"/>
      <c r="G107" s="287"/>
      <c r="H107" s="287"/>
      <c r="I107" s="288"/>
      <c r="J107" s="288"/>
      <c r="K107" s="284"/>
    </row>
    <row r="108" spans="2:11" s="283" customFormat="1">
      <c r="B108" s="284"/>
      <c r="D108" s="285"/>
      <c r="E108" s="285"/>
      <c r="F108" s="286"/>
      <c r="G108" s="287"/>
      <c r="H108" s="287"/>
      <c r="I108" s="288"/>
      <c r="J108" s="288"/>
      <c r="K108" s="284"/>
    </row>
    <row r="109" spans="2:11" s="283" customFormat="1">
      <c r="B109" s="284"/>
      <c r="D109" s="285"/>
      <c r="E109" s="285"/>
      <c r="F109" s="286"/>
      <c r="G109" s="287"/>
      <c r="H109" s="287"/>
      <c r="I109" s="288"/>
      <c r="J109" s="288"/>
      <c r="K109" s="284"/>
    </row>
    <row r="110" spans="2:11" s="283" customFormat="1">
      <c r="B110" s="284"/>
      <c r="D110" s="285"/>
      <c r="E110" s="285"/>
      <c r="F110" s="286"/>
      <c r="G110" s="287"/>
      <c r="H110" s="287"/>
      <c r="I110" s="288"/>
      <c r="J110" s="288"/>
      <c r="K110" s="284"/>
    </row>
    <row r="111" spans="2:11" s="283" customFormat="1">
      <c r="B111" s="284"/>
      <c r="D111" s="285"/>
      <c r="E111" s="285"/>
      <c r="F111" s="286"/>
      <c r="G111" s="287"/>
      <c r="H111" s="287"/>
      <c r="I111" s="288"/>
      <c r="J111" s="288"/>
      <c r="K111" s="284"/>
    </row>
    <row r="112" spans="2:11" s="283" customFormat="1">
      <c r="B112" s="284"/>
      <c r="D112" s="285"/>
      <c r="E112" s="285"/>
      <c r="F112" s="286"/>
      <c r="G112" s="287"/>
      <c r="H112" s="287"/>
      <c r="I112" s="288"/>
      <c r="J112" s="288"/>
      <c r="K112" s="284"/>
    </row>
    <row r="113" spans="2:11" s="283" customFormat="1">
      <c r="B113" s="284"/>
      <c r="D113" s="285"/>
      <c r="E113" s="285"/>
      <c r="F113" s="286"/>
      <c r="G113" s="287"/>
      <c r="H113" s="287"/>
      <c r="I113" s="288"/>
      <c r="J113" s="288"/>
      <c r="K113" s="284"/>
    </row>
    <row r="114" spans="2:11" s="283" customFormat="1">
      <c r="B114" s="284"/>
      <c r="D114" s="285"/>
      <c r="E114" s="285"/>
      <c r="F114" s="286"/>
      <c r="G114" s="287"/>
      <c r="H114" s="287"/>
      <c r="I114" s="288"/>
      <c r="J114" s="288"/>
      <c r="K114" s="284"/>
    </row>
    <row r="115" spans="2:11" s="283" customFormat="1">
      <c r="B115" s="284"/>
      <c r="D115" s="285"/>
      <c r="E115" s="285"/>
      <c r="F115" s="286"/>
      <c r="G115" s="287"/>
      <c r="H115" s="287"/>
      <c r="I115" s="288"/>
      <c r="J115" s="288"/>
      <c r="K115" s="284"/>
    </row>
    <row r="116" spans="2:11" s="283" customFormat="1">
      <c r="B116" s="284"/>
      <c r="D116" s="285"/>
      <c r="E116" s="285"/>
      <c r="F116" s="286"/>
      <c r="G116" s="287"/>
      <c r="H116" s="287"/>
      <c r="I116" s="288"/>
      <c r="J116" s="288"/>
      <c r="K116" s="284"/>
    </row>
    <row r="117" spans="2:11" s="283" customFormat="1">
      <c r="B117" s="284"/>
      <c r="D117" s="285"/>
      <c r="E117" s="285"/>
      <c r="F117" s="286"/>
      <c r="G117" s="287"/>
      <c r="H117" s="287"/>
      <c r="I117" s="288"/>
      <c r="J117" s="288"/>
      <c r="K117" s="284"/>
    </row>
    <row r="118" spans="2:11" s="283" customFormat="1">
      <c r="B118" s="284"/>
      <c r="D118" s="285"/>
      <c r="E118" s="285"/>
      <c r="F118" s="286"/>
      <c r="G118" s="287"/>
      <c r="H118" s="287"/>
      <c r="I118" s="288"/>
      <c r="J118" s="288"/>
      <c r="K118" s="284"/>
    </row>
    <row r="119" spans="2:11" s="283" customFormat="1">
      <c r="B119" s="284"/>
      <c r="D119" s="285"/>
      <c r="E119" s="285"/>
      <c r="F119" s="286"/>
      <c r="G119" s="287"/>
      <c r="H119" s="287"/>
      <c r="I119" s="288"/>
      <c r="J119" s="288"/>
      <c r="K119" s="284"/>
    </row>
    <row r="120" spans="2:11" s="283" customFormat="1">
      <c r="B120" s="284"/>
      <c r="D120" s="285"/>
      <c r="E120" s="285"/>
      <c r="F120" s="286"/>
      <c r="G120" s="287"/>
      <c r="H120" s="287"/>
      <c r="I120" s="288"/>
      <c r="J120" s="288"/>
      <c r="K120" s="284"/>
    </row>
    <row r="121" spans="2:11" s="283" customFormat="1">
      <c r="B121" s="284"/>
      <c r="D121" s="285"/>
      <c r="E121" s="285"/>
      <c r="F121" s="286"/>
      <c r="G121" s="287"/>
      <c r="H121" s="287"/>
      <c r="I121" s="288"/>
      <c r="J121" s="288"/>
      <c r="K121" s="284"/>
    </row>
    <row r="122" spans="2:11" s="283" customFormat="1">
      <c r="B122" s="284"/>
      <c r="D122" s="285"/>
      <c r="E122" s="285"/>
      <c r="F122" s="286"/>
      <c r="G122" s="287"/>
      <c r="H122" s="287"/>
      <c r="I122" s="288"/>
      <c r="J122" s="288"/>
      <c r="K122" s="284"/>
    </row>
    <row r="123" spans="2:11" s="283" customFormat="1">
      <c r="B123" s="284"/>
      <c r="D123" s="285"/>
      <c r="E123" s="285"/>
      <c r="F123" s="286"/>
      <c r="G123" s="287"/>
      <c r="H123" s="287"/>
      <c r="I123" s="288"/>
      <c r="J123" s="288"/>
      <c r="K123" s="284"/>
    </row>
    <row r="124" spans="2:11" s="283" customFormat="1">
      <c r="B124" s="284"/>
      <c r="D124" s="285"/>
      <c r="E124" s="285"/>
      <c r="F124" s="286"/>
      <c r="G124" s="287"/>
      <c r="H124" s="287"/>
      <c r="I124" s="288"/>
      <c r="J124" s="288"/>
      <c r="K124" s="284"/>
    </row>
    <row r="125" spans="2:11" s="283" customFormat="1">
      <c r="B125" s="284"/>
      <c r="D125" s="285"/>
      <c r="E125" s="285"/>
      <c r="F125" s="286"/>
      <c r="G125" s="287"/>
      <c r="H125" s="287"/>
      <c r="I125" s="288"/>
      <c r="J125" s="288"/>
      <c r="K125" s="284"/>
    </row>
    <row r="126" spans="2:11" s="283" customFormat="1">
      <c r="B126" s="284"/>
      <c r="D126" s="285"/>
      <c r="E126" s="285"/>
      <c r="F126" s="286"/>
      <c r="G126" s="287"/>
      <c r="H126" s="287"/>
      <c r="I126" s="288"/>
      <c r="J126" s="288"/>
      <c r="K126" s="284"/>
    </row>
    <row r="127" spans="2:11" s="283" customFormat="1">
      <c r="B127" s="284"/>
      <c r="D127" s="285"/>
      <c r="E127" s="285"/>
      <c r="F127" s="286"/>
      <c r="G127" s="287"/>
      <c r="H127" s="287"/>
      <c r="I127" s="288"/>
      <c r="J127" s="288"/>
      <c r="K127" s="284"/>
    </row>
    <row r="128" spans="2:11" s="283" customFormat="1">
      <c r="B128" s="284"/>
      <c r="D128" s="285"/>
      <c r="E128" s="285"/>
      <c r="F128" s="286"/>
      <c r="G128" s="287"/>
      <c r="H128" s="287"/>
      <c r="I128" s="288"/>
      <c r="J128" s="288"/>
      <c r="K128" s="284"/>
    </row>
    <row r="129" spans="2:11" s="283" customFormat="1">
      <c r="B129" s="284"/>
      <c r="D129" s="285"/>
      <c r="E129" s="285"/>
      <c r="F129" s="286"/>
      <c r="G129" s="287"/>
      <c r="H129" s="287"/>
      <c r="I129" s="288"/>
      <c r="J129" s="288"/>
      <c r="K129" s="284"/>
    </row>
    <row r="130" spans="2:11" s="283" customFormat="1">
      <c r="B130" s="284"/>
      <c r="D130" s="285"/>
      <c r="E130" s="285"/>
      <c r="F130" s="286"/>
      <c r="G130" s="287"/>
      <c r="H130" s="287"/>
      <c r="I130" s="288"/>
      <c r="J130" s="288"/>
      <c r="K130" s="284"/>
    </row>
    <row r="131" spans="2:11" s="283" customFormat="1">
      <c r="B131" s="284"/>
      <c r="D131" s="285"/>
      <c r="E131" s="285"/>
      <c r="F131" s="286"/>
      <c r="G131" s="287"/>
      <c r="H131" s="287"/>
      <c r="I131" s="288"/>
      <c r="J131" s="288"/>
      <c r="K131" s="284"/>
    </row>
    <row r="132" spans="2:11" s="283" customFormat="1">
      <c r="B132" s="284"/>
      <c r="D132" s="285"/>
      <c r="E132" s="285"/>
      <c r="F132" s="286"/>
      <c r="G132" s="287"/>
      <c r="H132" s="287"/>
      <c r="I132" s="288"/>
      <c r="J132" s="288"/>
      <c r="K132" s="284"/>
    </row>
    <row r="133" spans="2:11" s="283" customFormat="1">
      <c r="B133" s="284"/>
      <c r="D133" s="285"/>
      <c r="E133" s="285"/>
      <c r="F133" s="286"/>
      <c r="G133" s="287"/>
      <c r="H133" s="287"/>
      <c r="I133" s="288"/>
      <c r="J133" s="288"/>
      <c r="K133" s="284"/>
    </row>
    <row r="134" spans="2:11" s="283" customFormat="1">
      <c r="B134" s="284"/>
      <c r="D134" s="285"/>
      <c r="E134" s="285"/>
      <c r="F134" s="286"/>
      <c r="G134" s="287"/>
      <c r="H134" s="287"/>
      <c r="I134" s="288"/>
      <c r="J134" s="288"/>
      <c r="K134" s="284"/>
    </row>
    <row r="135" spans="2:11" s="283" customFormat="1">
      <c r="B135" s="284"/>
      <c r="D135" s="285"/>
      <c r="E135" s="285"/>
      <c r="F135" s="286"/>
      <c r="G135" s="287"/>
      <c r="H135" s="287"/>
      <c r="I135" s="288"/>
      <c r="J135" s="288"/>
      <c r="K135" s="284"/>
    </row>
    <row r="136" spans="2:11" s="283" customFormat="1">
      <c r="B136" s="284"/>
      <c r="D136" s="285"/>
      <c r="E136" s="285"/>
      <c r="F136" s="286"/>
      <c r="G136" s="287"/>
      <c r="H136" s="287"/>
      <c r="I136" s="288"/>
      <c r="J136" s="288"/>
      <c r="K136" s="284"/>
    </row>
    <row r="137" spans="2:11" s="283" customFormat="1">
      <c r="B137" s="284"/>
      <c r="D137" s="285"/>
      <c r="E137" s="285"/>
      <c r="F137" s="286"/>
      <c r="G137" s="287"/>
      <c r="H137" s="287"/>
      <c r="I137" s="288"/>
      <c r="J137" s="288"/>
      <c r="K137" s="284"/>
    </row>
    <row r="138" spans="2:11" s="283" customFormat="1">
      <c r="B138" s="284"/>
      <c r="D138" s="285"/>
      <c r="E138" s="285"/>
      <c r="F138" s="286"/>
      <c r="G138" s="287"/>
      <c r="H138" s="287"/>
      <c r="I138" s="288"/>
      <c r="J138" s="288"/>
      <c r="K138" s="284"/>
    </row>
    <row r="139" spans="2:11" s="283" customFormat="1">
      <c r="B139" s="284"/>
      <c r="D139" s="285"/>
      <c r="E139" s="285"/>
      <c r="F139" s="286"/>
      <c r="G139" s="287"/>
      <c r="H139" s="287"/>
      <c r="I139" s="288"/>
      <c r="J139" s="288"/>
      <c r="K139" s="284"/>
    </row>
    <row r="140" spans="2:11" s="283" customFormat="1">
      <c r="B140" s="284"/>
      <c r="D140" s="285"/>
      <c r="E140" s="285"/>
      <c r="F140" s="286"/>
      <c r="G140" s="287"/>
      <c r="H140" s="287"/>
      <c r="I140" s="288"/>
      <c r="J140" s="288"/>
      <c r="K140" s="284"/>
    </row>
  </sheetData>
  <autoFilter ref="A6:J21">
    <sortState ref="A7:J22">
      <sortCondition ref="B6:B22"/>
    </sortState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4:K22"/>
  <sheetViews>
    <sheetView workbookViewId="0">
      <selection activeCell="D9" sqref="D9"/>
    </sheetView>
  </sheetViews>
  <sheetFormatPr baseColWidth="10" defaultRowHeight="15"/>
  <cols>
    <col min="1" max="1" width="6.140625" style="201" customWidth="1"/>
    <col min="2" max="2" width="9.42578125" style="201" customWidth="1"/>
    <col min="3" max="3" width="12.42578125" style="201" bestFit="1" customWidth="1"/>
    <col min="4" max="4" width="29.85546875" style="201" bestFit="1" customWidth="1"/>
    <col min="5" max="5" width="10.28515625" style="201" bestFit="1" customWidth="1"/>
    <col min="6" max="6" width="6.140625" style="201" customWidth="1"/>
    <col min="7" max="7" width="11.42578125" style="201"/>
    <col min="8" max="11" width="15" style="201" customWidth="1"/>
    <col min="12" max="16384" width="11.42578125" style="201"/>
  </cols>
  <sheetData>
    <row r="4" spans="1:11" ht="20.25" customHeight="1">
      <c r="A4" s="242"/>
      <c r="B4" s="243"/>
      <c r="C4" s="242"/>
      <c r="D4" s="242"/>
      <c r="E4" s="242"/>
      <c r="F4" s="242"/>
      <c r="G4" s="244"/>
      <c r="H4" s="245">
        <f>SUBTOTAL(9,H6:H29917)</f>
        <v>43869</v>
      </c>
      <c r="I4" s="245">
        <f>SUBTOTAL(9,I6:I29917)</f>
        <v>411941.5</v>
      </c>
      <c r="J4" s="245">
        <f>SUBTOTAL(9,J6:J29917)</f>
        <v>0</v>
      </c>
      <c r="K4" s="245">
        <f>SUBTOTAL(9,K6:K29917)</f>
        <v>0</v>
      </c>
    </row>
    <row r="5" spans="1:11">
      <c r="A5" s="246" t="s">
        <v>15</v>
      </c>
      <c r="B5" s="246" t="s">
        <v>116</v>
      </c>
      <c r="C5" s="246" t="s">
        <v>117</v>
      </c>
      <c r="D5" s="246" t="s">
        <v>118</v>
      </c>
      <c r="E5" s="246" t="s">
        <v>108</v>
      </c>
      <c r="F5" s="246" t="s">
        <v>119</v>
      </c>
      <c r="G5" s="247" t="s">
        <v>120</v>
      </c>
      <c r="H5" s="246" t="s">
        <v>121</v>
      </c>
      <c r="I5" s="246" t="s">
        <v>115</v>
      </c>
      <c r="J5" s="246" t="s">
        <v>122</v>
      </c>
      <c r="K5" s="246" t="s">
        <v>123</v>
      </c>
    </row>
    <row r="6" spans="1:11" ht="16.5">
      <c r="A6" s="248">
        <v>1</v>
      </c>
      <c r="B6" s="249"/>
      <c r="C6" s="250"/>
      <c r="D6" s="251" t="s">
        <v>334</v>
      </c>
      <c r="E6" s="252"/>
      <c r="F6" s="252"/>
      <c r="G6" s="248"/>
      <c r="H6" s="253"/>
      <c r="I6" s="253">
        <v>268241.5</v>
      </c>
      <c r="J6" s="254"/>
      <c r="K6" s="255"/>
    </row>
    <row r="7" spans="1:11" ht="16.5">
      <c r="A7" s="248">
        <v>6</v>
      </c>
      <c r="B7" s="249"/>
      <c r="C7" s="250"/>
      <c r="D7" s="251" t="s">
        <v>335</v>
      </c>
      <c r="E7" s="252"/>
      <c r="F7" s="252"/>
      <c r="G7" s="248"/>
      <c r="H7" s="253"/>
      <c r="I7" s="253">
        <v>143700</v>
      </c>
      <c r="J7" s="254"/>
      <c r="K7" s="255"/>
    </row>
    <row r="8" spans="1:11" ht="16.5">
      <c r="A8" s="248">
        <v>5</v>
      </c>
      <c r="B8" s="249"/>
      <c r="C8" s="250"/>
      <c r="D8" s="251" t="s">
        <v>336</v>
      </c>
      <c r="E8" s="252"/>
      <c r="F8" s="252"/>
      <c r="G8" s="248"/>
      <c r="H8" s="253">
        <v>43869</v>
      </c>
      <c r="I8" s="253"/>
      <c r="J8" s="254"/>
      <c r="K8" s="255"/>
    </row>
    <row r="9" spans="1:11" ht="16.5">
      <c r="A9" s="248">
        <v>8</v>
      </c>
      <c r="B9" s="249"/>
      <c r="C9" s="250"/>
      <c r="D9" s="251"/>
      <c r="E9" s="242"/>
      <c r="F9" s="252"/>
      <c r="G9" s="242"/>
      <c r="H9" s="253"/>
      <c r="I9" s="253"/>
      <c r="J9" s="242"/>
      <c r="K9" s="242"/>
    </row>
    <row r="10" spans="1:11" ht="16.5">
      <c r="A10" s="248">
        <v>9</v>
      </c>
      <c r="B10" s="249"/>
      <c r="C10" s="250"/>
      <c r="D10" s="251"/>
      <c r="E10" s="242"/>
      <c r="F10" s="252"/>
      <c r="G10" s="242"/>
      <c r="H10" s="253"/>
      <c r="I10" s="253"/>
      <c r="J10" s="242"/>
      <c r="K10" s="242"/>
    </row>
    <row r="11" spans="1:11" ht="16.5">
      <c r="A11" s="248">
        <v>10</v>
      </c>
      <c r="B11" s="249"/>
      <c r="C11" s="250"/>
      <c r="D11" s="256"/>
      <c r="E11" s="242"/>
      <c r="F11" s="252"/>
      <c r="G11" s="242"/>
      <c r="H11" s="253"/>
      <c r="I11" s="253"/>
      <c r="J11" s="242"/>
      <c r="K11" s="242"/>
    </row>
    <row r="12" spans="1:11" ht="16.5">
      <c r="A12" s="248">
        <v>11</v>
      </c>
      <c r="B12" s="249"/>
      <c r="C12" s="250"/>
      <c r="D12" s="257"/>
      <c r="E12" s="242"/>
      <c r="F12" s="242"/>
      <c r="G12" s="242"/>
      <c r="H12" s="253"/>
      <c r="I12" s="253"/>
      <c r="J12" s="242"/>
      <c r="K12" s="242"/>
    </row>
    <row r="13" spans="1:11" ht="16.5">
      <c r="A13" s="248">
        <v>12</v>
      </c>
      <c r="B13" s="249"/>
      <c r="C13" s="250"/>
      <c r="D13" s="251"/>
      <c r="E13" s="242"/>
      <c r="F13" s="242"/>
      <c r="G13" s="242"/>
      <c r="H13" s="253"/>
      <c r="I13" s="253"/>
      <c r="J13" s="242"/>
      <c r="K13" s="242"/>
    </row>
    <row r="14" spans="1:11" ht="16.5">
      <c r="A14" s="248">
        <v>13</v>
      </c>
      <c r="B14" s="249"/>
      <c r="C14" s="250"/>
      <c r="D14" s="251"/>
      <c r="E14" s="242"/>
      <c r="F14" s="242"/>
      <c r="G14" s="242"/>
      <c r="H14" s="253"/>
      <c r="I14" s="253"/>
      <c r="J14" s="242"/>
      <c r="K14" s="242"/>
    </row>
    <row r="15" spans="1:11" ht="16.5">
      <c r="A15" s="248">
        <v>14</v>
      </c>
      <c r="B15" s="249"/>
      <c r="C15" s="250"/>
      <c r="D15" s="251"/>
      <c r="E15" s="242"/>
      <c r="F15" s="242"/>
      <c r="G15" s="242"/>
      <c r="H15" s="253"/>
      <c r="I15" s="253"/>
      <c r="J15" s="242"/>
      <c r="K15" s="242"/>
    </row>
    <row r="16" spans="1:11" ht="16.5">
      <c r="A16" s="248">
        <v>15</v>
      </c>
      <c r="B16" s="249"/>
      <c r="C16" s="250"/>
      <c r="D16" s="251"/>
      <c r="E16" s="242"/>
      <c r="F16" s="242"/>
      <c r="G16" s="242"/>
      <c r="H16" s="253"/>
      <c r="I16" s="253"/>
      <c r="J16" s="242"/>
      <c r="K16" s="242"/>
    </row>
    <row r="17" spans="1:11" ht="16.5">
      <c r="A17" s="248">
        <v>16</v>
      </c>
      <c r="B17" s="249"/>
      <c r="C17" s="250"/>
      <c r="D17" s="251"/>
      <c r="E17" s="242"/>
      <c r="F17" s="242"/>
      <c r="G17" s="242"/>
      <c r="H17" s="253"/>
      <c r="I17" s="253"/>
      <c r="J17" s="242"/>
      <c r="K17" s="242"/>
    </row>
    <row r="18" spans="1:11" ht="16.5">
      <c r="A18" s="248">
        <v>17</v>
      </c>
      <c r="B18" s="249"/>
      <c r="C18" s="250"/>
      <c r="D18" s="251"/>
      <c r="E18" s="242"/>
      <c r="F18" s="242"/>
      <c r="G18" s="242"/>
      <c r="H18" s="253"/>
      <c r="I18" s="253"/>
      <c r="J18" s="242"/>
      <c r="K18" s="242"/>
    </row>
    <row r="19" spans="1:11" ht="16.5">
      <c r="A19" s="248">
        <v>18</v>
      </c>
      <c r="B19" s="249"/>
      <c r="C19" s="250"/>
      <c r="D19" s="251"/>
      <c r="E19" s="242"/>
      <c r="F19" s="242"/>
      <c r="G19" s="242"/>
      <c r="H19" s="253"/>
      <c r="I19" s="253"/>
      <c r="J19" s="242"/>
      <c r="K19" s="242"/>
    </row>
    <row r="20" spans="1:11" ht="16.5">
      <c r="A20" s="248">
        <v>19</v>
      </c>
      <c r="B20" s="249"/>
      <c r="C20" s="250"/>
      <c r="D20" s="251"/>
      <c r="E20" s="242"/>
      <c r="F20" s="242"/>
      <c r="G20" s="242"/>
      <c r="H20" s="253"/>
      <c r="I20" s="253"/>
      <c r="J20" s="242"/>
      <c r="K20" s="242"/>
    </row>
    <row r="21" spans="1:11" ht="16.5">
      <c r="A21" s="248">
        <v>20</v>
      </c>
      <c r="B21" s="249"/>
      <c r="C21" s="250"/>
      <c r="D21" s="251"/>
      <c r="E21" s="242"/>
      <c r="F21" s="242"/>
      <c r="G21" s="242"/>
      <c r="H21" s="253"/>
      <c r="I21" s="253"/>
      <c r="J21" s="242"/>
      <c r="K21" s="242"/>
    </row>
    <row r="22" spans="1:11">
      <c r="A22" s="258"/>
      <c r="B22" s="259"/>
      <c r="C22" s="258"/>
      <c r="D22" s="258"/>
    </row>
  </sheetData>
  <autoFilter ref="A5:K5">
    <sortState ref="A6:K23">
      <sortCondition ref="D5"/>
    </sortState>
  </autoFilter>
  <dataValidations count="1">
    <dataValidation type="list" allowBlank="1" showInputMessage="1" showErrorMessage="1" sqref="D6:D9">
      <formula1>INDIRECT(C6)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98"/>
  <sheetViews>
    <sheetView zoomScale="90" zoomScaleNormal="90" workbookViewId="0">
      <pane xSplit="6" ySplit="9" topLeftCell="G44" activePane="bottomRight" state="frozen"/>
      <selection pane="topRight" activeCell="H1" sqref="H1"/>
      <selection pane="bottomLeft" activeCell="A10" sqref="A10"/>
      <selection pane="bottomRight" activeCell="A55" sqref="A55"/>
    </sheetView>
  </sheetViews>
  <sheetFormatPr baseColWidth="10" defaultColWidth="11.42578125" defaultRowHeight="15" outlineLevelCol="1"/>
  <cols>
    <col min="1" max="1" width="17.28515625" style="131" bestFit="1" customWidth="1"/>
    <col min="2" max="2" width="18" style="132" bestFit="1" customWidth="1"/>
    <col min="3" max="3" width="27.85546875" style="123" customWidth="1"/>
    <col min="4" max="4" width="17.42578125" style="124" bestFit="1" customWidth="1"/>
    <col min="5" max="5" width="12.28515625" style="125" bestFit="1" customWidth="1"/>
    <col min="6" max="6" width="14.85546875" style="126" bestFit="1" customWidth="1"/>
    <col min="7" max="18" width="12.28515625" style="126" hidden="1" customWidth="1" outlineLevel="1"/>
    <col min="19" max="19" width="15.28515625" style="126" bestFit="1" customWidth="1" collapsed="1"/>
    <col min="20" max="20" width="16.42578125" style="126" bestFit="1" customWidth="1"/>
    <col min="21" max="32" width="11.85546875" style="126" hidden="1" customWidth="1" outlineLevel="1"/>
    <col min="33" max="33" width="14.85546875" style="126" customWidth="1" collapsed="1"/>
    <col min="34" max="34" width="16.42578125" style="126" customWidth="1"/>
    <col min="35" max="46" width="12.85546875" style="126" hidden="1" customWidth="1" outlineLevel="1"/>
    <col min="47" max="47" width="15.5703125" style="126" customWidth="1" collapsed="1"/>
    <col min="48" max="48" width="16.42578125" style="126" bestFit="1" customWidth="1"/>
    <col min="49" max="60" width="11.85546875" style="126" hidden="1" customWidth="1" outlineLevel="1"/>
    <col min="61" max="61" width="15" style="126" customWidth="1" collapsed="1"/>
    <col min="62" max="62" width="16.42578125" style="126" bestFit="1" customWidth="1"/>
    <col min="63" max="74" width="11.85546875" style="126" hidden="1" customWidth="1" outlineLevel="1"/>
    <col min="75" max="75" width="14.42578125" style="126" customWidth="1" collapsed="1"/>
    <col min="76" max="76" width="16.42578125" style="126" bestFit="1" customWidth="1"/>
    <col min="77" max="88" width="11.85546875" style="126" hidden="1" customWidth="1" outlineLevel="1"/>
    <col min="89" max="89" width="14.7109375" style="126" customWidth="1" collapsed="1"/>
    <col min="90" max="90" width="16.42578125" style="126" bestFit="1" customWidth="1"/>
    <col min="91" max="102" width="11.85546875" style="126" hidden="1" customWidth="1" outlineLevel="1"/>
    <col min="103" max="103" width="15.140625" style="126" customWidth="1" collapsed="1"/>
    <col min="104" max="104" width="16.42578125" style="126" bestFit="1" customWidth="1"/>
    <col min="105" max="116" width="11.85546875" style="126" hidden="1" customWidth="1" outlineLevel="1"/>
    <col min="117" max="117" width="14.7109375" style="126" customWidth="1" collapsed="1"/>
    <col min="118" max="118" width="16.42578125" style="126" bestFit="1" customWidth="1"/>
    <col min="119" max="130" width="11.85546875" style="126" hidden="1" customWidth="1" outlineLevel="1"/>
    <col min="131" max="131" width="15" style="126" customWidth="1" collapsed="1"/>
    <col min="132" max="132" width="21.42578125" style="126" bestFit="1" customWidth="1"/>
    <col min="133" max="16384" width="11.42578125" style="126"/>
  </cols>
  <sheetData>
    <row r="1" spans="1:132" ht="15.75" thickBot="1">
      <c r="A1" s="121" t="s">
        <v>87</v>
      </c>
      <c r="B1" s="122"/>
      <c r="S1" s="121" t="s">
        <v>87</v>
      </c>
      <c r="T1" s="127">
        <f t="shared" ref="T1:T6" si="0">SUMIF($B$10:$B$1429,S1,$T$10:$T$14029)</f>
        <v>65333.333333333328</v>
      </c>
      <c r="V1" s="487"/>
      <c r="W1" s="487"/>
      <c r="X1" s="487"/>
      <c r="Y1" s="487"/>
      <c r="Z1" s="487"/>
      <c r="AA1" s="487"/>
      <c r="AG1" s="121" t="s">
        <v>87</v>
      </c>
      <c r="AH1" s="127">
        <f t="shared" ref="AH1:AH6" si="1">SUMIF($B$10:$B$1429,AG1,$AH$10:$AH$14029)</f>
        <v>49333.333333333328</v>
      </c>
      <c r="AU1" s="121" t="s">
        <v>87</v>
      </c>
      <c r="AV1" s="127">
        <f t="shared" ref="AV1:AV6" si="2">SUMIF($B$10:$B$1429,AU1,$AV$10:$AV$14029)</f>
        <v>52199.999999999993</v>
      </c>
      <c r="BI1" s="121" t="s">
        <v>87</v>
      </c>
      <c r="BJ1" s="127">
        <f t="shared" ref="BJ1:BJ6" si="3">SUMIF($B$10:$B$1429,BI1,$BJ$10:$BJ$14029)</f>
        <v>32699.999999999993</v>
      </c>
      <c r="BW1" s="121" t="s">
        <v>87</v>
      </c>
      <c r="BX1" s="127">
        <f t="shared" ref="BX1:BX6" si="4">SUMIF($B$10:$B$1429,BW1,$BX$10:$BX$14029)</f>
        <v>13199.999999999993</v>
      </c>
      <c r="CK1" s="121" t="s">
        <v>87</v>
      </c>
      <c r="CL1" s="127">
        <f t="shared" ref="CL1:CL6" si="5">SUMIF($B$10:$B$1429,CK1,$CL$10:$CL$14029)</f>
        <v>9199.9999999999927</v>
      </c>
      <c r="CY1" s="121" t="s">
        <v>87</v>
      </c>
      <c r="CZ1" s="127">
        <f t="shared" ref="CZ1:CZ6" si="6">SUMIF($B$10:$B$1429,CY1,$CZ$10:$CZ$14029)</f>
        <v>4866.6666666666661</v>
      </c>
      <c r="DM1" s="121" t="s">
        <v>87</v>
      </c>
      <c r="DN1" s="127">
        <f t="shared" ref="DN1:DN6" si="7">SUMIF($B$10:$B$1429,DM1,$DN$10:$DN$14029)</f>
        <v>4583.333333333333</v>
      </c>
      <c r="EA1" s="121" t="s">
        <v>87</v>
      </c>
      <c r="EB1" s="127">
        <f t="shared" ref="EB1:EB6" si="8">SUMIF($B$10:$B$1429,EA1,$EB$10:$EB$14029)</f>
        <v>4650</v>
      </c>
    </row>
    <row r="2" spans="1:132" ht="20.25" thickTop="1" thickBot="1">
      <c r="A2" s="121" t="s">
        <v>88</v>
      </c>
      <c r="B2" s="122"/>
      <c r="C2" s="128" t="s">
        <v>89</v>
      </c>
      <c r="E2" s="129">
        <v>41944</v>
      </c>
      <c r="G2" s="130"/>
      <c r="H2" s="130"/>
      <c r="S2" s="121" t="s">
        <v>88</v>
      </c>
      <c r="T2" s="127">
        <f t="shared" si="0"/>
        <v>0</v>
      </c>
      <c r="AG2" s="121" t="s">
        <v>88</v>
      </c>
      <c r="AH2" s="127">
        <f t="shared" si="1"/>
        <v>0</v>
      </c>
      <c r="AU2" s="121" t="s">
        <v>88</v>
      </c>
      <c r="AV2" s="127">
        <f t="shared" si="2"/>
        <v>0</v>
      </c>
      <c r="BI2" s="121" t="s">
        <v>88</v>
      </c>
      <c r="BJ2" s="127">
        <f t="shared" si="3"/>
        <v>0</v>
      </c>
      <c r="BW2" s="121" t="s">
        <v>88</v>
      </c>
      <c r="BX2" s="127">
        <f t="shared" si="4"/>
        <v>0</v>
      </c>
      <c r="CK2" s="121" t="s">
        <v>88</v>
      </c>
      <c r="CL2" s="127">
        <f t="shared" si="5"/>
        <v>0</v>
      </c>
      <c r="CY2" s="121" t="s">
        <v>88</v>
      </c>
      <c r="CZ2" s="127">
        <f t="shared" si="6"/>
        <v>0</v>
      </c>
      <c r="DM2" s="121" t="s">
        <v>88</v>
      </c>
      <c r="DN2" s="127">
        <f t="shared" si="7"/>
        <v>0</v>
      </c>
      <c r="EA2" s="121" t="s">
        <v>88</v>
      </c>
      <c r="EB2" s="127">
        <f t="shared" si="8"/>
        <v>0</v>
      </c>
    </row>
    <row r="3" spans="1:132" ht="16.5" thickTop="1" thickBot="1">
      <c r="A3" s="121" t="s">
        <v>90</v>
      </c>
      <c r="B3" s="122"/>
      <c r="E3" s="129"/>
      <c r="S3" s="121" t="s">
        <v>90</v>
      </c>
      <c r="T3" s="127">
        <f t="shared" si="0"/>
        <v>0</v>
      </c>
      <c r="V3" s="487"/>
      <c r="W3" s="487"/>
      <c r="X3" s="487"/>
      <c r="Y3" s="487"/>
      <c r="Z3" s="487"/>
      <c r="AG3" s="121" t="s">
        <v>90</v>
      </c>
      <c r="AH3" s="127">
        <f t="shared" si="1"/>
        <v>0</v>
      </c>
      <c r="AU3" s="121" t="s">
        <v>90</v>
      </c>
      <c r="AV3" s="127">
        <f t="shared" si="2"/>
        <v>41976.944444444445</v>
      </c>
      <c r="BI3" s="121" t="s">
        <v>90</v>
      </c>
      <c r="BJ3" s="127">
        <f t="shared" si="3"/>
        <v>173996.94444444444</v>
      </c>
      <c r="BW3" s="121" t="s">
        <v>90</v>
      </c>
      <c r="BX3" s="127">
        <f t="shared" si="4"/>
        <v>129973.61111111112</v>
      </c>
      <c r="CK3" s="121" t="s">
        <v>90</v>
      </c>
      <c r="CL3" s="127">
        <f t="shared" si="5"/>
        <v>105973.61111111111</v>
      </c>
      <c r="CY3" s="121" t="s">
        <v>90</v>
      </c>
      <c r="CZ3" s="127">
        <f t="shared" si="6"/>
        <v>54113.333333333336</v>
      </c>
      <c r="DM3" s="121" t="s">
        <v>90</v>
      </c>
      <c r="DN3" s="127">
        <f t="shared" si="7"/>
        <v>50493.333333333328</v>
      </c>
      <c r="EA3" s="121" t="s">
        <v>90</v>
      </c>
      <c r="EB3" s="127">
        <f t="shared" si="8"/>
        <v>57733.333333333336</v>
      </c>
    </row>
    <row r="4" spans="1:132" ht="16.5" thickTop="1" thickBot="1">
      <c r="A4" s="121" t="s">
        <v>91</v>
      </c>
      <c r="B4" s="122"/>
      <c r="S4" s="121" t="s">
        <v>91</v>
      </c>
      <c r="T4" s="127">
        <f t="shared" si="0"/>
        <v>0</v>
      </c>
      <c r="V4" s="488"/>
      <c r="W4" s="488"/>
      <c r="X4" s="488"/>
      <c r="Y4" s="488"/>
      <c r="AG4" s="121" t="s">
        <v>91</v>
      </c>
      <c r="AH4" s="127">
        <f t="shared" si="1"/>
        <v>0</v>
      </c>
      <c r="AU4" s="121" t="s">
        <v>91</v>
      </c>
      <c r="AV4" s="127">
        <f t="shared" si="2"/>
        <v>0</v>
      </c>
      <c r="BI4" s="121" t="s">
        <v>91</v>
      </c>
      <c r="BJ4" s="127">
        <f t="shared" si="3"/>
        <v>0</v>
      </c>
      <c r="BW4" s="121" t="s">
        <v>91</v>
      </c>
      <c r="BX4" s="127">
        <f t="shared" si="4"/>
        <v>0</v>
      </c>
      <c r="CK4" s="121" t="s">
        <v>91</v>
      </c>
      <c r="CL4" s="127">
        <f t="shared" si="5"/>
        <v>0</v>
      </c>
      <c r="CY4" s="121" t="s">
        <v>91</v>
      </c>
      <c r="CZ4" s="127">
        <f t="shared" si="6"/>
        <v>0</v>
      </c>
      <c r="DM4" s="121" t="s">
        <v>91</v>
      </c>
      <c r="DN4" s="127">
        <f t="shared" si="7"/>
        <v>0</v>
      </c>
      <c r="EA4" s="121" t="s">
        <v>91</v>
      </c>
      <c r="EB4" s="127">
        <f t="shared" si="8"/>
        <v>0</v>
      </c>
    </row>
    <row r="5" spans="1:132" ht="16.5" thickTop="1" thickBot="1">
      <c r="A5" s="121" t="s">
        <v>92</v>
      </c>
      <c r="B5" s="122"/>
      <c r="F5" s="130"/>
      <c r="S5" s="121" t="s">
        <v>92</v>
      </c>
      <c r="T5" s="127">
        <f t="shared" si="0"/>
        <v>0</v>
      </c>
      <c r="V5" s="125"/>
      <c r="W5" s="125"/>
      <c r="X5" s="125"/>
      <c r="Y5" s="125"/>
      <c r="AG5" s="121" t="s">
        <v>92</v>
      </c>
      <c r="AH5" s="127">
        <f t="shared" si="1"/>
        <v>0</v>
      </c>
      <c r="AU5" s="121" t="s">
        <v>92</v>
      </c>
      <c r="AV5" s="127">
        <f t="shared" si="2"/>
        <v>0</v>
      </c>
      <c r="BI5" s="121" t="s">
        <v>92</v>
      </c>
      <c r="BJ5" s="127">
        <f t="shared" si="3"/>
        <v>0</v>
      </c>
      <c r="BW5" s="121" t="s">
        <v>92</v>
      </c>
      <c r="BX5" s="127">
        <f t="shared" si="4"/>
        <v>0</v>
      </c>
      <c r="CK5" s="121" t="s">
        <v>92</v>
      </c>
      <c r="CL5" s="127">
        <f t="shared" si="5"/>
        <v>0</v>
      </c>
      <c r="CY5" s="121" t="s">
        <v>92</v>
      </c>
      <c r="CZ5" s="127">
        <f t="shared" si="6"/>
        <v>0</v>
      </c>
      <c r="DM5" s="121" t="s">
        <v>92</v>
      </c>
      <c r="DN5" s="127">
        <f t="shared" si="7"/>
        <v>0</v>
      </c>
      <c r="EA5" s="121" t="s">
        <v>92</v>
      </c>
      <c r="EB5" s="127">
        <f t="shared" si="8"/>
        <v>0</v>
      </c>
    </row>
    <row r="6" spans="1:132" ht="16.5" thickTop="1" thickBot="1">
      <c r="A6" s="121" t="s">
        <v>93</v>
      </c>
      <c r="B6" s="122"/>
      <c r="G6" s="130"/>
      <c r="S6" s="121"/>
      <c r="T6" s="127">
        <f t="shared" si="0"/>
        <v>0</v>
      </c>
      <c r="AG6" s="121"/>
      <c r="AH6" s="127">
        <f t="shared" si="1"/>
        <v>0</v>
      </c>
      <c r="AU6" s="121"/>
      <c r="AV6" s="127">
        <f t="shared" si="2"/>
        <v>0</v>
      </c>
      <c r="BI6" s="121"/>
      <c r="BJ6" s="127">
        <f t="shared" si="3"/>
        <v>0</v>
      </c>
      <c r="BW6" s="121"/>
      <c r="BX6" s="127">
        <f t="shared" si="4"/>
        <v>0</v>
      </c>
      <c r="CK6" s="121"/>
      <c r="CL6" s="127">
        <f t="shared" si="5"/>
        <v>0</v>
      </c>
      <c r="CY6" s="121"/>
      <c r="CZ6" s="127">
        <f t="shared" si="6"/>
        <v>0</v>
      </c>
      <c r="DM6" s="121"/>
      <c r="DN6" s="127">
        <f t="shared" si="7"/>
        <v>0</v>
      </c>
      <c r="EA6" s="121"/>
      <c r="EB6" s="127">
        <f t="shared" si="8"/>
        <v>0</v>
      </c>
    </row>
    <row r="7" spans="1:132" ht="23.25" customHeight="1" thickTop="1" thickBot="1"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</row>
    <row r="8" spans="1:132" ht="16.5" thickBot="1">
      <c r="D8" s="133">
        <f>SUBTOTAL(9,D10:D439)</f>
        <v>569310</v>
      </c>
      <c r="G8" s="134">
        <f t="shared" ref="G8:AL8" si="9">SUBTOTAL(9,G10:G439)</f>
        <v>0</v>
      </c>
      <c r="H8" s="135">
        <f t="shared" si="9"/>
        <v>1333.3333333333333</v>
      </c>
      <c r="I8" s="135">
        <f t="shared" si="9"/>
        <v>1333.3333333333333</v>
      </c>
      <c r="J8" s="135">
        <f t="shared" si="9"/>
        <v>1333.3333333333333</v>
      </c>
      <c r="K8" s="135">
        <f t="shared" si="9"/>
        <v>1333.3333333333333</v>
      </c>
      <c r="L8" s="135">
        <f t="shared" si="9"/>
        <v>1333.3333333333333</v>
      </c>
      <c r="M8" s="135">
        <f t="shared" si="9"/>
        <v>1333.3333333333333</v>
      </c>
      <c r="N8" s="135">
        <f t="shared" si="9"/>
        <v>1333.3333333333333</v>
      </c>
      <c r="O8" s="135">
        <f t="shared" si="9"/>
        <v>1333.3333333333333</v>
      </c>
      <c r="P8" s="135">
        <f t="shared" si="9"/>
        <v>1333.3333333333333</v>
      </c>
      <c r="Q8" s="135">
        <f t="shared" si="9"/>
        <v>1333.3333333333333</v>
      </c>
      <c r="R8" s="136">
        <f t="shared" si="9"/>
        <v>1333.3333333333333</v>
      </c>
      <c r="S8" s="137">
        <f t="shared" si="9"/>
        <v>14666.666666666668</v>
      </c>
      <c r="T8" s="138">
        <f t="shared" si="9"/>
        <v>65333.333333333328</v>
      </c>
      <c r="U8" s="139">
        <f t="shared" si="9"/>
        <v>1333.3333333333333</v>
      </c>
      <c r="V8" s="140">
        <f t="shared" si="9"/>
        <v>1333.3333333333333</v>
      </c>
      <c r="W8" s="140">
        <f t="shared" si="9"/>
        <v>1333.3333333333333</v>
      </c>
      <c r="X8" s="140">
        <f t="shared" si="9"/>
        <v>1333.3333333333333</v>
      </c>
      <c r="Y8" s="140">
        <f t="shared" si="9"/>
        <v>1333.3333333333333</v>
      </c>
      <c r="Z8" s="140">
        <f t="shared" si="9"/>
        <v>1333.3333333333333</v>
      </c>
      <c r="AA8" s="140">
        <f t="shared" si="9"/>
        <v>1333.3333333333333</v>
      </c>
      <c r="AB8" s="140">
        <f t="shared" si="9"/>
        <v>1333.3333333333333</v>
      </c>
      <c r="AC8" s="140">
        <f t="shared" si="9"/>
        <v>1333.3333333333333</v>
      </c>
      <c r="AD8" s="140">
        <f t="shared" si="9"/>
        <v>1333.3333333333333</v>
      </c>
      <c r="AE8" s="140">
        <f t="shared" si="9"/>
        <v>1333.3333333333333</v>
      </c>
      <c r="AF8" s="141">
        <f t="shared" si="9"/>
        <v>1333.3333333333333</v>
      </c>
      <c r="AG8" s="137">
        <f t="shared" si="9"/>
        <v>16000.000000000002</v>
      </c>
      <c r="AH8" s="138">
        <f t="shared" si="9"/>
        <v>49333.333333333328</v>
      </c>
      <c r="AI8" s="142">
        <f t="shared" si="9"/>
        <v>1333.3333333333333</v>
      </c>
      <c r="AJ8" s="135">
        <f t="shared" si="9"/>
        <v>1550</v>
      </c>
      <c r="AK8" s="135">
        <f t="shared" si="9"/>
        <v>2291.6666666666665</v>
      </c>
      <c r="AL8" s="135">
        <f t="shared" si="9"/>
        <v>2291.6666666666665</v>
      </c>
      <c r="AM8" s="135">
        <f t="shared" ref="AM8:BR8" si="10">SUBTOTAL(9,AM10:AM439)</f>
        <v>2291.6666666666665</v>
      </c>
      <c r="AN8" s="135">
        <f t="shared" si="10"/>
        <v>2291.6666666666665</v>
      </c>
      <c r="AO8" s="135">
        <f t="shared" si="10"/>
        <v>2968.8888888888882</v>
      </c>
      <c r="AP8" s="135">
        <f t="shared" si="10"/>
        <v>2968.8888888888882</v>
      </c>
      <c r="AQ8" s="135">
        <f t="shared" si="10"/>
        <v>2968.8888888888882</v>
      </c>
      <c r="AR8" s="135">
        <f t="shared" si="10"/>
        <v>2968.8888888888882</v>
      </c>
      <c r="AS8" s="135">
        <f t="shared" si="10"/>
        <v>2968.8888888888882</v>
      </c>
      <c r="AT8" s="143">
        <f t="shared" si="10"/>
        <v>3075.2777777777769</v>
      </c>
      <c r="AU8" s="137">
        <f t="shared" si="10"/>
        <v>29969.72222222223</v>
      </c>
      <c r="AV8" s="138">
        <f t="shared" si="10"/>
        <v>102493.61111111109</v>
      </c>
      <c r="AW8" s="139">
        <f t="shared" si="10"/>
        <v>4263.6111111111104</v>
      </c>
      <c r="AX8" s="140">
        <f t="shared" si="10"/>
        <v>4493.6111111111104</v>
      </c>
      <c r="AY8" s="140">
        <f t="shared" si="10"/>
        <v>4546.3888888888878</v>
      </c>
      <c r="AZ8" s="140">
        <f t="shared" si="10"/>
        <v>4546.3888888888878</v>
      </c>
      <c r="BA8" s="140">
        <f t="shared" si="10"/>
        <v>4607.4999999999991</v>
      </c>
      <c r="BB8" s="140">
        <f t="shared" si="10"/>
        <v>4607.4999999999991</v>
      </c>
      <c r="BC8" s="140">
        <f t="shared" si="10"/>
        <v>4165.8333333333321</v>
      </c>
      <c r="BD8" s="140">
        <f t="shared" si="10"/>
        <v>4415.8333333333321</v>
      </c>
      <c r="BE8" s="140">
        <f t="shared" si="10"/>
        <v>5215.8333333333321</v>
      </c>
      <c r="BF8" s="140">
        <f t="shared" si="10"/>
        <v>5215.8333333333321</v>
      </c>
      <c r="BG8" s="140">
        <f t="shared" si="10"/>
        <v>5549.1666666666652</v>
      </c>
      <c r="BH8" s="141">
        <f t="shared" si="10"/>
        <v>5549.1666666666652</v>
      </c>
      <c r="BI8" s="137">
        <f t="shared" si="10"/>
        <v>57176.666666666664</v>
      </c>
      <c r="BJ8" s="138">
        <f t="shared" si="10"/>
        <v>210096.94444444447</v>
      </c>
      <c r="BK8" s="142">
        <f t="shared" si="10"/>
        <v>5482.4999999999991</v>
      </c>
      <c r="BL8" s="135">
        <f t="shared" si="10"/>
        <v>5482.4999999999991</v>
      </c>
      <c r="BM8" s="135">
        <f t="shared" si="10"/>
        <v>5482.4999999999991</v>
      </c>
      <c r="BN8" s="135">
        <f t="shared" si="10"/>
        <v>5482.4999999999991</v>
      </c>
      <c r="BO8" s="135">
        <f t="shared" si="10"/>
        <v>5482.4999999999991</v>
      </c>
      <c r="BP8" s="135">
        <f t="shared" si="10"/>
        <v>5482.4999999999991</v>
      </c>
      <c r="BQ8" s="135">
        <f t="shared" si="10"/>
        <v>5482.4999999999991</v>
      </c>
      <c r="BR8" s="135">
        <f t="shared" si="10"/>
        <v>5482.4999999999991</v>
      </c>
      <c r="BS8" s="135">
        <f t="shared" ref="BS8:CX8" si="11">SUBTOTAL(9,BS10:BS439)</f>
        <v>5482.4999999999991</v>
      </c>
      <c r="BT8" s="135">
        <f t="shared" si="11"/>
        <v>5482.4999999999991</v>
      </c>
      <c r="BU8" s="135">
        <f t="shared" si="11"/>
        <v>5482.4999999999991</v>
      </c>
      <c r="BV8" s="143">
        <f t="shared" si="11"/>
        <v>5482.4999999999991</v>
      </c>
      <c r="BW8" s="137">
        <f t="shared" si="11"/>
        <v>65790.000000000015</v>
      </c>
      <c r="BX8" s="138">
        <f t="shared" si="11"/>
        <v>144306.94444444444</v>
      </c>
      <c r="BY8" s="142">
        <f t="shared" si="11"/>
        <v>5482.4999999999991</v>
      </c>
      <c r="BZ8" s="135">
        <f t="shared" si="11"/>
        <v>4149.166666666667</v>
      </c>
      <c r="CA8" s="135">
        <f t="shared" si="11"/>
        <v>4149.166666666667</v>
      </c>
      <c r="CB8" s="135">
        <f t="shared" si="11"/>
        <v>4149.166666666667</v>
      </c>
      <c r="CC8" s="135">
        <f t="shared" si="11"/>
        <v>4149.166666666667</v>
      </c>
      <c r="CD8" s="135">
        <f t="shared" si="11"/>
        <v>4149.166666666667</v>
      </c>
      <c r="CE8" s="135">
        <f t="shared" si="11"/>
        <v>3960.2777777777778</v>
      </c>
      <c r="CF8" s="135">
        <f t="shared" si="11"/>
        <v>3960.2777777777778</v>
      </c>
      <c r="CG8" s="135">
        <f t="shared" si="11"/>
        <v>3960.2777777777778</v>
      </c>
      <c r="CH8" s="135">
        <f t="shared" si="11"/>
        <v>3960.2777777777778</v>
      </c>
      <c r="CI8" s="135">
        <f t="shared" si="11"/>
        <v>3960.2777777777778</v>
      </c>
      <c r="CJ8" s="143">
        <f t="shared" si="11"/>
        <v>3953.8888888888891</v>
      </c>
      <c r="CK8" s="137">
        <f t="shared" si="11"/>
        <v>49983.611111111109</v>
      </c>
      <c r="CL8" s="138">
        <f t="shared" si="11"/>
        <v>112306.94444444444</v>
      </c>
      <c r="CM8" s="142">
        <f t="shared" si="11"/>
        <v>2746.666666666667</v>
      </c>
      <c r="CN8" s="135">
        <f t="shared" si="11"/>
        <v>2746.666666666667</v>
      </c>
      <c r="CO8" s="135">
        <f t="shared" si="11"/>
        <v>2746.666666666667</v>
      </c>
      <c r="CP8" s="135">
        <f t="shared" si="11"/>
        <v>2746.666666666667</v>
      </c>
      <c r="CQ8" s="135">
        <f t="shared" si="11"/>
        <v>2746.666666666667</v>
      </c>
      <c r="CR8" s="135">
        <f t="shared" si="11"/>
        <v>2746.666666666667</v>
      </c>
      <c r="CS8" s="135">
        <f t="shared" si="11"/>
        <v>2746.666666666667</v>
      </c>
      <c r="CT8" s="135">
        <f t="shared" si="11"/>
        <v>2746.666666666667</v>
      </c>
      <c r="CU8" s="135">
        <f t="shared" si="11"/>
        <v>2746.666666666667</v>
      </c>
      <c r="CV8" s="135">
        <f t="shared" si="11"/>
        <v>2746.666666666667</v>
      </c>
      <c r="CW8" s="135">
        <f t="shared" si="11"/>
        <v>2746.666666666667</v>
      </c>
      <c r="CX8" s="143">
        <f t="shared" si="11"/>
        <v>2746.666666666667</v>
      </c>
      <c r="CY8" s="137">
        <f t="shared" ref="CY8:EB8" si="12">SUBTOTAL(9,CY10:CY439)</f>
        <v>32960</v>
      </c>
      <c r="CZ8" s="138">
        <f t="shared" si="12"/>
        <v>58980</v>
      </c>
      <c r="DA8" s="142">
        <f t="shared" si="12"/>
        <v>2746.666666666667</v>
      </c>
      <c r="DB8" s="135">
        <f t="shared" si="12"/>
        <v>2530</v>
      </c>
      <c r="DC8" s="135">
        <f t="shared" si="12"/>
        <v>1863.3333333333333</v>
      </c>
      <c r="DD8" s="135">
        <f t="shared" si="12"/>
        <v>1863.3333333333333</v>
      </c>
      <c r="DE8" s="135">
        <f t="shared" si="12"/>
        <v>1863.3333333333333</v>
      </c>
      <c r="DF8" s="135">
        <f t="shared" si="12"/>
        <v>1863.3333333333333</v>
      </c>
      <c r="DG8" s="135">
        <f t="shared" si="12"/>
        <v>1816.6666666666665</v>
      </c>
      <c r="DH8" s="135">
        <f t="shared" si="12"/>
        <v>1816.6666666666665</v>
      </c>
      <c r="DI8" s="135">
        <f t="shared" si="12"/>
        <v>1816.6666666666665</v>
      </c>
      <c r="DJ8" s="135">
        <f t="shared" si="12"/>
        <v>1816.6666666666665</v>
      </c>
      <c r="DK8" s="135">
        <f t="shared" si="12"/>
        <v>1816.6666666666665</v>
      </c>
      <c r="DL8" s="143">
        <f t="shared" si="12"/>
        <v>1716.6666666666665</v>
      </c>
      <c r="DM8" s="137">
        <f t="shared" si="12"/>
        <v>23530</v>
      </c>
      <c r="DN8" s="138">
        <f t="shared" si="12"/>
        <v>55076.666666666664</v>
      </c>
      <c r="DO8" s="142">
        <f t="shared" si="12"/>
        <v>1674.9999999999998</v>
      </c>
      <c r="DP8" s="135">
        <f t="shared" si="12"/>
        <v>1458.3333333333333</v>
      </c>
      <c r="DQ8" s="135">
        <f t="shared" si="12"/>
        <v>1458.3333333333333</v>
      </c>
      <c r="DR8" s="135">
        <f t="shared" si="12"/>
        <v>1458.3333333333333</v>
      </c>
      <c r="DS8" s="135">
        <f t="shared" si="12"/>
        <v>1458.3333333333333</v>
      </c>
      <c r="DT8" s="135">
        <f t="shared" si="12"/>
        <v>1458.3333333333333</v>
      </c>
      <c r="DU8" s="135">
        <f t="shared" si="12"/>
        <v>1458.3333333333333</v>
      </c>
      <c r="DV8" s="135">
        <f t="shared" si="12"/>
        <v>1208.3333333333333</v>
      </c>
      <c r="DW8" s="135">
        <f t="shared" si="12"/>
        <v>408.33333333333331</v>
      </c>
      <c r="DX8" s="135">
        <f t="shared" si="12"/>
        <v>408.33333333333331</v>
      </c>
      <c r="DY8" s="135">
        <f t="shared" si="12"/>
        <v>408.33333333333331</v>
      </c>
      <c r="DZ8" s="143">
        <f t="shared" si="12"/>
        <v>408.33333333333331</v>
      </c>
      <c r="EA8" s="137">
        <f t="shared" si="12"/>
        <v>13266.666666666668</v>
      </c>
      <c r="EB8" s="138">
        <f t="shared" si="12"/>
        <v>62383.333333333336</v>
      </c>
    </row>
    <row r="9" spans="1:132" s="162" customFormat="1" ht="30.75" thickBot="1">
      <c r="A9" s="144" t="s">
        <v>94</v>
      </c>
      <c r="B9" s="145" t="s">
        <v>95</v>
      </c>
      <c r="C9" s="146" t="s">
        <v>96</v>
      </c>
      <c r="D9" s="147" t="s">
        <v>33</v>
      </c>
      <c r="E9" s="146" t="s">
        <v>97</v>
      </c>
      <c r="F9" s="148" t="s">
        <v>98</v>
      </c>
      <c r="G9" s="149">
        <f>EOMONTH($E$2,0)</f>
        <v>41973</v>
      </c>
      <c r="H9" s="150">
        <f>EOMONTH(G9,1)</f>
        <v>42004</v>
      </c>
      <c r="I9" s="151">
        <f t="shared" ref="I9:R9" si="13">EOMONTH(H9,1)</f>
        <v>42035</v>
      </c>
      <c r="J9" s="151">
        <f t="shared" si="13"/>
        <v>42063</v>
      </c>
      <c r="K9" s="151">
        <f t="shared" si="13"/>
        <v>42094</v>
      </c>
      <c r="L9" s="151">
        <f t="shared" si="13"/>
        <v>42124</v>
      </c>
      <c r="M9" s="151">
        <f t="shared" si="13"/>
        <v>42155</v>
      </c>
      <c r="N9" s="151">
        <f t="shared" si="13"/>
        <v>42185</v>
      </c>
      <c r="O9" s="151">
        <f t="shared" si="13"/>
        <v>42216</v>
      </c>
      <c r="P9" s="151">
        <f t="shared" si="13"/>
        <v>42247</v>
      </c>
      <c r="Q9" s="151">
        <f t="shared" si="13"/>
        <v>42277</v>
      </c>
      <c r="R9" s="152">
        <f t="shared" si="13"/>
        <v>42308</v>
      </c>
      <c r="S9" s="153" t="str">
        <f>"Amortissement"&amp;" "&amp;YEAR(E2)+1</f>
        <v>Amortissement 2015</v>
      </c>
      <c r="T9" s="154" t="str">
        <f>"Valeur résiduelle"&amp;" "&amp;YEAR(E2)+1</f>
        <v>Valeur résiduelle 2015</v>
      </c>
      <c r="U9" s="155">
        <f>EOMONTH(R9,1)</f>
        <v>42338</v>
      </c>
      <c r="V9" s="156">
        <f>EOMONTH(U9,1)</f>
        <v>42369</v>
      </c>
      <c r="W9" s="156">
        <f t="shared" ref="W9:AF9" si="14">EOMONTH(V9,1)</f>
        <v>42400</v>
      </c>
      <c r="X9" s="156">
        <f t="shared" si="14"/>
        <v>42429</v>
      </c>
      <c r="Y9" s="156">
        <f t="shared" si="14"/>
        <v>42460</v>
      </c>
      <c r="Z9" s="156">
        <f t="shared" si="14"/>
        <v>42490</v>
      </c>
      <c r="AA9" s="156">
        <f t="shared" si="14"/>
        <v>42521</v>
      </c>
      <c r="AB9" s="156">
        <f t="shared" si="14"/>
        <v>42551</v>
      </c>
      <c r="AC9" s="156">
        <f t="shared" si="14"/>
        <v>42582</v>
      </c>
      <c r="AD9" s="156">
        <f t="shared" si="14"/>
        <v>42613</v>
      </c>
      <c r="AE9" s="156">
        <f t="shared" si="14"/>
        <v>42643</v>
      </c>
      <c r="AF9" s="157">
        <f t="shared" si="14"/>
        <v>42674</v>
      </c>
      <c r="AG9" s="158" t="str">
        <f>"Amortissement"&amp;" "&amp;YEAR(E2)+2</f>
        <v>Amortissement 2016</v>
      </c>
      <c r="AH9" s="159" t="str">
        <f>"Valeur résiduelle"&amp;" "&amp;YEAR(E2)+2</f>
        <v>Valeur résiduelle 2016</v>
      </c>
      <c r="AI9" s="160">
        <f>EOMONTH(AF9,1)</f>
        <v>42704</v>
      </c>
      <c r="AJ9" s="151">
        <f>EOMONTH(AI9,1)</f>
        <v>42735</v>
      </c>
      <c r="AK9" s="151">
        <f t="shared" ref="AK9:AT9" si="15">EOMONTH(AJ9,1)</f>
        <v>42766</v>
      </c>
      <c r="AL9" s="151">
        <f t="shared" si="15"/>
        <v>42794</v>
      </c>
      <c r="AM9" s="151">
        <f t="shared" si="15"/>
        <v>42825</v>
      </c>
      <c r="AN9" s="151">
        <f t="shared" si="15"/>
        <v>42855</v>
      </c>
      <c r="AO9" s="151">
        <f t="shared" si="15"/>
        <v>42886</v>
      </c>
      <c r="AP9" s="151">
        <f t="shared" si="15"/>
        <v>42916</v>
      </c>
      <c r="AQ9" s="151">
        <f t="shared" si="15"/>
        <v>42947</v>
      </c>
      <c r="AR9" s="151">
        <f t="shared" si="15"/>
        <v>42978</v>
      </c>
      <c r="AS9" s="151">
        <f t="shared" si="15"/>
        <v>43008</v>
      </c>
      <c r="AT9" s="161">
        <f t="shared" si="15"/>
        <v>43039</v>
      </c>
      <c r="AU9" s="153" t="str">
        <f>"Amortissement"&amp;" "&amp;YEAR(E2)+3</f>
        <v>Amortissement 2017</v>
      </c>
      <c r="AV9" s="154" t="str">
        <f>"Valeur résiduelle"&amp;" "&amp;YEAR(E2)+3</f>
        <v>Valeur résiduelle 2017</v>
      </c>
      <c r="AW9" s="155">
        <f>EOMONTH(AT9,1)</f>
        <v>43069</v>
      </c>
      <c r="AX9" s="156">
        <f>EOMONTH(AW9,1)</f>
        <v>43100</v>
      </c>
      <c r="AY9" s="156">
        <f t="shared" ref="AY9:BH9" si="16">EOMONTH(AX9,1)</f>
        <v>43131</v>
      </c>
      <c r="AZ9" s="156">
        <f t="shared" si="16"/>
        <v>43159</v>
      </c>
      <c r="BA9" s="156">
        <f t="shared" si="16"/>
        <v>43190</v>
      </c>
      <c r="BB9" s="156">
        <f t="shared" si="16"/>
        <v>43220</v>
      </c>
      <c r="BC9" s="156">
        <f t="shared" si="16"/>
        <v>43251</v>
      </c>
      <c r="BD9" s="156">
        <f t="shared" si="16"/>
        <v>43281</v>
      </c>
      <c r="BE9" s="156">
        <f t="shared" si="16"/>
        <v>43312</v>
      </c>
      <c r="BF9" s="156">
        <f t="shared" si="16"/>
        <v>43343</v>
      </c>
      <c r="BG9" s="156">
        <f t="shared" si="16"/>
        <v>43373</v>
      </c>
      <c r="BH9" s="157">
        <f t="shared" si="16"/>
        <v>43404</v>
      </c>
      <c r="BI9" s="158" t="str">
        <f>"Amortissement"&amp;" "&amp;YEAR(E2)+4</f>
        <v>Amortissement 2018</v>
      </c>
      <c r="BJ9" s="159" t="str">
        <f>"Valeur résiduelle"&amp;" "&amp;YEAR(E2)+4</f>
        <v>Valeur résiduelle 2018</v>
      </c>
      <c r="BK9" s="160">
        <f>EOMONTH(BH9,1)</f>
        <v>43434</v>
      </c>
      <c r="BL9" s="151">
        <f>EOMONTH(BK9,1)</f>
        <v>43465</v>
      </c>
      <c r="BM9" s="151">
        <f t="shared" ref="BM9:BV9" si="17">EOMONTH(BL9,1)</f>
        <v>43496</v>
      </c>
      <c r="BN9" s="151">
        <f t="shared" si="17"/>
        <v>43524</v>
      </c>
      <c r="BO9" s="151">
        <f t="shared" si="17"/>
        <v>43555</v>
      </c>
      <c r="BP9" s="151">
        <f t="shared" si="17"/>
        <v>43585</v>
      </c>
      <c r="BQ9" s="151">
        <f t="shared" si="17"/>
        <v>43616</v>
      </c>
      <c r="BR9" s="151">
        <f t="shared" si="17"/>
        <v>43646</v>
      </c>
      <c r="BS9" s="151">
        <f t="shared" si="17"/>
        <v>43677</v>
      </c>
      <c r="BT9" s="151">
        <f t="shared" si="17"/>
        <v>43708</v>
      </c>
      <c r="BU9" s="151">
        <f t="shared" si="17"/>
        <v>43738</v>
      </c>
      <c r="BV9" s="161">
        <f t="shared" si="17"/>
        <v>43769</v>
      </c>
      <c r="BW9" s="153" t="str">
        <f>"Amortissement"&amp;" "&amp;YEAR(E2)+5</f>
        <v>Amortissement 2019</v>
      </c>
      <c r="BX9" s="154" t="str">
        <f>"Valeur résiduelle"&amp;" "&amp;YEAR(E2)+5</f>
        <v>Valeur résiduelle 2019</v>
      </c>
      <c r="BY9" s="155">
        <f>EOMONTH(BV9,1)</f>
        <v>43799</v>
      </c>
      <c r="BZ9" s="156">
        <f>EOMONTH(BY9,1)</f>
        <v>43830</v>
      </c>
      <c r="CA9" s="156">
        <f t="shared" ref="CA9:CJ9" si="18">EOMONTH(BZ9,1)</f>
        <v>43861</v>
      </c>
      <c r="CB9" s="156">
        <f t="shared" si="18"/>
        <v>43890</v>
      </c>
      <c r="CC9" s="156">
        <f t="shared" si="18"/>
        <v>43921</v>
      </c>
      <c r="CD9" s="156">
        <f t="shared" si="18"/>
        <v>43951</v>
      </c>
      <c r="CE9" s="156">
        <f t="shared" si="18"/>
        <v>43982</v>
      </c>
      <c r="CF9" s="156">
        <f t="shared" si="18"/>
        <v>44012</v>
      </c>
      <c r="CG9" s="156">
        <f t="shared" si="18"/>
        <v>44043</v>
      </c>
      <c r="CH9" s="156">
        <f t="shared" si="18"/>
        <v>44074</v>
      </c>
      <c r="CI9" s="156">
        <f t="shared" si="18"/>
        <v>44104</v>
      </c>
      <c r="CJ9" s="157">
        <f t="shared" si="18"/>
        <v>44135</v>
      </c>
      <c r="CK9" s="158" t="str">
        <f>"Amortissement"&amp;" "&amp;YEAR(E2)+6</f>
        <v>Amortissement 2020</v>
      </c>
      <c r="CL9" s="159" t="str">
        <f>"Valeur résiduelle"&amp;" "&amp;YEAR(E2)+6</f>
        <v>Valeur résiduelle 2020</v>
      </c>
      <c r="CM9" s="160">
        <f>EOMONTH(CJ9,1)</f>
        <v>44165</v>
      </c>
      <c r="CN9" s="151">
        <f>EOMONTH(CM9,1)</f>
        <v>44196</v>
      </c>
      <c r="CO9" s="151">
        <f t="shared" ref="CO9:CX9" si="19">EOMONTH(CN9,1)</f>
        <v>44227</v>
      </c>
      <c r="CP9" s="151">
        <f t="shared" si="19"/>
        <v>44255</v>
      </c>
      <c r="CQ9" s="151">
        <f t="shared" si="19"/>
        <v>44286</v>
      </c>
      <c r="CR9" s="151">
        <f t="shared" si="19"/>
        <v>44316</v>
      </c>
      <c r="CS9" s="151">
        <f t="shared" si="19"/>
        <v>44347</v>
      </c>
      <c r="CT9" s="151">
        <f t="shared" si="19"/>
        <v>44377</v>
      </c>
      <c r="CU9" s="151">
        <f t="shared" si="19"/>
        <v>44408</v>
      </c>
      <c r="CV9" s="151">
        <f t="shared" si="19"/>
        <v>44439</v>
      </c>
      <c r="CW9" s="151">
        <f t="shared" si="19"/>
        <v>44469</v>
      </c>
      <c r="CX9" s="161">
        <f t="shared" si="19"/>
        <v>44500</v>
      </c>
      <c r="CY9" s="153" t="str">
        <f>"Amortissement"&amp;" "&amp;YEAR(E2)+7</f>
        <v>Amortissement 2021</v>
      </c>
      <c r="CZ9" s="154" t="str">
        <f>"Valeur résiduelle"&amp;" "&amp;YEAR(E2)+7</f>
        <v>Valeur résiduelle 2021</v>
      </c>
      <c r="DA9" s="155">
        <f>EOMONTH(CX9,1)</f>
        <v>44530</v>
      </c>
      <c r="DB9" s="156">
        <f>EOMONTH(DA9,1)</f>
        <v>44561</v>
      </c>
      <c r="DC9" s="156">
        <f t="shared" ref="DC9:DL9" si="20">EOMONTH(DB9,1)</f>
        <v>44592</v>
      </c>
      <c r="DD9" s="156">
        <f t="shared" si="20"/>
        <v>44620</v>
      </c>
      <c r="DE9" s="156">
        <f t="shared" si="20"/>
        <v>44651</v>
      </c>
      <c r="DF9" s="156">
        <f t="shared" si="20"/>
        <v>44681</v>
      </c>
      <c r="DG9" s="156">
        <f t="shared" si="20"/>
        <v>44712</v>
      </c>
      <c r="DH9" s="156">
        <f t="shared" si="20"/>
        <v>44742</v>
      </c>
      <c r="DI9" s="156">
        <f t="shared" si="20"/>
        <v>44773</v>
      </c>
      <c r="DJ9" s="156">
        <f t="shared" si="20"/>
        <v>44804</v>
      </c>
      <c r="DK9" s="156">
        <f t="shared" si="20"/>
        <v>44834</v>
      </c>
      <c r="DL9" s="157">
        <f t="shared" si="20"/>
        <v>44865</v>
      </c>
      <c r="DM9" s="158" t="str">
        <f>"Amortissement"&amp;" "&amp;YEAR(E2)+8</f>
        <v>Amortissement 2022</v>
      </c>
      <c r="DN9" s="159" t="str">
        <f>"Valeur résiduelle"&amp;" "&amp;YEAR(E2)+8</f>
        <v>Valeur résiduelle 2022</v>
      </c>
      <c r="DO9" s="160">
        <f>EOMONTH(DL9,1)</f>
        <v>44895</v>
      </c>
      <c r="DP9" s="151">
        <f>EOMONTH(DO9,1)</f>
        <v>44926</v>
      </c>
      <c r="DQ9" s="151">
        <f t="shared" ref="DQ9:DZ9" si="21">EOMONTH(DP9,1)</f>
        <v>44957</v>
      </c>
      <c r="DR9" s="151">
        <f t="shared" si="21"/>
        <v>44985</v>
      </c>
      <c r="DS9" s="151">
        <f t="shared" si="21"/>
        <v>45016</v>
      </c>
      <c r="DT9" s="151">
        <f t="shared" si="21"/>
        <v>45046</v>
      </c>
      <c r="DU9" s="151">
        <f t="shared" si="21"/>
        <v>45077</v>
      </c>
      <c r="DV9" s="151">
        <f t="shared" si="21"/>
        <v>45107</v>
      </c>
      <c r="DW9" s="151">
        <f t="shared" si="21"/>
        <v>45138</v>
      </c>
      <c r="DX9" s="151">
        <f t="shared" si="21"/>
        <v>45169</v>
      </c>
      <c r="DY9" s="151">
        <f t="shared" si="21"/>
        <v>45199</v>
      </c>
      <c r="DZ9" s="161">
        <f t="shared" si="21"/>
        <v>45230</v>
      </c>
      <c r="EA9" s="153" t="str">
        <f>"Amortissement"&amp;" "&amp;YEAR(E2)+9</f>
        <v>Amortissement 2023</v>
      </c>
      <c r="EB9" s="154" t="str">
        <f>"Valeur résiduelle"&amp;" "&amp;YEAR(E2)+9</f>
        <v>Valeur résiduelle 2023</v>
      </c>
    </row>
    <row r="10" spans="1:132" s="177" customFormat="1" ht="15.75">
      <c r="A10" s="163">
        <v>41974</v>
      </c>
      <c r="B10" s="164" t="s">
        <v>87</v>
      </c>
      <c r="C10" s="165" t="s">
        <v>99</v>
      </c>
      <c r="D10" s="166">
        <v>80000</v>
      </c>
      <c r="E10" s="167">
        <v>5</v>
      </c>
      <c r="F10" s="168">
        <f t="shared" ref="F10:F50" si="22">D10/E10</f>
        <v>16000</v>
      </c>
      <c r="G10" s="169">
        <f>IF(OR($F10&lt;=0,(G$9-$A10)&gt;(365*$E10)),0,IF($A10&lt;=G$9,$F10/12,0))</f>
        <v>0</v>
      </c>
      <c r="H10" s="170">
        <f t="shared" ref="H10:R25" si="23">IF(OR($F10&lt;=0,(H$9-$A10)&gt;(365*$E10)),0,IF($A10&lt;=H$9,$F10/12,0))</f>
        <v>1333.3333333333333</v>
      </c>
      <c r="I10" s="170">
        <f t="shared" si="23"/>
        <v>1333.3333333333333</v>
      </c>
      <c r="J10" s="170">
        <f t="shared" si="23"/>
        <v>1333.3333333333333</v>
      </c>
      <c r="K10" s="170">
        <f t="shared" si="23"/>
        <v>1333.3333333333333</v>
      </c>
      <c r="L10" s="170">
        <f t="shared" si="23"/>
        <v>1333.3333333333333</v>
      </c>
      <c r="M10" s="170">
        <f t="shared" si="23"/>
        <v>1333.3333333333333</v>
      </c>
      <c r="N10" s="170">
        <f t="shared" si="23"/>
        <v>1333.3333333333333</v>
      </c>
      <c r="O10" s="170">
        <f t="shared" si="23"/>
        <v>1333.3333333333333</v>
      </c>
      <c r="P10" s="170">
        <f t="shared" si="23"/>
        <v>1333.3333333333333</v>
      </c>
      <c r="Q10" s="170">
        <f t="shared" si="23"/>
        <v>1333.3333333333333</v>
      </c>
      <c r="R10" s="171">
        <f t="shared" si="23"/>
        <v>1333.3333333333333</v>
      </c>
      <c r="S10" s="172">
        <f>SUM(G10:R10)</f>
        <v>14666.666666666668</v>
      </c>
      <c r="T10" s="171">
        <f>IF(AND($R$9&gt;A10,$S10&lt;&gt;0),$D10-$S10,0)</f>
        <v>65333.333333333328</v>
      </c>
      <c r="U10" s="173">
        <f>IF(OR($F10&lt;=0,(U$9-$A10)&gt;(365*$E10)),0,IF($A10&lt;=U$9,$F10/12,0))</f>
        <v>1333.3333333333333</v>
      </c>
      <c r="V10" s="170">
        <f t="shared" ref="V10:AF25" si="24">IF(OR($F10&lt;=0,(V$9-$A10)&gt;(365*$E10)),0,IF($A10&lt;=V$9,$F10/12,0))</f>
        <v>1333.3333333333333</v>
      </c>
      <c r="W10" s="170">
        <f t="shared" si="24"/>
        <v>1333.3333333333333</v>
      </c>
      <c r="X10" s="170">
        <f t="shared" si="24"/>
        <v>1333.3333333333333</v>
      </c>
      <c r="Y10" s="170">
        <f t="shared" si="24"/>
        <v>1333.3333333333333</v>
      </c>
      <c r="Z10" s="170">
        <f t="shared" si="24"/>
        <v>1333.3333333333333</v>
      </c>
      <c r="AA10" s="170">
        <f t="shared" si="24"/>
        <v>1333.3333333333333</v>
      </c>
      <c r="AB10" s="170">
        <f t="shared" si="24"/>
        <v>1333.3333333333333</v>
      </c>
      <c r="AC10" s="170">
        <f t="shared" si="24"/>
        <v>1333.3333333333333</v>
      </c>
      <c r="AD10" s="170">
        <f t="shared" si="24"/>
        <v>1333.3333333333333</v>
      </c>
      <c r="AE10" s="170">
        <f t="shared" si="24"/>
        <v>1333.3333333333333</v>
      </c>
      <c r="AF10" s="174">
        <f t="shared" si="24"/>
        <v>1333.3333333333333</v>
      </c>
      <c r="AG10" s="172">
        <f>SUM(U10:AF10)</f>
        <v>16000.000000000002</v>
      </c>
      <c r="AH10" s="171">
        <f>IF(AND($AF$9&gt;$A10,$AG10&lt;&gt;0),$D10-$S10-$AG10,0)</f>
        <v>49333.333333333328</v>
      </c>
      <c r="AI10" s="173">
        <f>IF(OR($F10&lt;=0,(AI$9-$A10)&gt;(365*$E10)),0,IF($A10&lt;=AI$9,$F10/12,0))</f>
        <v>1333.3333333333333</v>
      </c>
      <c r="AJ10" s="170">
        <f t="shared" ref="AJ10:AT25" si="25">IF(OR($F10&lt;=0,(AJ$9-$A10)&gt;(365*$E10)),0,IF($A10&lt;=AJ$9,$F10/12,0))</f>
        <v>1333.3333333333333</v>
      </c>
      <c r="AK10" s="170">
        <f t="shared" si="25"/>
        <v>1333.3333333333333</v>
      </c>
      <c r="AL10" s="170">
        <f t="shared" si="25"/>
        <v>1333.3333333333333</v>
      </c>
      <c r="AM10" s="170">
        <f t="shared" si="25"/>
        <v>1333.3333333333333</v>
      </c>
      <c r="AN10" s="170">
        <f t="shared" si="25"/>
        <v>1333.3333333333333</v>
      </c>
      <c r="AO10" s="170">
        <f t="shared" si="25"/>
        <v>1333.3333333333333</v>
      </c>
      <c r="AP10" s="170">
        <f t="shared" si="25"/>
        <v>1333.3333333333333</v>
      </c>
      <c r="AQ10" s="170">
        <f t="shared" si="25"/>
        <v>1333.3333333333333</v>
      </c>
      <c r="AR10" s="170">
        <f t="shared" si="25"/>
        <v>1333.3333333333333</v>
      </c>
      <c r="AS10" s="170">
        <f t="shared" si="25"/>
        <v>1333.3333333333333</v>
      </c>
      <c r="AT10" s="174">
        <f t="shared" si="25"/>
        <v>1333.3333333333333</v>
      </c>
      <c r="AU10" s="172">
        <f>SUM(AI10:AT10)</f>
        <v>16000.000000000002</v>
      </c>
      <c r="AV10" s="171">
        <f>IF(AND($AT$9&gt;$A10,$AU10&lt;&gt;0),$D10-$S10-$AG10-$AU10,0)</f>
        <v>33333.333333333328</v>
      </c>
      <c r="AW10" s="173">
        <f>IF(OR($F10&lt;=0,(AW$9-$A10)&gt;(365*$E10)),0,IF($A10&lt;=AW$9,$F10/12,0))</f>
        <v>1333.3333333333333</v>
      </c>
      <c r="AX10" s="170">
        <f t="shared" ref="AX10:BH25" si="26">IF(OR($F10&lt;=0,(AX$9-$A10)&gt;(365*$E10)),0,IF($A10&lt;=AX$9,$F10/12,0))</f>
        <v>1333.3333333333333</v>
      </c>
      <c r="AY10" s="170">
        <f t="shared" si="26"/>
        <v>1333.3333333333333</v>
      </c>
      <c r="AZ10" s="170">
        <f t="shared" si="26"/>
        <v>1333.3333333333333</v>
      </c>
      <c r="BA10" s="170">
        <f t="shared" si="26"/>
        <v>1333.3333333333333</v>
      </c>
      <c r="BB10" s="170">
        <f t="shared" si="26"/>
        <v>1333.3333333333333</v>
      </c>
      <c r="BC10" s="170">
        <f t="shared" si="26"/>
        <v>1333.3333333333333</v>
      </c>
      <c r="BD10" s="170">
        <f t="shared" si="26"/>
        <v>1333.3333333333333</v>
      </c>
      <c r="BE10" s="170">
        <f t="shared" si="26"/>
        <v>1333.3333333333333</v>
      </c>
      <c r="BF10" s="170">
        <f t="shared" si="26"/>
        <v>1333.3333333333333</v>
      </c>
      <c r="BG10" s="170">
        <f t="shared" si="26"/>
        <v>1333.3333333333333</v>
      </c>
      <c r="BH10" s="174">
        <f t="shared" si="26"/>
        <v>1333.3333333333333</v>
      </c>
      <c r="BI10" s="172">
        <f>SUM(AW10:BH10)</f>
        <v>16000.000000000002</v>
      </c>
      <c r="BJ10" s="171">
        <f>IF(AND($BH$9&gt;$A10,$BI10&lt;&gt;0),$D10-$S10-$AG10-$AU10-$BI10,0)</f>
        <v>17333.333333333328</v>
      </c>
      <c r="BK10" s="173">
        <f>IF(OR($BJ10&lt;=0,(BK$9-$A10)&gt;($E10*365)),0,IF($A10&lt;=BK$9,$F10/12))</f>
        <v>1333.3333333333333</v>
      </c>
      <c r="BL10" s="170">
        <f t="shared" ref="BL10:BV25" si="27">IF(OR($BJ10&lt;=0,(BL$9-$A10)&gt;($E10*365)),0,IF($A10&lt;=BL$9,$F10/12))</f>
        <v>1333.3333333333333</v>
      </c>
      <c r="BM10" s="170">
        <f t="shared" si="27"/>
        <v>1333.3333333333333</v>
      </c>
      <c r="BN10" s="170">
        <f t="shared" si="27"/>
        <v>1333.3333333333333</v>
      </c>
      <c r="BO10" s="170">
        <f t="shared" si="27"/>
        <v>1333.3333333333333</v>
      </c>
      <c r="BP10" s="170">
        <f t="shared" si="27"/>
        <v>1333.3333333333333</v>
      </c>
      <c r="BQ10" s="170">
        <f t="shared" si="27"/>
        <v>1333.3333333333333</v>
      </c>
      <c r="BR10" s="170">
        <f t="shared" si="27"/>
        <v>1333.3333333333333</v>
      </c>
      <c r="BS10" s="170">
        <f t="shared" si="27"/>
        <v>1333.3333333333333</v>
      </c>
      <c r="BT10" s="170">
        <f t="shared" si="27"/>
        <v>1333.3333333333333</v>
      </c>
      <c r="BU10" s="170">
        <f t="shared" si="27"/>
        <v>1333.3333333333333</v>
      </c>
      <c r="BV10" s="174">
        <f t="shared" si="27"/>
        <v>1333.3333333333333</v>
      </c>
      <c r="BW10" s="172">
        <f>SUM(BK10:BV10)</f>
        <v>16000.000000000002</v>
      </c>
      <c r="BX10" s="171">
        <f>IF(AND($BV$9&gt;$A10,$BW10&lt;&gt;0),$D10-$S10-$AG10-$AU10-$BI10-$BW10,0)</f>
        <v>1333.3333333333267</v>
      </c>
      <c r="BY10" s="173">
        <f>IF(OR($BX10&lt;=0,(BY$9-$A10)&gt;($E10*365)),0,IF($A10&lt;=BY$9,$F10/12))</f>
        <v>1333.3333333333333</v>
      </c>
      <c r="BZ10" s="170">
        <f t="shared" ref="BZ10:CJ25" si="28">IF(OR($BX10&lt;=0,(BZ$9-$A10)&gt;($E10*365)),0,IF($A10&lt;=BZ$9,$F10/12))</f>
        <v>0</v>
      </c>
      <c r="CA10" s="170">
        <f t="shared" si="28"/>
        <v>0</v>
      </c>
      <c r="CB10" s="170">
        <f t="shared" si="28"/>
        <v>0</v>
      </c>
      <c r="CC10" s="170">
        <f t="shared" si="28"/>
        <v>0</v>
      </c>
      <c r="CD10" s="170">
        <f t="shared" si="28"/>
        <v>0</v>
      </c>
      <c r="CE10" s="170">
        <f t="shared" si="28"/>
        <v>0</v>
      </c>
      <c r="CF10" s="170">
        <f t="shared" si="28"/>
        <v>0</v>
      </c>
      <c r="CG10" s="170">
        <f t="shared" si="28"/>
        <v>0</v>
      </c>
      <c r="CH10" s="170">
        <f t="shared" si="28"/>
        <v>0</v>
      </c>
      <c r="CI10" s="170">
        <f t="shared" si="28"/>
        <v>0</v>
      </c>
      <c r="CJ10" s="174">
        <f>IF(OR($BX10&lt;=0,(CJ$9-$A10)&gt;($E10*365)),0,IF($A10&lt;=CJ$9,$F10/12))</f>
        <v>0</v>
      </c>
      <c r="CK10" s="172">
        <f>SUM(BY10:CJ10)</f>
        <v>1333.3333333333333</v>
      </c>
      <c r="CL10" s="171">
        <f>IF(AND($CJ$9&gt;$A10,$CK10&lt;&gt;0),$D10-$S10-$AG10-$AU10-$BI10-$BW10-$CK$10,0)</f>
        <v>-6.5938365878537297E-12</v>
      </c>
      <c r="CM10" s="173">
        <f>IF(OR($CL10&lt;=0,(CM$9-$A10)&gt;($E10*365)),0,IF($A10&lt;=CM$9,$F10/12))</f>
        <v>0</v>
      </c>
      <c r="CN10" s="170">
        <f t="shared" ref="CN10:CX25" si="29">IF(OR($CL10&lt;=0,(CN$9-$A10)&gt;($E10*365)),0,IF($A10&lt;=CN$9,$F10/12))</f>
        <v>0</v>
      </c>
      <c r="CO10" s="170">
        <f t="shared" si="29"/>
        <v>0</v>
      </c>
      <c r="CP10" s="170">
        <f t="shared" si="29"/>
        <v>0</v>
      </c>
      <c r="CQ10" s="170">
        <f t="shared" si="29"/>
        <v>0</v>
      </c>
      <c r="CR10" s="170">
        <f t="shared" si="29"/>
        <v>0</v>
      </c>
      <c r="CS10" s="170">
        <f t="shared" si="29"/>
        <v>0</v>
      </c>
      <c r="CT10" s="170">
        <f t="shared" si="29"/>
        <v>0</v>
      </c>
      <c r="CU10" s="170">
        <f t="shared" si="29"/>
        <v>0</v>
      </c>
      <c r="CV10" s="170">
        <f t="shared" si="29"/>
        <v>0</v>
      </c>
      <c r="CW10" s="170">
        <f t="shared" si="29"/>
        <v>0</v>
      </c>
      <c r="CX10" s="174">
        <f t="shared" si="29"/>
        <v>0</v>
      </c>
      <c r="CY10" s="172">
        <f>SUM(CM10:CX10)</f>
        <v>0</v>
      </c>
      <c r="CZ10" s="171">
        <f>IF(AND($CX$9&gt;$A10,$CY10&lt;&gt;0),$D10-$S10-$AG10-$AU10-$BI10-$BW10-$CK10-$CY10,0)</f>
        <v>0</v>
      </c>
      <c r="DA10" s="173">
        <f>IF(OR($CZ10&lt;=0,(DA$9-$A10)&gt;($E10*365)),0,IF($A10&lt;=DA$9,$F10/12))</f>
        <v>0</v>
      </c>
      <c r="DB10" s="170">
        <f t="shared" ref="DB10:DL25" si="30">IF(OR($CZ10&lt;=0,(DB$9-$A10)&gt;($E10*365)),0,IF($A10&lt;=DB$9,$F10/12))</f>
        <v>0</v>
      </c>
      <c r="DC10" s="170">
        <f t="shared" si="30"/>
        <v>0</v>
      </c>
      <c r="DD10" s="170">
        <f t="shared" si="30"/>
        <v>0</v>
      </c>
      <c r="DE10" s="170">
        <f t="shared" si="30"/>
        <v>0</v>
      </c>
      <c r="DF10" s="170">
        <f t="shared" si="30"/>
        <v>0</v>
      </c>
      <c r="DG10" s="170">
        <f t="shared" si="30"/>
        <v>0</v>
      </c>
      <c r="DH10" s="170">
        <f t="shared" si="30"/>
        <v>0</v>
      </c>
      <c r="DI10" s="170">
        <f t="shared" si="30"/>
        <v>0</v>
      </c>
      <c r="DJ10" s="170">
        <f t="shared" si="30"/>
        <v>0</v>
      </c>
      <c r="DK10" s="170">
        <f t="shared" si="30"/>
        <v>0</v>
      </c>
      <c r="DL10" s="174">
        <f t="shared" si="30"/>
        <v>0</v>
      </c>
      <c r="DM10" s="172">
        <f>SUM(DA10:DL10)</f>
        <v>0</v>
      </c>
      <c r="DN10" s="171">
        <f>IF(AND($DL$9&gt;$A10,$DM10&lt;&gt;0),$D10-$S10-$AG10-$AU10-$BI10-$BW10-$CK$10-$CY10-$DM10,0)</f>
        <v>0</v>
      </c>
      <c r="DO10" s="173">
        <f>IF(OR($DN10&lt;=0,(DO$9-$A10)&gt;($E10*365)),0,IF($A10&lt;=DO$9,$F10/12))</f>
        <v>0</v>
      </c>
      <c r="DP10" s="170">
        <f t="shared" ref="DP10:DZ25" si="31">IF(OR($DN10&lt;=0,(DP$9-$A10)&gt;($E10*365)),0,IF($A10&lt;=DP$9,$F10/12))</f>
        <v>0</v>
      </c>
      <c r="DQ10" s="170">
        <f t="shared" si="31"/>
        <v>0</v>
      </c>
      <c r="DR10" s="170">
        <f t="shared" si="31"/>
        <v>0</v>
      </c>
      <c r="DS10" s="170">
        <f t="shared" si="31"/>
        <v>0</v>
      </c>
      <c r="DT10" s="170">
        <f t="shared" si="31"/>
        <v>0</v>
      </c>
      <c r="DU10" s="170">
        <f t="shared" si="31"/>
        <v>0</v>
      </c>
      <c r="DV10" s="170">
        <f t="shared" si="31"/>
        <v>0</v>
      </c>
      <c r="DW10" s="170">
        <f t="shared" si="31"/>
        <v>0</v>
      </c>
      <c r="DX10" s="170">
        <f t="shared" si="31"/>
        <v>0</v>
      </c>
      <c r="DY10" s="170">
        <f t="shared" si="31"/>
        <v>0</v>
      </c>
      <c r="DZ10" s="174">
        <f t="shared" si="31"/>
        <v>0</v>
      </c>
      <c r="EA10" s="175">
        <f>SUM(DO10:DZ10)</f>
        <v>0</v>
      </c>
      <c r="EB10" s="176">
        <f>IF(AND($DZ$9&gt;$A10,$EA10&lt;&gt;0),$D10-$S10-$AG10-$AU10-$BI10-$BW10--CY10-$DM10-$CK10-$EA10,0)</f>
        <v>0</v>
      </c>
    </row>
    <row r="11" spans="1:132" s="177" customFormat="1" ht="15.75">
      <c r="A11" s="163">
        <v>42707</v>
      </c>
      <c r="B11" s="164" t="s">
        <v>87</v>
      </c>
      <c r="C11" s="165" t="s">
        <v>148</v>
      </c>
      <c r="D11" s="166">
        <v>13000</v>
      </c>
      <c r="E11" s="167">
        <v>5</v>
      </c>
      <c r="F11" s="168">
        <f t="shared" si="22"/>
        <v>2600</v>
      </c>
      <c r="G11" s="169">
        <f t="shared" ref="G11:R41" si="32">IF(OR($F11&lt;=0,(G$9-$A11)&gt;(365*$E11)),0,IF($A11&lt;=G$9,$F11/12,0))</f>
        <v>0</v>
      </c>
      <c r="H11" s="178">
        <f t="shared" si="23"/>
        <v>0</v>
      </c>
      <c r="I11" s="178">
        <f t="shared" si="23"/>
        <v>0</v>
      </c>
      <c r="J11" s="178">
        <f t="shared" si="23"/>
        <v>0</v>
      </c>
      <c r="K11" s="178">
        <f t="shared" si="23"/>
        <v>0</v>
      </c>
      <c r="L11" s="178">
        <f t="shared" si="23"/>
        <v>0</v>
      </c>
      <c r="M11" s="178">
        <f t="shared" si="23"/>
        <v>0</v>
      </c>
      <c r="N11" s="178">
        <f t="shared" si="23"/>
        <v>0</v>
      </c>
      <c r="O11" s="178">
        <f t="shared" si="23"/>
        <v>0</v>
      </c>
      <c r="P11" s="178">
        <f t="shared" si="23"/>
        <v>0</v>
      </c>
      <c r="Q11" s="178">
        <f t="shared" si="23"/>
        <v>0</v>
      </c>
      <c r="R11" s="179">
        <f t="shared" si="23"/>
        <v>0</v>
      </c>
      <c r="S11" s="172">
        <f>SUM(G11:R11)</f>
        <v>0</v>
      </c>
      <c r="T11" s="179">
        <f t="shared" ref="T11:T50" si="33">IF(AND($R$9&gt;A11,$S11&lt;&gt;0),$D11-$S11,0)</f>
        <v>0</v>
      </c>
      <c r="U11" s="180">
        <f t="shared" ref="U11:AF39" si="34">IF(OR($F11&lt;=0,(U$9-$A11)&gt;(365*$E11)),0,IF($A11&lt;=U$9,$F11/12,0))</f>
        <v>0</v>
      </c>
      <c r="V11" s="178">
        <f t="shared" si="24"/>
        <v>0</v>
      </c>
      <c r="W11" s="178">
        <f t="shared" si="24"/>
        <v>0</v>
      </c>
      <c r="X11" s="178">
        <f t="shared" si="24"/>
        <v>0</v>
      </c>
      <c r="Y11" s="178">
        <f t="shared" si="24"/>
        <v>0</v>
      </c>
      <c r="Z11" s="178">
        <f t="shared" si="24"/>
        <v>0</v>
      </c>
      <c r="AA11" s="178">
        <f t="shared" si="24"/>
        <v>0</v>
      </c>
      <c r="AB11" s="178">
        <f t="shared" si="24"/>
        <v>0</v>
      </c>
      <c r="AC11" s="178">
        <f t="shared" si="24"/>
        <v>0</v>
      </c>
      <c r="AD11" s="178">
        <f t="shared" si="24"/>
        <v>0</v>
      </c>
      <c r="AE11" s="178">
        <f t="shared" si="24"/>
        <v>0</v>
      </c>
      <c r="AF11" s="168">
        <f t="shared" si="24"/>
        <v>0</v>
      </c>
      <c r="AG11" s="169">
        <f t="shared" ref="AG11:AG50" si="35">SUM(U11:AF11)</f>
        <v>0</v>
      </c>
      <c r="AH11" s="179">
        <f t="shared" ref="AH11:AH50" si="36">IF(AND($AF$9&gt;$A11,$AG11&lt;&gt;0),$D11-$S11-$AG11,0)</f>
        <v>0</v>
      </c>
      <c r="AI11" s="180">
        <f t="shared" ref="AI11:AT39" si="37">IF(OR($F11&lt;=0,(AI$9-$A11)&gt;(365*$E11)),0,IF($A11&lt;=AI$9,$F11/12,0))</f>
        <v>0</v>
      </c>
      <c r="AJ11" s="178">
        <f t="shared" si="25"/>
        <v>216.66666666666666</v>
      </c>
      <c r="AK11" s="178">
        <f t="shared" si="25"/>
        <v>216.66666666666666</v>
      </c>
      <c r="AL11" s="178">
        <f t="shared" si="25"/>
        <v>216.66666666666666</v>
      </c>
      <c r="AM11" s="178">
        <f t="shared" si="25"/>
        <v>216.66666666666666</v>
      </c>
      <c r="AN11" s="178">
        <f t="shared" si="25"/>
        <v>216.66666666666666</v>
      </c>
      <c r="AO11" s="178">
        <f t="shared" si="25"/>
        <v>216.66666666666666</v>
      </c>
      <c r="AP11" s="178">
        <f t="shared" si="25"/>
        <v>216.66666666666666</v>
      </c>
      <c r="AQ11" s="178">
        <f t="shared" si="25"/>
        <v>216.66666666666666</v>
      </c>
      <c r="AR11" s="178">
        <f t="shared" si="25"/>
        <v>216.66666666666666</v>
      </c>
      <c r="AS11" s="178">
        <f t="shared" si="25"/>
        <v>216.66666666666666</v>
      </c>
      <c r="AT11" s="168">
        <f t="shared" si="25"/>
        <v>216.66666666666666</v>
      </c>
      <c r="AU11" s="169">
        <f t="shared" ref="AU11:AU50" si="38">SUM(AI11:AT11)</f>
        <v>2383.3333333333335</v>
      </c>
      <c r="AV11" s="179">
        <f t="shared" ref="AV11:AV50" si="39">IF(AND($AT$9&gt;$A11,$AU11&lt;&gt;0),$D11-$S11-$AG11-$AU11,0)</f>
        <v>10616.666666666666</v>
      </c>
      <c r="AW11" s="180">
        <f t="shared" ref="AW11:BH39" si="40">IF(OR($F11&lt;=0,(AW$9-$A11)&gt;(365*$E11)),0,IF($A11&lt;=AW$9,$F11/12,0))</f>
        <v>216.66666666666666</v>
      </c>
      <c r="AX11" s="178">
        <f t="shared" si="26"/>
        <v>216.66666666666666</v>
      </c>
      <c r="AY11" s="178">
        <f t="shared" si="26"/>
        <v>216.66666666666666</v>
      </c>
      <c r="AZ11" s="178">
        <f t="shared" si="26"/>
        <v>216.66666666666666</v>
      </c>
      <c r="BA11" s="178">
        <f t="shared" si="26"/>
        <v>216.66666666666666</v>
      </c>
      <c r="BB11" s="178">
        <f t="shared" si="26"/>
        <v>216.66666666666666</v>
      </c>
      <c r="BC11" s="178">
        <f t="shared" si="26"/>
        <v>216.66666666666666</v>
      </c>
      <c r="BD11" s="178">
        <f t="shared" si="26"/>
        <v>216.66666666666666</v>
      </c>
      <c r="BE11" s="178">
        <f t="shared" si="26"/>
        <v>216.66666666666666</v>
      </c>
      <c r="BF11" s="178">
        <f t="shared" si="26"/>
        <v>216.66666666666666</v>
      </c>
      <c r="BG11" s="178">
        <f t="shared" si="26"/>
        <v>216.66666666666666</v>
      </c>
      <c r="BH11" s="168">
        <f t="shared" si="26"/>
        <v>216.66666666666666</v>
      </c>
      <c r="BI11" s="169">
        <f t="shared" ref="BI11:BI49" si="41">SUM(AW11:BH11)</f>
        <v>2600</v>
      </c>
      <c r="BJ11" s="179">
        <f t="shared" ref="BJ11:BJ49" si="42">IF(AND($BH$9&gt;$A11,$BI11&lt;&gt;0),$D11-$S11-$AG11-$AU11-$BI11,0)</f>
        <v>8016.6666666666661</v>
      </c>
      <c r="BK11" s="180">
        <f t="shared" ref="BK11:BV39" si="43">IF(OR($BJ11&lt;=0,(BK$9-$A11)&gt;($E11*365)),0,IF($A11&lt;=BK$9,$F11/12))</f>
        <v>216.66666666666666</v>
      </c>
      <c r="BL11" s="178">
        <f t="shared" si="27"/>
        <v>216.66666666666666</v>
      </c>
      <c r="BM11" s="178">
        <f t="shared" si="27"/>
        <v>216.66666666666666</v>
      </c>
      <c r="BN11" s="178">
        <f t="shared" si="27"/>
        <v>216.66666666666666</v>
      </c>
      <c r="BO11" s="178">
        <f t="shared" si="27"/>
        <v>216.66666666666666</v>
      </c>
      <c r="BP11" s="178">
        <f t="shared" si="27"/>
        <v>216.66666666666666</v>
      </c>
      <c r="BQ11" s="178">
        <f t="shared" si="27"/>
        <v>216.66666666666666</v>
      </c>
      <c r="BR11" s="178">
        <f t="shared" si="27"/>
        <v>216.66666666666666</v>
      </c>
      <c r="BS11" s="178">
        <f t="shared" si="27"/>
        <v>216.66666666666666</v>
      </c>
      <c r="BT11" s="178">
        <f t="shared" si="27"/>
        <v>216.66666666666666</v>
      </c>
      <c r="BU11" s="178">
        <f t="shared" si="27"/>
        <v>216.66666666666666</v>
      </c>
      <c r="BV11" s="168">
        <f t="shared" si="27"/>
        <v>216.66666666666666</v>
      </c>
      <c r="BW11" s="169">
        <f t="shared" ref="BW11:BW50" si="44">SUM(BK11:BV11)</f>
        <v>2600</v>
      </c>
      <c r="BX11" s="179">
        <f t="shared" ref="BX11:BX50" si="45">IF(AND($BV$9&gt;$A11,$BW11&lt;&gt;0),$D11-$S11-$AG11-$AU11-$BI11-$BW11,0)</f>
        <v>5416.6666666666661</v>
      </c>
      <c r="BY11" s="180">
        <f t="shared" ref="BY11:CJ39" si="46">IF(OR($BX11&lt;=0,(BY$9-$A11)&gt;($E11*365)),0,IF($A11&lt;=BY$9,$F11/12))</f>
        <v>216.66666666666666</v>
      </c>
      <c r="BZ11" s="178">
        <f t="shared" si="28"/>
        <v>216.66666666666666</v>
      </c>
      <c r="CA11" s="178">
        <f t="shared" si="28"/>
        <v>216.66666666666666</v>
      </c>
      <c r="CB11" s="178">
        <f t="shared" si="28"/>
        <v>216.66666666666666</v>
      </c>
      <c r="CC11" s="178">
        <f t="shared" si="28"/>
        <v>216.66666666666666</v>
      </c>
      <c r="CD11" s="178">
        <f t="shared" si="28"/>
        <v>216.66666666666666</v>
      </c>
      <c r="CE11" s="178">
        <f t="shared" si="28"/>
        <v>216.66666666666666</v>
      </c>
      <c r="CF11" s="178">
        <f t="shared" si="28"/>
        <v>216.66666666666666</v>
      </c>
      <c r="CG11" s="178">
        <f t="shared" si="28"/>
        <v>216.66666666666666</v>
      </c>
      <c r="CH11" s="178">
        <f t="shared" si="28"/>
        <v>216.66666666666666</v>
      </c>
      <c r="CI11" s="178">
        <f t="shared" si="28"/>
        <v>216.66666666666666</v>
      </c>
      <c r="CJ11" s="168">
        <f t="shared" si="28"/>
        <v>216.66666666666666</v>
      </c>
      <c r="CK11" s="169">
        <f t="shared" ref="CK11:CK50" si="47">SUM(BY11:CJ11)</f>
        <v>2600</v>
      </c>
      <c r="CL11" s="179">
        <f t="shared" ref="CL11:CL50" si="48">IF(AND($CJ$9&gt;$A11,$CK11&lt;&gt;0),$D11-$S11-$AG11-$AU11-$BI11-$BW11-$CK$10,0)</f>
        <v>4083.333333333333</v>
      </c>
      <c r="CM11" s="180">
        <f t="shared" ref="CM11:CX39" si="49">IF(OR($CL11&lt;=0,(CM$9-$A11)&gt;($E11*365)),0,IF($A11&lt;=CM$9,$F11/12))</f>
        <v>216.66666666666666</v>
      </c>
      <c r="CN11" s="178">
        <f t="shared" si="29"/>
        <v>216.66666666666666</v>
      </c>
      <c r="CO11" s="178">
        <f t="shared" si="29"/>
        <v>216.66666666666666</v>
      </c>
      <c r="CP11" s="178">
        <f t="shared" si="29"/>
        <v>216.66666666666666</v>
      </c>
      <c r="CQ11" s="178">
        <f t="shared" si="29"/>
        <v>216.66666666666666</v>
      </c>
      <c r="CR11" s="178">
        <f t="shared" si="29"/>
        <v>216.66666666666666</v>
      </c>
      <c r="CS11" s="178">
        <f t="shared" si="29"/>
        <v>216.66666666666666</v>
      </c>
      <c r="CT11" s="178">
        <f t="shared" si="29"/>
        <v>216.66666666666666</v>
      </c>
      <c r="CU11" s="178">
        <f t="shared" si="29"/>
        <v>216.66666666666666</v>
      </c>
      <c r="CV11" s="178">
        <f t="shared" si="29"/>
        <v>216.66666666666666</v>
      </c>
      <c r="CW11" s="178">
        <f t="shared" si="29"/>
        <v>216.66666666666666</v>
      </c>
      <c r="CX11" s="168">
        <f t="shared" si="29"/>
        <v>216.66666666666666</v>
      </c>
      <c r="CY11" s="169">
        <f t="shared" ref="CY11:CY50" si="50">SUM(CM11:CX11)</f>
        <v>2600</v>
      </c>
      <c r="CZ11" s="179">
        <f t="shared" ref="CZ11:CZ50" si="51">IF(AND($CX$9&gt;$A11,$CY11&lt;&gt;0),$D11-$S11-$AG11-$AU11-$BI11-$BW11-$CK11-$CY11,0)</f>
        <v>216.66666666666606</v>
      </c>
      <c r="DA11" s="180">
        <f t="shared" ref="DA11:DL39" si="52">IF(OR($CZ11&lt;=0,(DA$9-$A11)&gt;($E11*365)),0,IF($A11&lt;=DA$9,$F11/12))</f>
        <v>216.66666666666666</v>
      </c>
      <c r="DB11" s="178">
        <f t="shared" si="30"/>
        <v>0</v>
      </c>
      <c r="DC11" s="178">
        <f t="shared" si="30"/>
        <v>0</v>
      </c>
      <c r="DD11" s="178">
        <f t="shared" si="30"/>
        <v>0</v>
      </c>
      <c r="DE11" s="178">
        <f t="shared" si="30"/>
        <v>0</v>
      </c>
      <c r="DF11" s="178">
        <f t="shared" si="30"/>
        <v>0</v>
      </c>
      <c r="DG11" s="178">
        <f t="shared" si="30"/>
        <v>0</v>
      </c>
      <c r="DH11" s="178">
        <f t="shared" si="30"/>
        <v>0</v>
      </c>
      <c r="DI11" s="178">
        <f t="shared" si="30"/>
        <v>0</v>
      </c>
      <c r="DJ11" s="178">
        <f t="shared" si="30"/>
        <v>0</v>
      </c>
      <c r="DK11" s="178">
        <f t="shared" si="30"/>
        <v>0</v>
      </c>
      <c r="DL11" s="168">
        <f t="shared" si="30"/>
        <v>0</v>
      </c>
      <c r="DM11" s="169">
        <f t="shared" ref="DM11:DM50" si="53">SUM(DA11:DL11)</f>
        <v>216.66666666666666</v>
      </c>
      <c r="DN11" s="171">
        <f t="shared" ref="DN11:DN50" si="54">IF(AND($DL$9&gt;$A11,$DM11&lt;&gt;0),$D11-$S11-$AG11-$AU11-$BI11-$BW11-$CK$10-$CY11-$DM11,0)</f>
        <v>1266.6666666666663</v>
      </c>
      <c r="DO11" s="180">
        <f t="shared" ref="DO11:DZ39" si="55">IF(OR($DN11&lt;=0,(DO$9-$A11)&gt;($E11*365)),0,IF($A11&lt;=DO$9,$F11/12))</f>
        <v>0</v>
      </c>
      <c r="DP11" s="178">
        <f t="shared" si="31"/>
        <v>0</v>
      </c>
      <c r="DQ11" s="178">
        <f t="shared" si="31"/>
        <v>0</v>
      </c>
      <c r="DR11" s="178">
        <f t="shared" si="31"/>
        <v>0</v>
      </c>
      <c r="DS11" s="178">
        <f t="shared" si="31"/>
        <v>0</v>
      </c>
      <c r="DT11" s="178">
        <f t="shared" si="31"/>
        <v>0</v>
      </c>
      <c r="DU11" s="178">
        <f t="shared" si="31"/>
        <v>0</v>
      </c>
      <c r="DV11" s="178">
        <f t="shared" si="31"/>
        <v>0</v>
      </c>
      <c r="DW11" s="178">
        <f t="shared" si="31"/>
        <v>0</v>
      </c>
      <c r="DX11" s="178">
        <f t="shared" si="31"/>
        <v>0</v>
      </c>
      <c r="DY11" s="178">
        <f t="shared" si="31"/>
        <v>0</v>
      </c>
      <c r="DZ11" s="168">
        <f t="shared" si="31"/>
        <v>0</v>
      </c>
      <c r="EA11" s="169">
        <f t="shared" ref="EA11:EA50" si="56">SUM(DO11:DZ11)</f>
        <v>0</v>
      </c>
      <c r="EB11" s="171">
        <f t="shared" ref="EB11:EB50" si="57">IF(AND($DZ$9&gt;$A11,$EA11&lt;&gt;0),$D11-$S11-$AG11-$AU11-$BI11-$BW11--CY11-$DM11-$CK11-$EA11,0)</f>
        <v>0</v>
      </c>
    </row>
    <row r="12" spans="1:132" s="177" customFormat="1" ht="15.75">
      <c r="A12" s="163">
        <v>42736</v>
      </c>
      <c r="B12" s="164" t="s">
        <v>90</v>
      </c>
      <c r="C12" s="165" t="s">
        <v>155</v>
      </c>
      <c r="D12" s="166">
        <v>40000</v>
      </c>
      <c r="E12" s="167">
        <v>5</v>
      </c>
      <c r="F12" s="168">
        <f t="shared" si="22"/>
        <v>8000</v>
      </c>
      <c r="G12" s="169">
        <f t="shared" si="32"/>
        <v>0</v>
      </c>
      <c r="H12" s="178">
        <f t="shared" si="23"/>
        <v>0</v>
      </c>
      <c r="I12" s="178">
        <f t="shared" si="23"/>
        <v>0</v>
      </c>
      <c r="J12" s="178">
        <f t="shared" si="23"/>
        <v>0</v>
      </c>
      <c r="K12" s="178">
        <f t="shared" si="23"/>
        <v>0</v>
      </c>
      <c r="L12" s="178">
        <f t="shared" si="23"/>
        <v>0</v>
      </c>
      <c r="M12" s="178">
        <f t="shared" si="23"/>
        <v>0</v>
      </c>
      <c r="N12" s="178">
        <f t="shared" si="23"/>
        <v>0</v>
      </c>
      <c r="O12" s="178">
        <f t="shared" si="23"/>
        <v>0</v>
      </c>
      <c r="P12" s="178">
        <f t="shared" si="23"/>
        <v>0</v>
      </c>
      <c r="Q12" s="178">
        <f t="shared" si="23"/>
        <v>0</v>
      </c>
      <c r="R12" s="179">
        <f t="shared" si="23"/>
        <v>0</v>
      </c>
      <c r="S12" s="169">
        <f t="shared" ref="S12:S50" si="58">SUM(G12:R12)</f>
        <v>0</v>
      </c>
      <c r="T12" s="179">
        <f t="shared" si="33"/>
        <v>0</v>
      </c>
      <c r="U12" s="180">
        <f t="shared" si="34"/>
        <v>0</v>
      </c>
      <c r="V12" s="178">
        <f t="shared" si="24"/>
        <v>0</v>
      </c>
      <c r="W12" s="178">
        <f t="shared" si="24"/>
        <v>0</v>
      </c>
      <c r="X12" s="178">
        <f t="shared" si="24"/>
        <v>0</v>
      </c>
      <c r="Y12" s="178">
        <f t="shared" si="24"/>
        <v>0</v>
      </c>
      <c r="Z12" s="178">
        <f t="shared" si="24"/>
        <v>0</v>
      </c>
      <c r="AA12" s="178">
        <f t="shared" si="24"/>
        <v>0</v>
      </c>
      <c r="AB12" s="178">
        <f t="shared" si="24"/>
        <v>0</v>
      </c>
      <c r="AC12" s="178">
        <f t="shared" si="24"/>
        <v>0</v>
      </c>
      <c r="AD12" s="178">
        <f t="shared" si="24"/>
        <v>0</v>
      </c>
      <c r="AE12" s="178">
        <f t="shared" si="24"/>
        <v>0</v>
      </c>
      <c r="AF12" s="168">
        <f t="shared" si="24"/>
        <v>0</v>
      </c>
      <c r="AG12" s="169">
        <f t="shared" si="35"/>
        <v>0</v>
      </c>
      <c r="AH12" s="179">
        <f t="shared" si="36"/>
        <v>0</v>
      </c>
      <c r="AI12" s="180">
        <f t="shared" si="37"/>
        <v>0</v>
      </c>
      <c r="AJ12" s="178">
        <f t="shared" si="25"/>
        <v>0</v>
      </c>
      <c r="AK12" s="178">
        <f t="shared" si="25"/>
        <v>666.66666666666663</v>
      </c>
      <c r="AL12" s="178">
        <f t="shared" si="25"/>
        <v>666.66666666666663</v>
      </c>
      <c r="AM12" s="178">
        <f t="shared" si="25"/>
        <v>666.66666666666663</v>
      </c>
      <c r="AN12" s="178">
        <f t="shared" si="25"/>
        <v>666.66666666666663</v>
      </c>
      <c r="AO12" s="178">
        <f t="shared" si="25"/>
        <v>666.66666666666663</v>
      </c>
      <c r="AP12" s="178">
        <f t="shared" si="25"/>
        <v>666.66666666666663</v>
      </c>
      <c r="AQ12" s="178">
        <f t="shared" si="25"/>
        <v>666.66666666666663</v>
      </c>
      <c r="AR12" s="178">
        <f t="shared" si="25"/>
        <v>666.66666666666663</v>
      </c>
      <c r="AS12" s="178">
        <f t="shared" si="25"/>
        <v>666.66666666666663</v>
      </c>
      <c r="AT12" s="168">
        <f t="shared" si="25"/>
        <v>666.66666666666663</v>
      </c>
      <c r="AU12" s="169">
        <f t="shared" si="38"/>
        <v>6666.666666666667</v>
      </c>
      <c r="AV12" s="179">
        <f t="shared" si="39"/>
        <v>33333.333333333336</v>
      </c>
      <c r="AW12" s="180">
        <f t="shared" si="40"/>
        <v>666.66666666666663</v>
      </c>
      <c r="AX12" s="178">
        <f t="shared" si="26"/>
        <v>666.66666666666663</v>
      </c>
      <c r="AY12" s="178">
        <f t="shared" si="26"/>
        <v>666.66666666666663</v>
      </c>
      <c r="AZ12" s="178">
        <f t="shared" si="26"/>
        <v>666.66666666666663</v>
      </c>
      <c r="BA12" s="178">
        <f t="shared" si="26"/>
        <v>666.66666666666663</v>
      </c>
      <c r="BB12" s="178">
        <f t="shared" si="26"/>
        <v>666.66666666666663</v>
      </c>
      <c r="BC12" s="178">
        <f t="shared" si="26"/>
        <v>666.66666666666663</v>
      </c>
      <c r="BD12" s="178">
        <f t="shared" si="26"/>
        <v>666.66666666666663</v>
      </c>
      <c r="BE12" s="178">
        <f t="shared" si="26"/>
        <v>666.66666666666663</v>
      </c>
      <c r="BF12" s="178">
        <f t="shared" si="26"/>
        <v>666.66666666666663</v>
      </c>
      <c r="BG12" s="178">
        <f t="shared" si="26"/>
        <v>666.66666666666663</v>
      </c>
      <c r="BH12" s="168">
        <f t="shared" si="26"/>
        <v>666.66666666666663</v>
      </c>
      <c r="BI12" s="169">
        <f t="shared" si="41"/>
        <v>8000.0000000000009</v>
      </c>
      <c r="BJ12" s="179">
        <f t="shared" si="42"/>
        <v>25333.333333333336</v>
      </c>
      <c r="BK12" s="180">
        <f t="shared" si="43"/>
        <v>666.66666666666663</v>
      </c>
      <c r="BL12" s="178">
        <f t="shared" si="27"/>
        <v>666.66666666666663</v>
      </c>
      <c r="BM12" s="178">
        <f t="shared" si="27"/>
        <v>666.66666666666663</v>
      </c>
      <c r="BN12" s="178">
        <f t="shared" si="27"/>
        <v>666.66666666666663</v>
      </c>
      <c r="BO12" s="178">
        <f t="shared" si="27"/>
        <v>666.66666666666663</v>
      </c>
      <c r="BP12" s="178">
        <f t="shared" si="27"/>
        <v>666.66666666666663</v>
      </c>
      <c r="BQ12" s="178">
        <f t="shared" si="27"/>
        <v>666.66666666666663</v>
      </c>
      <c r="BR12" s="178">
        <f t="shared" si="27"/>
        <v>666.66666666666663</v>
      </c>
      <c r="BS12" s="178">
        <f t="shared" si="27"/>
        <v>666.66666666666663</v>
      </c>
      <c r="BT12" s="178">
        <f t="shared" si="27"/>
        <v>666.66666666666663</v>
      </c>
      <c r="BU12" s="178">
        <f t="shared" si="27"/>
        <v>666.66666666666663</v>
      </c>
      <c r="BV12" s="168">
        <f t="shared" si="27"/>
        <v>666.66666666666663</v>
      </c>
      <c r="BW12" s="169">
        <f t="shared" si="44"/>
        <v>8000.0000000000009</v>
      </c>
      <c r="BX12" s="179">
        <f t="shared" si="45"/>
        <v>17333.333333333336</v>
      </c>
      <c r="BY12" s="180">
        <f t="shared" si="46"/>
        <v>666.66666666666663</v>
      </c>
      <c r="BZ12" s="178">
        <f t="shared" si="28"/>
        <v>666.66666666666663</v>
      </c>
      <c r="CA12" s="178">
        <f t="shared" si="28"/>
        <v>666.66666666666663</v>
      </c>
      <c r="CB12" s="178">
        <f t="shared" si="28"/>
        <v>666.66666666666663</v>
      </c>
      <c r="CC12" s="178">
        <f t="shared" si="28"/>
        <v>666.66666666666663</v>
      </c>
      <c r="CD12" s="178">
        <f t="shared" si="28"/>
        <v>666.66666666666663</v>
      </c>
      <c r="CE12" s="178">
        <f t="shared" si="28"/>
        <v>666.66666666666663</v>
      </c>
      <c r="CF12" s="178">
        <f t="shared" si="28"/>
        <v>666.66666666666663</v>
      </c>
      <c r="CG12" s="178">
        <f t="shared" si="28"/>
        <v>666.66666666666663</v>
      </c>
      <c r="CH12" s="178">
        <f t="shared" si="28"/>
        <v>666.66666666666663</v>
      </c>
      <c r="CI12" s="178">
        <f t="shared" si="28"/>
        <v>666.66666666666663</v>
      </c>
      <c r="CJ12" s="168">
        <f t="shared" si="28"/>
        <v>666.66666666666663</v>
      </c>
      <c r="CK12" s="169">
        <f t="shared" si="47"/>
        <v>8000.0000000000009</v>
      </c>
      <c r="CL12" s="179">
        <f t="shared" si="48"/>
        <v>16000.000000000002</v>
      </c>
      <c r="CM12" s="180">
        <f t="shared" si="49"/>
        <v>666.66666666666663</v>
      </c>
      <c r="CN12" s="178">
        <f t="shared" si="29"/>
        <v>666.66666666666663</v>
      </c>
      <c r="CO12" s="178">
        <f t="shared" si="29"/>
        <v>666.66666666666663</v>
      </c>
      <c r="CP12" s="178">
        <f t="shared" si="29"/>
        <v>666.66666666666663</v>
      </c>
      <c r="CQ12" s="178">
        <f t="shared" si="29"/>
        <v>666.66666666666663</v>
      </c>
      <c r="CR12" s="178">
        <f t="shared" si="29"/>
        <v>666.66666666666663</v>
      </c>
      <c r="CS12" s="178">
        <f t="shared" si="29"/>
        <v>666.66666666666663</v>
      </c>
      <c r="CT12" s="178">
        <f t="shared" si="29"/>
        <v>666.66666666666663</v>
      </c>
      <c r="CU12" s="178">
        <f t="shared" si="29"/>
        <v>666.66666666666663</v>
      </c>
      <c r="CV12" s="178">
        <f t="shared" si="29"/>
        <v>666.66666666666663</v>
      </c>
      <c r="CW12" s="178">
        <f t="shared" si="29"/>
        <v>666.66666666666663</v>
      </c>
      <c r="CX12" s="168">
        <f t="shared" si="29"/>
        <v>666.66666666666663</v>
      </c>
      <c r="CY12" s="169">
        <f t="shared" si="50"/>
        <v>8000.0000000000009</v>
      </c>
      <c r="CZ12" s="179">
        <f t="shared" si="51"/>
        <v>1333.3333333333348</v>
      </c>
      <c r="DA12" s="180">
        <f t="shared" si="52"/>
        <v>666.66666666666663</v>
      </c>
      <c r="DB12" s="178">
        <f t="shared" si="30"/>
        <v>666.66666666666663</v>
      </c>
      <c r="DC12" s="178">
        <f t="shared" si="30"/>
        <v>0</v>
      </c>
      <c r="DD12" s="178">
        <f t="shared" si="30"/>
        <v>0</v>
      </c>
      <c r="DE12" s="178">
        <f t="shared" si="30"/>
        <v>0</v>
      </c>
      <c r="DF12" s="178">
        <f t="shared" si="30"/>
        <v>0</v>
      </c>
      <c r="DG12" s="178">
        <f t="shared" si="30"/>
        <v>0</v>
      </c>
      <c r="DH12" s="178">
        <f t="shared" si="30"/>
        <v>0</v>
      </c>
      <c r="DI12" s="178">
        <f t="shared" si="30"/>
        <v>0</v>
      </c>
      <c r="DJ12" s="178">
        <f t="shared" si="30"/>
        <v>0</v>
      </c>
      <c r="DK12" s="178">
        <f t="shared" si="30"/>
        <v>0</v>
      </c>
      <c r="DL12" s="168">
        <f t="shared" si="30"/>
        <v>0</v>
      </c>
      <c r="DM12" s="169">
        <f t="shared" si="53"/>
        <v>1333.3333333333333</v>
      </c>
      <c r="DN12" s="171">
        <f t="shared" si="54"/>
        <v>6666.6666666666679</v>
      </c>
      <c r="DO12" s="180">
        <f t="shared" si="55"/>
        <v>0</v>
      </c>
      <c r="DP12" s="178">
        <f t="shared" si="31"/>
        <v>0</v>
      </c>
      <c r="DQ12" s="178">
        <f t="shared" si="31"/>
        <v>0</v>
      </c>
      <c r="DR12" s="178">
        <f t="shared" si="31"/>
        <v>0</v>
      </c>
      <c r="DS12" s="178">
        <f t="shared" si="31"/>
        <v>0</v>
      </c>
      <c r="DT12" s="178">
        <f t="shared" si="31"/>
        <v>0</v>
      </c>
      <c r="DU12" s="178">
        <f t="shared" si="31"/>
        <v>0</v>
      </c>
      <c r="DV12" s="178">
        <f t="shared" si="31"/>
        <v>0</v>
      </c>
      <c r="DW12" s="178">
        <f t="shared" si="31"/>
        <v>0</v>
      </c>
      <c r="DX12" s="178">
        <f t="shared" si="31"/>
        <v>0</v>
      </c>
      <c r="DY12" s="178">
        <f t="shared" si="31"/>
        <v>0</v>
      </c>
      <c r="DZ12" s="168">
        <f t="shared" si="31"/>
        <v>0</v>
      </c>
      <c r="EA12" s="169">
        <f t="shared" si="56"/>
        <v>0</v>
      </c>
      <c r="EB12" s="171">
        <f t="shared" si="57"/>
        <v>0</v>
      </c>
    </row>
    <row r="13" spans="1:132" s="177" customFormat="1" ht="15.75">
      <c r="A13" s="163">
        <v>42744</v>
      </c>
      <c r="B13" s="164" t="s">
        <v>87</v>
      </c>
      <c r="C13" s="165" t="s">
        <v>149</v>
      </c>
      <c r="D13" s="166">
        <v>9000</v>
      </c>
      <c r="E13" s="167">
        <v>10</v>
      </c>
      <c r="F13" s="168">
        <f t="shared" si="22"/>
        <v>900</v>
      </c>
      <c r="G13" s="169">
        <f t="shared" si="32"/>
        <v>0</v>
      </c>
      <c r="H13" s="178">
        <f t="shared" si="23"/>
        <v>0</v>
      </c>
      <c r="I13" s="178">
        <f t="shared" si="23"/>
        <v>0</v>
      </c>
      <c r="J13" s="178">
        <f t="shared" si="23"/>
        <v>0</v>
      </c>
      <c r="K13" s="178">
        <f t="shared" si="23"/>
        <v>0</v>
      </c>
      <c r="L13" s="178">
        <f t="shared" si="23"/>
        <v>0</v>
      </c>
      <c r="M13" s="178">
        <f t="shared" si="23"/>
        <v>0</v>
      </c>
      <c r="N13" s="178">
        <f t="shared" si="23"/>
        <v>0</v>
      </c>
      <c r="O13" s="178">
        <f t="shared" si="23"/>
        <v>0</v>
      </c>
      <c r="P13" s="178">
        <f t="shared" si="23"/>
        <v>0</v>
      </c>
      <c r="Q13" s="178">
        <f t="shared" si="23"/>
        <v>0</v>
      </c>
      <c r="R13" s="179">
        <f t="shared" si="23"/>
        <v>0</v>
      </c>
      <c r="S13" s="169">
        <f t="shared" si="58"/>
        <v>0</v>
      </c>
      <c r="T13" s="179">
        <f t="shared" si="33"/>
        <v>0</v>
      </c>
      <c r="U13" s="180">
        <f t="shared" si="34"/>
        <v>0</v>
      </c>
      <c r="V13" s="178">
        <f t="shared" si="24"/>
        <v>0</v>
      </c>
      <c r="W13" s="178">
        <f t="shared" si="24"/>
        <v>0</v>
      </c>
      <c r="X13" s="178">
        <f t="shared" si="24"/>
        <v>0</v>
      </c>
      <c r="Y13" s="178">
        <f t="shared" si="24"/>
        <v>0</v>
      </c>
      <c r="Z13" s="178">
        <f t="shared" si="24"/>
        <v>0</v>
      </c>
      <c r="AA13" s="178">
        <f t="shared" si="24"/>
        <v>0</v>
      </c>
      <c r="AB13" s="178">
        <f t="shared" si="24"/>
        <v>0</v>
      </c>
      <c r="AC13" s="178">
        <f t="shared" si="24"/>
        <v>0</v>
      </c>
      <c r="AD13" s="178">
        <f t="shared" si="24"/>
        <v>0</v>
      </c>
      <c r="AE13" s="178">
        <f t="shared" si="24"/>
        <v>0</v>
      </c>
      <c r="AF13" s="168">
        <f t="shared" si="24"/>
        <v>0</v>
      </c>
      <c r="AG13" s="169">
        <f t="shared" si="35"/>
        <v>0</v>
      </c>
      <c r="AH13" s="179">
        <f t="shared" si="36"/>
        <v>0</v>
      </c>
      <c r="AI13" s="180">
        <f t="shared" si="37"/>
        <v>0</v>
      </c>
      <c r="AJ13" s="178">
        <f t="shared" si="25"/>
        <v>0</v>
      </c>
      <c r="AK13" s="178">
        <f t="shared" si="25"/>
        <v>75</v>
      </c>
      <c r="AL13" s="178">
        <f t="shared" si="25"/>
        <v>75</v>
      </c>
      <c r="AM13" s="178">
        <f t="shared" si="25"/>
        <v>75</v>
      </c>
      <c r="AN13" s="178">
        <f t="shared" si="25"/>
        <v>75</v>
      </c>
      <c r="AO13" s="178">
        <f t="shared" si="25"/>
        <v>75</v>
      </c>
      <c r="AP13" s="178">
        <f t="shared" si="25"/>
        <v>75</v>
      </c>
      <c r="AQ13" s="178">
        <f t="shared" si="25"/>
        <v>75</v>
      </c>
      <c r="AR13" s="178">
        <f t="shared" si="25"/>
        <v>75</v>
      </c>
      <c r="AS13" s="178">
        <f t="shared" si="25"/>
        <v>75</v>
      </c>
      <c r="AT13" s="168">
        <f t="shared" si="25"/>
        <v>75</v>
      </c>
      <c r="AU13" s="169">
        <f t="shared" si="38"/>
        <v>750</v>
      </c>
      <c r="AV13" s="179">
        <f t="shared" si="39"/>
        <v>8250</v>
      </c>
      <c r="AW13" s="180">
        <f t="shared" si="40"/>
        <v>75</v>
      </c>
      <c r="AX13" s="178">
        <f t="shared" si="26"/>
        <v>75</v>
      </c>
      <c r="AY13" s="178">
        <f t="shared" si="26"/>
        <v>75</v>
      </c>
      <c r="AZ13" s="178">
        <f t="shared" si="26"/>
        <v>75</v>
      </c>
      <c r="BA13" s="178">
        <f t="shared" si="26"/>
        <v>75</v>
      </c>
      <c r="BB13" s="178">
        <f t="shared" si="26"/>
        <v>75</v>
      </c>
      <c r="BC13" s="178">
        <f t="shared" si="26"/>
        <v>75</v>
      </c>
      <c r="BD13" s="178">
        <f t="shared" si="26"/>
        <v>75</v>
      </c>
      <c r="BE13" s="178">
        <f t="shared" si="26"/>
        <v>75</v>
      </c>
      <c r="BF13" s="178">
        <f t="shared" si="26"/>
        <v>75</v>
      </c>
      <c r="BG13" s="178">
        <f t="shared" si="26"/>
        <v>75</v>
      </c>
      <c r="BH13" s="168">
        <f t="shared" si="26"/>
        <v>75</v>
      </c>
      <c r="BI13" s="169">
        <f t="shared" si="41"/>
        <v>900</v>
      </c>
      <c r="BJ13" s="179">
        <f t="shared" si="42"/>
        <v>7350</v>
      </c>
      <c r="BK13" s="180">
        <f t="shared" si="43"/>
        <v>75</v>
      </c>
      <c r="BL13" s="178">
        <f t="shared" si="27"/>
        <v>75</v>
      </c>
      <c r="BM13" s="178">
        <f t="shared" si="27"/>
        <v>75</v>
      </c>
      <c r="BN13" s="178">
        <f t="shared" si="27"/>
        <v>75</v>
      </c>
      <c r="BO13" s="178">
        <f t="shared" si="27"/>
        <v>75</v>
      </c>
      <c r="BP13" s="178">
        <f t="shared" si="27"/>
        <v>75</v>
      </c>
      <c r="BQ13" s="178">
        <f t="shared" si="27"/>
        <v>75</v>
      </c>
      <c r="BR13" s="178">
        <f t="shared" si="27"/>
        <v>75</v>
      </c>
      <c r="BS13" s="178">
        <f t="shared" si="27"/>
        <v>75</v>
      </c>
      <c r="BT13" s="178">
        <f t="shared" si="27"/>
        <v>75</v>
      </c>
      <c r="BU13" s="178">
        <f t="shared" si="27"/>
        <v>75</v>
      </c>
      <c r="BV13" s="168">
        <f t="shared" si="27"/>
        <v>75</v>
      </c>
      <c r="BW13" s="169">
        <f t="shared" si="44"/>
        <v>900</v>
      </c>
      <c r="BX13" s="179">
        <f t="shared" si="45"/>
        <v>6450</v>
      </c>
      <c r="BY13" s="180">
        <f t="shared" si="46"/>
        <v>75</v>
      </c>
      <c r="BZ13" s="178">
        <f t="shared" si="28"/>
        <v>75</v>
      </c>
      <c r="CA13" s="178">
        <f t="shared" si="28"/>
        <v>75</v>
      </c>
      <c r="CB13" s="178">
        <f t="shared" si="28"/>
        <v>75</v>
      </c>
      <c r="CC13" s="178">
        <f t="shared" si="28"/>
        <v>75</v>
      </c>
      <c r="CD13" s="178">
        <f t="shared" si="28"/>
        <v>75</v>
      </c>
      <c r="CE13" s="178">
        <f t="shared" si="28"/>
        <v>75</v>
      </c>
      <c r="CF13" s="178">
        <f t="shared" si="28"/>
        <v>75</v>
      </c>
      <c r="CG13" s="178">
        <f t="shared" si="28"/>
        <v>75</v>
      </c>
      <c r="CH13" s="178">
        <f t="shared" si="28"/>
        <v>75</v>
      </c>
      <c r="CI13" s="178">
        <f t="shared" si="28"/>
        <v>75</v>
      </c>
      <c r="CJ13" s="168">
        <f t="shared" si="28"/>
        <v>75</v>
      </c>
      <c r="CK13" s="169">
        <f t="shared" si="47"/>
        <v>900</v>
      </c>
      <c r="CL13" s="179">
        <f t="shared" si="48"/>
        <v>5116.666666666667</v>
      </c>
      <c r="CM13" s="180">
        <f t="shared" si="49"/>
        <v>75</v>
      </c>
      <c r="CN13" s="178">
        <f t="shared" si="29"/>
        <v>75</v>
      </c>
      <c r="CO13" s="178">
        <f t="shared" si="29"/>
        <v>75</v>
      </c>
      <c r="CP13" s="178">
        <f t="shared" si="29"/>
        <v>75</v>
      </c>
      <c r="CQ13" s="178">
        <f t="shared" si="29"/>
        <v>75</v>
      </c>
      <c r="CR13" s="178">
        <f t="shared" si="29"/>
        <v>75</v>
      </c>
      <c r="CS13" s="178">
        <f t="shared" si="29"/>
        <v>75</v>
      </c>
      <c r="CT13" s="178">
        <f t="shared" si="29"/>
        <v>75</v>
      </c>
      <c r="CU13" s="178">
        <f t="shared" si="29"/>
        <v>75</v>
      </c>
      <c r="CV13" s="178">
        <f t="shared" si="29"/>
        <v>75</v>
      </c>
      <c r="CW13" s="178">
        <f t="shared" si="29"/>
        <v>75</v>
      </c>
      <c r="CX13" s="168">
        <f t="shared" si="29"/>
        <v>75</v>
      </c>
      <c r="CY13" s="169">
        <f t="shared" si="50"/>
        <v>900</v>
      </c>
      <c r="CZ13" s="179">
        <f t="shared" si="51"/>
        <v>4650</v>
      </c>
      <c r="DA13" s="180">
        <f t="shared" si="52"/>
        <v>75</v>
      </c>
      <c r="DB13" s="178">
        <f t="shared" si="30"/>
        <v>75</v>
      </c>
      <c r="DC13" s="178">
        <f t="shared" si="30"/>
        <v>75</v>
      </c>
      <c r="DD13" s="178">
        <f t="shared" si="30"/>
        <v>75</v>
      </c>
      <c r="DE13" s="178">
        <f t="shared" si="30"/>
        <v>75</v>
      </c>
      <c r="DF13" s="178">
        <f t="shared" si="30"/>
        <v>75</v>
      </c>
      <c r="DG13" s="178">
        <f t="shared" si="30"/>
        <v>75</v>
      </c>
      <c r="DH13" s="178">
        <f t="shared" si="30"/>
        <v>75</v>
      </c>
      <c r="DI13" s="178">
        <f t="shared" si="30"/>
        <v>75</v>
      </c>
      <c r="DJ13" s="178">
        <f t="shared" si="30"/>
        <v>75</v>
      </c>
      <c r="DK13" s="178">
        <f t="shared" si="30"/>
        <v>75</v>
      </c>
      <c r="DL13" s="168">
        <f t="shared" si="30"/>
        <v>75</v>
      </c>
      <c r="DM13" s="169">
        <f t="shared" si="53"/>
        <v>900</v>
      </c>
      <c r="DN13" s="171">
        <f t="shared" si="54"/>
        <v>3316.666666666667</v>
      </c>
      <c r="DO13" s="180">
        <f t="shared" si="55"/>
        <v>75</v>
      </c>
      <c r="DP13" s="178">
        <f t="shared" si="31"/>
        <v>75</v>
      </c>
      <c r="DQ13" s="178">
        <f t="shared" si="31"/>
        <v>75</v>
      </c>
      <c r="DR13" s="178">
        <f t="shared" si="31"/>
        <v>75</v>
      </c>
      <c r="DS13" s="178">
        <f t="shared" si="31"/>
        <v>75</v>
      </c>
      <c r="DT13" s="178">
        <f t="shared" si="31"/>
        <v>75</v>
      </c>
      <c r="DU13" s="178">
        <f t="shared" si="31"/>
        <v>75</v>
      </c>
      <c r="DV13" s="178">
        <f t="shared" si="31"/>
        <v>75</v>
      </c>
      <c r="DW13" s="178">
        <f t="shared" si="31"/>
        <v>75</v>
      </c>
      <c r="DX13" s="178">
        <f t="shared" si="31"/>
        <v>75</v>
      </c>
      <c r="DY13" s="178">
        <f t="shared" si="31"/>
        <v>75</v>
      </c>
      <c r="DZ13" s="168">
        <f t="shared" si="31"/>
        <v>75</v>
      </c>
      <c r="EA13" s="169">
        <f t="shared" si="56"/>
        <v>900</v>
      </c>
      <c r="EB13" s="171">
        <f t="shared" si="57"/>
        <v>4650</v>
      </c>
    </row>
    <row r="14" spans="1:132" s="177" customFormat="1" ht="15.75">
      <c r="A14" s="163">
        <v>42864</v>
      </c>
      <c r="B14" s="164" t="s">
        <v>93</v>
      </c>
      <c r="C14" s="165" t="s">
        <v>150</v>
      </c>
      <c r="D14" s="166">
        <v>5300</v>
      </c>
      <c r="E14" s="167">
        <v>1</v>
      </c>
      <c r="F14" s="168">
        <f t="shared" si="22"/>
        <v>5300</v>
      </c>
      <c r="G14" s="169">
        <f t="shared" si="32"/>
        <v>0</v>
      </c>
      <c r="H14" s="178">
        <f t="shared" si="23"/>
        <v>0</v>
      </c>
      <c r="I14" s="178">
        <f t="shared" si="23"/>
        <v>0</v>
      </c>
      <c r="J14" s="178">
        <f t="shared" si="23"/>
        <v>0</v>
      </c>
      <c r="K14" s="178">
        <f t="shared" si="23"/>
        <v>0</v>
      </c>
      <c r="L14" s="178">
        <f t="shared" si="23"/>
        <v>0</v>
      </c>
      <c r="M14" s="178">
        <f t="shared" si="23"/>
        <v>0</v>
      </c>
      <c r="N14" s="178">
        <f t="shared" si="23"/>
        <v>0</v>
      </c>
      <c r="O14" s="178">
        <f t="shared" si="23"/>
        <v>0</v>
      </c>
      <c r="P14" s="178">
        <f t="shared" si="23"/>
        <v>0</v>
      </c>
      <c r="Q14" s="178">
        <f t="shared" si="23"/>
        <v>0</v>
      </c>
      <c r="R14" s="179">
        <f t="shared" si="23"/>
        <v>0</v>
      </c>
      <c r="S14" s="169">
        <f t="shared" si="58"/>
        <v>0</v>
      </c>
      <c r="T14" s="179">
        <f t="shared" si="33"/>
        <v>0</v>
      </c>
      <c r="U14" s="180">
        <f t="shared" si="34"/>
        <v>0</v>
      </c>
      <c r="V14" s="178">
        <f t="shared" si="24"/>
        <v>0</v>
      </c>
      <c r="W14" s="178">
        <f t="shared" si="24"/>
        <v>0</v>
      </c>
      <c r="X14" s="178">
        <f t="shared" si="24"/>
        <v>0</v>
      </c>
      <c r="Y14" s="178">
        <f t="shared" si="24"/>
        <v>0</v>
      </c>
      <c r="Z14" s="178">
        <f t="shared" si="24"/>
        <v>0</v>
      </c>
      <c r="AA14" s="178">
        <f t="shared" si="24"/>
        <v>0</v>
      </c>
      <c r="AB14" s="178">
        <f t="shared" si="24"/>
        <v>0</v>
      </c>
      <c r="AC14" s="178">
        <f t="shared" si="24"/>
        <v>0</v>
      </c>
      <c r="AD14" s="178">
        <f t="shared" si="24"/>
        <v>0</v>
      </c>
      <c r="AE14" s="178">
        <f t="shared" si="24"/>
        <v>0</v>
      </c>
      <c r="AF14" s="168">
        <f t="shared" si="24"/>
        <v>0</v>
      </c>
      <c r="AG14" s="169">
        <f t="shared" si="35"/>
        <v>0</v>
      </c>
      <c r="AH14" s="179">
        <f t="shared" si="36"/>
        <v>0</v>
      </c>
      <c r="AI14" s="180">
        <f t="shared" si="37"/>
        <v>0</v>
      </c>
      <c r="AJ14" s="178">
        <f t="shared" si="25"/>
        <v>0</v>
      </c>
      <c r="AK14" s="178">
        <f t="shared" si="25"/>
        <v>0</v>
      </c>
      <c r="AL14" s="178">
        <f t="shared" si="25"/>
        <v>0</v>
      </c>
      <c r="AM14" s="178">
        <f t="shared" si="25"/>
        <v>0</v>
      </c>
      <c r="AN14" s="178">
        <f t="shared" si="25"/>
        <v>0</v>
      </c>
      <c r="AO14" s="178">
        <f t="shared" si="25"/>
        <v>441.66666666666669</v>
      </c>
      <c r="AP14" s="178">
        <f t="shared" si="25"/>
        <v>441.66666666666669</v>
      </c>
      <c r="AQ14" s="178">
        <f t="shared" si="25"/>
        <v>441.66666666666669</v>
      </c>
      <c r="AR14" s="178">
        <f t="shared" si="25"/>
        <v>441.66666666666669</v>
      </c>
      <c r="AS14" s="178">
        <f t="shared" si="25"/>
        <v>441.66666666666669</v>
      </c>
      <c r="AT14" s="168">
        <f t="shared" si="25"/>
        <v>441.66666666666669</v>
      </c>
      <c r="AU14" s="169">
        <f t="shared" si="38"/>
        <v>2650</v>
      </c>
      <c r="AV14" s="179">
        <f t="shared" si="39"/>
        <v>2650</v>
      </c>
      <c r="AW14" s="180">
        <f t="shared" si="40"/>
        <v>441.66666666666669</v>
      </c>
      <c r="AX14" s="178">
        <f t="shared" si="26"/>
        <v>441.66666666666669</v>
      </c>
      <c r="AY14" s="178">
        <f t="shared" si="26"/>
        <v>441.66666666666669</v>
      </c>
      <c r="AZ14" s="178">
        <f t="shared" si="26"/>
        <v>441.66666666666669</v>
      </c>
      <c r="BA14" s="178">
        <f t="shared" si="26"/>
        <v>441.66666666666669</v>
      </c>
      <c r="BB14" s="178">
        <f t="shared" si="26"/>
        <v>441.66666666666669</v>
      </c>
      <c r="BC14" s="178">
        <f t="shared" si="26"/>
        <v>0</v>
      </c>
      <c r="BD14" s="178">
        <f t="shared" si="26"/>
        <v>0</v>
      </c>
      <c r="BE14" s="178">
        <f t="shared" si="26"/>
        <v>0</v>
      </c>
      <c r="BF14" s="178">
        <f t="shared" si="26"/>
        <v>0</v>
      </c>
      <c r="BG14" s="178">
        <f t="shared" si="26"/>
        <v>0</v>
      </c>
      <c r="BH14" s="168">
        <f t="shared" si="26"/>
        <v>0</v>
      </c>
      <c r="BI14" s="169">
        <f t="shared" si="41"/>
        <v>2650</v>
      </c>
      <c r="BJ14" s="179">
        <f t="shared" si="42"/>
        <v>0</v>
      </c>
      <c r="BK14" s="180">
        <f t="shared" si="43"/>
        <v>0</v>
      </c>
      <c r="BL14" s="178">
        <f t="shared" si="27"/>
        <v>0</v>
      </c>
      <c r="BM14" s="178">
        <f t="shared" si="27"/>
        <v>0</v>
      </c>
      <c r="BN14" s="178">
        <f t="shared" si="27"/>
        <v>0</v>
      </c>
      <c r="BO14" s="178">
        <f t="shared" si="27"/>
        <v>0</v>
      </c>
      <c r="BP14" s="178">
        <f t="shared" si="27"/>
        <v>0</v>
      </c>
      <c r="BQ14" s="178">
        <f t="shared" si="27"/>
        <v>0</v>
      </c>
      <c r="BR14" s="178">
        <f t="shared" si="27"/>
        <v>0</v>
      </c>
      <c r="BS14" s="178">
        <f t="shared" si="27"/>
        <v>0</v>
      </c>
      <c r="BT14" s="178">
        <f t="shared" si="27"/>
        <v>0</v>
      </c>
      <c r="BU14" s="178">
        <f t="shared" si="27"/>
        <v>0</v>
      </c>
      <c r="BV14" s="168">
        <f t="shared" si="27"/>
        <v>0</v>
      </c>
      <c r="BW14" s="169">
        <f t="shared" si="44"/>
        <v>0</v>
      </c>
      <c r="BX14" s="179">
        <f t="shared" si="45"/>
        <v>0</v>
      </c>
      <c r="BY14" s="180">
        <f t="shared" si="46"/>
        <v>0</v>
      </c>
      <c r="BZ14" s="178">
        <f t="shared" si="28"/>
        <v>0</v>
      </c>
      <c r="CA14" s="178">
        <f t="shared" si="28"/>
        <v>0</v>
      </c>
      <c r="CB14" s="178">
        <f t="shared" si="28"/>
        <v>0</v>
      </c>
      <c r="CC14" s="178">
        <f t="shared" si="28"/>
        <v>0</v>
      </c>
      <c r="CD14" s="178">
        <f t="shared" si="28"/>
        <v>0</v>
      </c>
      <c r="CE14" s="178">
        <f t="shared" si="28"/>
        <v>0</v>
      </c>
      <c r="CF14" s="178">
        <f t="shared" si="28"/>
        <v>0</v>
      </c>
      <c r="CG14" s="178">
        <f t="shared" si="28"/>
        <v>0</v>
      </c>
      <c r="CH14" s="178">
        <f t="shared" si="28"/>
        <v>0</v>
      </c>
      <c r="CI14" s="178">
        <f t="shared" si="28"/>
        <v>0</v>
      </c>
      <c r="CJ14" s="168">
        <f t="shared" si="28"/>
        <v>0</v>
      </c>
      <c r="CK14" s="169">
        <f t="shared" si="47"/>
        <v>0</v>
      </c>
      <c r="CL14" s="179">
        <f t="shared" si="48"/>
        <v>0</v>
      </c>
      <c r="CM14" s="180">
        <f t="shared" si="49"/>
        <v>0</v>
      </c>
      <c r="CN14" s="178">
        <f t="shared" si="29"/>
        <v>0</v>
      </c>
      <c r="CO14" s="178">
        <f t="shared" si="29"/>
        <v>0</v>
      </c>
      <c r="CP14" s="178">
        <f t="shared" si="29"/>
        <v>0</v>
      </c>
      <c r="CQ14" s="178">
        <f t="shared" si="29"/>
        <v>0</v>
      </c>
      <c r="CR14" s="178">
        <f t="shared" si="29"/>
        <v>0</v>
      </c>
      <c r="CS14" s="178">
        <f t="shared" si="29"/>
        <v>0</v>
      </c>
      <c r="CT14" s="178">
        <f t="shared" si="29"/>
        <v>0</v>
      </c>
      <c r="CU14" s="178">
        <f t="shared" si="29"/>
        <v>0</v>
      </c>
      <c r="CV14" s="178">
        <f t="shared" si="29"/>
        <v>0</v>
      </c>
      <c r="CW14" s="178">
        <f t="shared" si="29"/>
        <v>0</v>
      </c>
      <c r="CX14" s="168">
        <f t="shared" si="29"/>
        <v>0</v>
      </c>
      <c r="CY14" s="169">
        <f t="shared" si="50"/>
        <v>0</v>
      </c>
      <c r="CZ14" s="179">
        <f t="shared" si="51"/>
        <v>0</v>
      </c>
      <c r="DA14" s="180">
        <f t="shared" si="52"/>
        <v>0</v>
      </c>
      <c r="DB14" s="178">
        <f t="shared" si="30"/>
        <v>0</v>
      </c>
      <c r="DC14" s="178">
        <f t="shared" si="30"/>
        <v>0</v>
      </c>
      <c r="DD14" s="178">
        <f t="shared" si="30"/>
        <v>0</v>
      </c>
      <c r="DE14" s="178">
        <f t="shared" si="30"/>
        <v>0</v>
      </c>
      <c r="DF14" s="178">
        <f t="shared" si="30"/>
        <v>0</v>
      </c>
      <c r="DG14" s="178">
        <f t="shared" si="30"/>
        <v>0</v>
      </c>
      <c r="DH14" s="178">
        <f t="shared" si="30"/>
        <v>0</v>
      </c>
      <c r="DI14" s="178">
        <f t="shared" si="30"/>
        <v>0</v>
      </c>
      <c r="DJ14" s="178">
        <f t="shared" si="30"/>
        <v>0</v>
      </c>
      <c r="DK14" s="178">
        <f t="shared" si="30"/>
        <v>0</v>
      </c>
      <c r="DL14" s="168">
        <f t="shared" si="30"/>
        <v>0</v>
      </c>
      <c r="DM14" s="169">
        <f t="shared" si="53"/>
        <v>0</v>
      </c>
      <c r="DN14" s="171">
        <f t="shared" si="54"/>
        <v>0</v>
      </c>
      <c r="DO14" s="180">
        <f t="shared" si="55"/>
        <v>0</v>
      </c>
      <c r="DP14" s="178">
        <f t="shared" si="31"/>
        <v>0</v>
      </c>
      <c r="DQ14" s="178">
        <f t="shared" si="31"/>
        <v>0</v>
      </c>
      <c r="DR14" s="178">
        <f t="shared" si="31"/>
        <v>0</v>
      </c>
      <c r="DS14" s="178">
        <f t="shared" si="31"/>
        <v>0</v>
      </c>
      <c r="DT14" s="178">
        <f t="shared" si="31"/>
        <v>0</v>
      </c>
      <c r="DU14" s="178">
        <f t="shared" si="31"/>
        <v>0</v>
      </c>
      <c r="DV14" s="178">
        <f t="shared" si="31"/>
        <v>0</v>
      </c>
      <c r="DW14" s="178">
        <f t="shared" si="31"/>
        <v>0</v>
      </c>
      <c r="DX14" s="178">
        <f t="shared" si="31"/>
        <v>0</v>
      </c>
      <c r="DY14" s="178">
        <f t="shared" si="31"/>
        <v>0</v>
      </c>
      <c r="DZ14" s="168">
        <f t="shared" si="31"/>
        <v>0</v>
      </c>
      <c r="EA14" s="169">
        <f t="shared" si="56"/>
        <v>0</v>
      </c>
      <c r="EB14" s="171">
        <f t="shared" si="57"/>
        <v>0</v>
      </c>
    </row>
    <row r="15" spans="1:132" s="177" customFormat="1" ht="15.75">
      <c r="A15" s="163">
        <v>42865</v>
      </c>
      <c r="B15" s="164" t="s">
        <v>90</v>
      </c>
      <c r="C15" s="165" t="s">
        <v>151</v>
      </c>
      <c r="D15" s="166">
        <v>2800</v>
      </c>
      <c r="E15" s="167">
        <v>5</v>
      </c>
      <c r="F15" s="168">
        <f t="shared" si="22"/>
        <v>560</v>
      </c>
      <c r="G15" s="169">
        <f t="shared" si="32"/>
        <v>0</v>
      </c>
      <c r="H15" s="178">
        <f t="shared" si="23"/>
        <v>0</v>
      </c>
      <c r="I15" s="178">
        <f t="shared" si="23"/>
        <v>0</v>
      </c>
      <c r="J15" s="178">
        <f t="shared" si="23"/>
        <v>0</v>
      </c>
      <c r="K15" s="178">
        <f t="shared" si="23"/>
        <v>0</v>
      </c>
      <c r="L15" s="178">
        <f t="shared" si="23"/>
        <v>0</v>
      </c>
      <c r="M15" s="178">
        <f t="shared" si="23"/>
        <v>0</v>
      </c>
      <c r="N15" s="178">
        <f t="shared" si="23"/>
        <v>0</v>
      </c>
      <c r="O15" s="178">
        <f t="shared" si="23"/>
        <v>0</v>
      </c>
      <c r="P15" s="178">
        <f t="shared" si="23"/>
        <v>0</v>
      </c>
      <c r="Q15" s="178">
        <f t="shared" si="23"/>
        <v>0</v>
      </c>
      <c r="R15" s="179">
        <f t="shared" si="23"/>
        <v>0</v>
      </c>
      <c r="S15" s="169">
        <f t="shared" si="58"/>
        <v>0</v>
      </c>
      <c r="T15" s="179">
        <f t="shared" si="33"/>
        <v>0</v>
      </c>
      <c r="U15" s="180">
        <f t="shared" si="34"/>
        <v>0</v>
      </c>
      <c r="V15" s="178">
        <f t="shared" si="24"/>
        <v>0</v>
      </c>
      <c r="W15" s="178">
        <f t="shared" si="24"/>
        <v>0</v>
      </c>
      <c r="X15" s="178">
        <f t="shared" si="24"/>
        <v>0</v>
      </c>
      <c r="Y15" s="178">
        <f t="shared" si="24"/>
        <v>0</v>
      </c>
      <c r="Z15" s="178">
        <f t="shared" si="24"/>
        <v>0</v>
      </c>
      <c r="AA15" s="178">
        <f t="shared" si="24"/>
        <v>0</v>
      </c>
      <c r="AB15" s="178">
        <f t="shared" si="24"/>
        <v>0</v>
      </c>
      <c r="AC15" s="178">
        <f t="shared" si="24"/>
        <v>0</v>
      </c>
      <c r="AD15" s="178">
        <f t="shared" si="24"/>
        <v>0</v>
      </c>
      <c r="AE15" s="178">
        <f t="shared" si="24"/>
        <v>0</v>
      </c>
      <c r="AF15" s="168">
        <f t="shared" si="24"/>
        <v>0</v>
      </c>
      <c r="AG15" s="169">
        <f t="shared" si="35"/>
        <v>0</v>
      </c>
      <c r="AH15" s="179">
        <f t="shared" si="36"/>
        <v>0</v>
      </c>
      <c r="AI15" s="180">
        <f t="shared" si="37"/>
        <v>0</v>
      </c>
      <c r="AJ15" s="178">
        <f t="shared" si="25"/>
        <v>0</v>
      </c>
      <c r="AK15" s="178">
        <f t="shared" si="25"/>
        <v>0</v>
      </c>
      <c r="AL15" s="178">
        <f t="shared" si="25"/>
        <v>0</v>
      </c>
      <c r="AM15" s="178">
        <f t="shared" si="25"/>
        <v>0</v>
      </c>
      <c r="AN15" s="178">
        <f t="shared" si="25"/>
        <v>0</v>
      </c>
      <c r="AO15" s="178">
        <f t="shared" si="25"/>
        <v>46.666666666666664</v>
      </c>
      <c r="AP15" s="178">
        <f t="shared" si="25"/>
        <v>46.666666666666664</v>
      </c>
      <c r="AQ15" s="178">
        <f t="shared" si="25"/>
        <v>46.666666666666664</v>
      </c>
      <c r="AR15" s="178">
        <f t="shared" si="25"/>
        <v>46.666666666666664</v>
      </c>
      <c r="AS15" s="178">
        <f t="shared" si="25"/>
        <v>46.666666666666664</v>
      </c>
      <c r="AT15" s="168">
        <f t="shared" si="25"/>
        <v>46.666666666666664</v>
      </c>
      <c r="AU15" s="169">
        <f t="shared" si="38"/>
        <v>280</v>
      </c>
      <c r="AV15" s="179">
        <f t="shared" si="39"/>
        <v>2520</v>
      </c>
      <c r="AW15" s="180">
        <f t="shared" si="40"/>
        <v>46.666666666666664</v>
      </c>
      <c r="AX15" s="178">
        <f t="shared" si="26"/>
        <v>46.666666666666664</v>
      </c>
      <c r="AY15" s="178">
        <f t="shared" si="26"/>
        <v>46.666666666666664</v>
      </c>
      <c r="AZ15" s="178">
        <f t="shared" si="26"/>
        <v>46.666666666666664</v>
      </c>
      <c r="BA15" s="178">
        <f t="shared" si="26"/>
        <v>46.666666666666664</v>
      </c>
      <c r="BB15" s="178">
        <f t="shared" si="26"/>
        <v>46.666666666666664</v>
      </c>
      <c r="BC15" s="178">
        <f t="shared" si="26"/>
        <v>46.666666666666664</v>
      </c>
      <c r="BD15" s="178">
        <f t="shared" si="26"/>
        <v>46.666666666666664</v>
      </c>
      <c r="BE15" s="178">
        <f t="shared" si="26"/>
        <v>46.666666666666664</v>
      </c>
      <c r="BF15" s="178">
        <f t="shared" si="26"/>
        <v>46.666666666666664</v>
      </c>
      <c r="BG15" s="178">
        <f t="shared" si="26"/>
        <v>46.666666666666664</v>
      </c>
      <c r="BH15" s="168">
        <f t="shared" si="26"/>
        <v>46.666666666666664</v>
      </c>
      <c r="BI15" s="169">
        <f t="shared" si="41"/>
        <v>560</v>
      </c>
      <c r="BJ15" s="179">
        <f t="shared" si="42"/>
        <v>1960</v>
      </c>
      <c r="BK15" s="180">
        <f t="shared" si="43"/>
        <v>46.666666666666664</v>
      </c>
      <c r="BL15" s="178">
        <f t="shared" si="27"/>
        <v>46.666666666666664</v>
      </c>
      <c r="BM15" s="178">
        <f t="shared" si="27"/>
        <v>46.666666666666664</v>
      </c>
      <c r="BN15" s="178">
        <f t="shared" si="27"/>
        <v>46.666666666666664</v>
      </c>
      <c r="BO15" s="178">
        <f t="shared" si="27"/>
        <v>46.666666666666664</v>
      </c>
      <c r="BP15" s="178">
        <f t="shared" si="27"/>
        <v>46.666666666666664</v>
      </c>
      <c r="BQ15" s="178">
        <f t="shared" si="27"/>
        <v>46.666666666666664</v>
      </c>
      <c r="BR15" s="178">
        <f t="shared" si="27"/>
        <v>46.666666666666664</v>
      </c>
      <c r="BS15" s="178">
        <f t="shared" si="27"/>
        <v>46.666666666666664</v>
      </c>
      <c r="BT15" s="178">
        <f t="shared" si="27"/>
        <v>46.666666666666664</v>
      </c>
      <c r="BU15" s="178">
        <f t="shared" si="27"/>
        <v>46.666666666666664</v>
      </c>
      <c r="BV15" s="168">
        <f t="shared" si="27"/>
        <v>46.666666666666664</v>
      </c>
      <c r="BW15" s="169">
        <f t="shared" si="44"/>
        <v>560</v>
      </c>
      <c r="BX15" s="179">
        <f t="shared" si="45"/>
        <v>1400</v>
      </c>
      <c r="BY15" s="180">
        <f t="shared" si="46"/>
        <v>46.666666666666664</v>
      </c>
      <c r="BZ15" s="178">
        <f t="shared" si="28"/>
        <v>46.666666666666664</v>
      </c>
      <c r="CA15" s="178">
        <f t="shared" si="28"/>
        <v>46.666666666666664</v>
      </c>
      <c r="CB15" s="178">
        <f t="shared" si="28"/>
        <v>46.666666666666664</v>
      </c>
      <c r="CC15" s="178">
        <f t="shared" si="28"/>
        <v>46.666666666666664</v>
      </c>
      <c r="CD15" s="178">
        <f t="shared" si="28"/>
        <v>46.666666666666664</v>
      </c>
      <c r="CE15" s="178">
        <f t="shared" si="28"/>
        <v>46.666666666666664</v>
      </c>
      <c r="CF15" s="178">
        <f t="shared" si="28"/>
        <v>46.666666666666664</v>
      </c>
      <c r="CG15" s="178">
        <f t="shared" si="28"/>
        <v>46.666666666666664</v>
      </c>
      <c r="CH15" s="178">
        <f t="shared" si="28"/>
        <v>46.666666666666664</v>
      </c>
      <c r="CI15" s="178">
        <f t="shared" si="28"/>
        <v>46.666666666666664</v>
      </c>
      <c r="CJ15" s="168">
        <f t="shared" si="28"/>
        <v>46.666666666666664</v>
      </c>
      <c r="CK15" s="169">
        <f t="shared" si="47"/>
        <v>560</v>
      </c>
      <c r="CL15" s="179">
        <f t="shared" si="48"/>
        <v>66.666666666666742</v>
      </c>
      <c r="CM15" s="180">
        <f t="shared" si="49"/>
        <v>46.666666666666664</v>
      </c>
      <c r="CN15" s="178">
        <f t="shared" si="29"/>
        <v>46.666666666666664</v>
      </c>
      <c r="CO15" s="178">
        <f t="shared" si="29"/>
        <v>46.666666666666664</v>
      </c>
      <c r="CP15" s="178">
        <f t="shared" si="29"/>
        <v>46.666666666666664</v>
      </c>
      <c r="CQ15" s="178">
        <f t="shared" si="29"/>
        <v>46.666666666666664</v>
      </c>
      <c r="CR15" s="178">
        <f t="shared" si="29"/>
        <v>46.666666666666664</v>
      </c>
      <c r="CS15" s="178">
        <f t="shared" si="29"/>
        <v>46.666666666666664</v>
      </c>
      <c r="CT15" s="178">
        <f t="shared" si="29"/>
        <v>46.666666666666664</v>
      </c>
      <c r="CU15" s="178">
        <f t="shared" si="29"/>
        <v>46.666666666666664</v>
      </c>
      <c r="CV15" s="178">
        <f t="shared" si="29"/>
        <v>46.666666666666664</v>
      </c>
      <c r="CW15" s="178">
        <f t="shared" si="29"/>
        <v>46.666666666666664</v>
      </c>
      <c r="CX15" s="168">
        <f t="shared" si="29"/>
        <v>46.666666666666664</v>
      </c>
      <c r="CY15" s="169">
        <f t="shared" si="50"/>
        <v>560</v>
      </c>
      <c r="CZ15" s="179">
        <f t="shared" si="51"/>
        <v>280</v>
      </c>
      <c r="DA15" s="180">
        <f t="shared" si="52"/>
        <v>46.666666666666664</v>
      </c>
      <c r="DB15" s="178">
        <f t="shared" si="30"/>
        <v>46.666666666666664</v>
      </c>
      <c r="DC15" s="178">
        <f t="shared" si="30"/>
        <v>46.666666666666664</v>
      </c>
      <c r="DD15" s="178">
        <f t="shared" si="30"/>
        <v>46.666666666666664</v>
      </c>
      <c r="DE15" s="178">
        <f t="shared" si="30"/>
        <v>46.666666666666664</v>
      </c>
      <c r="DF15" s="178">
        <f t="shared" si="30"/>
        <v>46.666666666666664</v>
      </c>
      <c r="DG15" s="178">
        <f t="shared" si="30"/>
        <v>0</v>
      </c>
      <c r="DH15" s="178">
        <f t="shared" si="30"/>
        <v>0</v>
      </c>
      <c r="DI15" s="178">
        <f t="shared" si="30"/>
        <v>0</v>
      </c>
      <c r="DJ15" s="178">
        <f t="shared" si="30"/>
        <v>0</v>
      </c>
      <c r="DK15" s="178">
        <f t="shared" si="30"/>
        <v>0</v>
      </c>
      <c r="DL15" s="168">
        <f t="shared" si="30"/>
        <v>0</v>
      </c>
      <c r="DM15" s="169">
        <f t="shared" si="53"/>
        <v>280</v>
      </c>
      <c r="DN15" s="171">
        <f t="shared" si="54"/>
        <v>-773.33333333333326</v>
      </c>
      <c r="DO15" s="180">
        <f t="shared" si="55"/>
        <v>0</v>
      </c>
      <c r="DP15" s="178">
        <f t="shared" si="31"/>
        <v>0</v>
      </c>
      <c r="DQ15" s="178">
        <f t="shared" si="31"/>
        <v>0</v>
      </c>
      <c r="DR15" s="178">
        <f t="shared" si="31"/>
        <v>0</v>
      </c>
      <c r="DS15" s="178">
        <f t="shared" si="31"/>
        <v>0</v>
      </c>
      <c r="DT15" s="178">
        <f t="shared" si="31"/>
        <v>0</v>
      </c>
      <c r="DU15" s="178">
        <f t="shared" si="31"/>
        <v>0</v>
      </c>
      <c r="DV15" s="178">
        <f t="shared" si="31"/>
        <v>0</v>
      </c>
      <c r="DW15" s="178">
        <f t="shared" si="31"/>
        <v>0</v>
      </c>
      <c r="DX15" s="178">
        <f t="shared" si="31"/>
        <v>0</v>
      </c>
      <c r="DY15" s="178">
        <f t="shared" si="31"/>
        <v>0</v>
      </c>
      <c r="DZ15" s="168">
        <f t="shared" si="31"/>
        <v>0</v>
      </c>
      <c r="EA15" s="169">
        <f t="shared" si="56"/>
        <v>0</v>
      </c>
      <c r="EB15" s="171">
        <f t="shared" si="57"/>
        <v>0</v>
      </c>
    </row>
    <row r="16" spans="1:132" s="177" customFormat="1" ht="15.75">
      <c r="A16" s="163">
        <v>42866</v>
      </c>
      <c r="B16" s="164" t="s">
        <v>93</v>
      </c>
      <c r="C16" s="165" t="s">
        <v>152</v>
      </c>
      <c r="D16" s="166">
        <v>2400</v>
      </c>
      <c r="E16" s="167">
        <v>3</v>
      </c>
      <c r="F16" s="168">
        <f t="shared" si="22"/>
        <v>800</v>
      </c>
      <c r="G16" s="169">
        <f t="shared" si="32"/>
        <v>0</v>
      </c>
      <c r="H16" s="178">
        <f t="shared" si="23"/>
        <v>0</v>
      </c>
      <c r="I16" s="178">
        <f t="shared" si="23"/>
        <v>0</v>
      </c>
      <c r="J16" s="178">
        <f t="shared" si="23"/>
        <v>0</v>
      </c>
      <c r="K16" s="178">
        <f t="shared" si="23"/>
        <v>0</v>
      </c>
      <c r="L16" s="178">
        <f t="shared" si="23"/>
        <v>0</v>
      </c>
      <c r="M16" s="178">
        <f t="shared" si="23"/>
        <v>0</v>
      </c>
      <c r="N16" s="178">
        <f t="shared" si="23"/>
        <v>0</v>
      </c>
      <c r="O16" s="178">
        <f t="shared" si="23"/>
        <v>0</v>
      </c>
      <c r="P16" s="178">
        <f t="shared" si="23"/>
        <v>0</v>
      </c>
      <c r="Q16" s="178">
        <f t="shared" si="23"/>
        <v>0</v>
      </c>
      <c r="R16" s="179">
        <f t="shared" si="23"/>
        <v>0</v>
      </c>
      <c r="S16" s="169">
        <f t="shared" si="58"/>
        <v>0</v>
      </c>
      <c r="T16" s="179">
        <f t="shared" si="33"/>
        <v>0</v>
      </c>
      <c r="U16" s="180">
        <f t="shared" si="34"/>
        <v>0</v>
      </c>
      <c r="V16" s="178">
        <f t="shared" si="24"/>
        <v>0</v>
      </c>
      <c r="W16" s="178">
        <f t="shared" si="24"/>
        <v>0</v>
      </c>
      <c r="X16" s="178">
        <f t="shared" si="24"/>
        <v>0</v>
      </c>
      <c r="Y16" s="178">
        <f t="shared" si="24"/>
        <v>0</v>
      </c>
      <c r="Z16" s="178">
        <f t="shared" si="24"/>
        <v>0</v>
      </c>
      <c r="AA16" s="178">
        <f t="shared" si="24"/>
        <v>0</v>
      </c>
      <c r="AB16" s="178">
        <f t="shared" si="24"/>
        <v>0</v>
      </c>
      <c r="AC16" s="178">
        <f t="shared" si="24"/>
        <v>0</v>
      </c>
      <c r="AD16" s="178">
        <f t="shared" si="24"/>
        <v>0</v>
      </c>
      <c r="AE16" s="178">
        <f t="shared" si="24"/>
        <v>0</v>
      </c>
      <c r="AF16" s="168">
        <f t="shared" si="24"/>
        <v>0</v>
      </c>
      <c r="AG16" s="169">
        <f t="shared" si="35"/>
        <v>0</v>
      </c>
      <c r="AH16" s="179">
        <f t="shared" si="36"/>
        <v>0</v>
      </c>
      <c r="AI16" s="180">
        <f t="shared" si="37"/>
        <v>0</v>
      </c>
      <c r="AJ16" s="178">
        <f t="shared" si="25"/>
        <v>0</v>
      </c>
      <c r="AK16" s="178">
        <f t="shared" si="25"/>
        <v>0</v>
      </c>
      <c r="AL16" s="178">
        <f t="shared" si="25"/>
        <v>0</v>
      </c>
      <c r="AM16" s="178">
        <f t="shared" si="25"/>
        <v>0</v>
      </c>
      <c r="AN16" s="178">
        <f t="shared" si="25"/>
        <v>0</v>
      </c>
      <c r="AO16" s="178">
        <f t="shared" si="25"/>
        <v>66.666666666666671</v>
      </c>
      <c r="AP16" s="178">
        <f t="shared" si="25"/>
        <v>66.666666666666671</v>
      </c>
      <c r="AQ16" s="178">
        <f t="shared" si="25"/>
        <v>66.666666666666671</v>
      </c>
      <c r="AR16" s="178">
        <f t="shared" si="25"/>
        <v>66.666666666666671</v>
      </c>
      <c r="AS16" s="178">
        <f t="shared" si="25"/>
        <v>66.666666666666671</v>
      </c>
      <c r="AT16" s="168">
        <f t="shared" si="25"/>
        <v>66.666666666666671</v>
      </c>
      <c r="AU16" s="169">
        <f t="shared" si="38"/>
        <v>400.00000000000006</v>
      </c>
      <c r="AV16" s="179">
        <f t="shared" si="39"/>
        <v>2000</v>
      </c>
      <c r="AW16" s="180">
        <f t="shared" si="40"/>
        <v>66.666666666666671</v>
      </c>
      <c r="AX16" s="178">
        <f t="shared" si="26"/>
        <v>66.666666666666671</v>
      </c>
      <c r="AY16" s="178">
        <f t="shared" si="26"/>
        <v>66.666666666666671</v>
      </c>
      <c r="AZ16" s="178">
        <f t="shared" si="26"/>
        <v>66.666666666666671</v>
      </c>
      <c r="BA16" s="178">
        <f t="shared" si="26"/>
        <v>66.666666666666671</v>
      </c>
      <c r="BB16" s="178">
        <f t="shared" si="26"/>
        <v>66.666666666666671</v>
      </c>
      <c r="BC16" s="178">
        <f t="shared" si="26"/>
        <v>66.666666666666671</v>
      </c>
      <c r="BD16" s="178">
        <f t="shared" si="26"/>
        <v>66.666666666666671</v>
      </c>
      <c r="BE16" s="178">
        <f t="shared" si="26"/>
        <v>66.666666666666671</v>
      </c>
      <c r="BF16" s="178">
        <f t="shared" si="26"/>
        <v>66.666666666666671</v>
      </c>
      <c r="BG16" s="178">
        <f t="shared" si="26"/>
        <v>66.666666666666671</v>
      </c>
      <c r="BH16" s="168">
        <f t="shared" si="26"/>
        <v>66.666666666666671</v>
      </c>
      <c r="BI16" s="169">
        <f t="shared" si="41"/>
        <v>799.99999999999989</v>
      </c>
      <c r="BJ16" s="179">
        <f t="shared" si="42"/>
        <v>1200</v>
      </c>
      <c r="BK16" s="180">
        <f t="shared" si="43"/>
        <v>66.666666666666671</v>
      </c>
      <c r="BL16" s="178">
        <f t="shared" si="27"/>
        <v>66.666666666666671</v>
      </c>
      <c r="BM16" s="178">
        <f t="shared" si="27"/>
        <v>66.666666666666671</v>
      </c>
      <c r="BN16" s="178">
        <f t="shared" si="27"/>
        <v>66.666666666666671</v>
      </c>
      <c r="BO16" s="178">
        <f t="shared" si="27"/>
        <v>66.666666666666671</v>
      </c>
      <c r="BP16" s="178">
        <f t="shared" si="27"/>
        <v>66.666666666666671</v>
      </c>
      <c r="BQ16" s="178">
        <f t="shared" si="27"/>
        <v>66.666666666666671</v>
      </c>
      <c r="BR16" s="178">
        <f t="shared" si="27"/>
        <v>66.666666666666671</v>
      </c>
      <c r="BS16" s="178">
        <f t="shared" si="27"/>
        <v>66.666666666666671</v>
      </c>
      <c r="BT16" s="178">
        <f t="shared" si="27"/>
        <v>66.666666666666671</v>
      </c>
      <c r="BU16" s="178">
        <f t="shared" si="27"/>
        <v>66.666666666666671</v>
      </c>
      <c r="BV16" s="168">
        <f t="shared" si="27"/>
        <v>66.666666666666671</v>
      </c>
      <c r="BW16" s="169">
        <f t="shared" si="44"/>
        <v>799.99999999999989</v>
      </c>
      <c r="BX16" s="179">
        <f t="shared" si="45"/>
        <v>400.00000000000011</v>
      </c>
      <c r="BY16" s="180">
        <f t="shared" si="46"/>
        <v>66.666666666666671</v>
      </c>
      <c r="BZ16" s="178">
        <f t="shared" si="28"/>
        <v>66.666666666666671</v>
      </c>
      <c r="CA16" s="178">
        <f t="shared" si="28"/>
        <v>66.666666666666671</v>
      </c>
      <c r="CB16" s="178">
        <f t="shared" si="28"/>
        <v>66.666666666666671</v>
      </c>
      <c r="CC16" s="178">
        <f t="shared" si="28"/>
        <v>66.666666666666671</v>
      </c>
      <c r="CD16" s="178">
        <f t="shared" si="28"/>
        <v>66.666666666666671</v>
      </c>
      <c r="CE16" s="178">
        <f t="shared" si="28"/>
        <v>0</v>
      </c>
      <c r="CF16" s="178">
        <f t="shared" si="28"/>
        <v>0</v>
      </c>
      <c r="CG16" s="178">
        <f t="shared" si="28"/>
        <v>0</v>
      </c>
      <c r="CH16" s="178">
        <f t="shared" si="28"/>
        <v>0</v>
      </c>
      <c r="CI16" s="178">
        <f t="shared" si="28"/>
        <v>0</v>
      </c>
      <c r="CJ16" s="168">
        <f t="shared" si="28"/>
        <v>0</v>
      </c>
      <c r="CK16" s="169">
        <f t="shared" si="47"/>
        <v>400.00000000000006</v>
      </c>
      <c r="CL16" s="179">
        <f t="shared" si="48"/>
        <v>-933.33333333333314</v>
      </c>
      <c r="CM16" s="180">
        <f t="shared" si="49"/>
        <v>0</v>
      </c>
      <c r="CN16" s="178">
        <f t="shared" si="29"/>
        <v>0</v>
      </c>
      <c r="CO16" s="178">
        <f t="shared" si="29"/>
        <v>0</v>
      </c>
      <c r="CP16" s="178">
        <f t="shared" si="29"/>
        <v>0</v>
      </c>
      <c r="CQ16" s="178">
        <f t="shared" si="29"/>
        <v>0</v>
      </c>
      <c r="CR16" s="178">
        <f t="shared" si="29"/>
        <v>0</v>
      </c>
      <c r="CS16" s="178">
        <f t="shared" si="29"/>
        <v>0</v>
      </c>
      <c r="CT16" s="178">
        <f t="shared" si="29"/>
        <v>0</v>
      </c>
      <c r="CU16" s="178">
        <f t="shared" si="29"/>
        <v>0</v>
      </c>
      <c r="CV16" s="178">
        <f t="shared" si="29"/>
        <v>0</v>
      </c>
      <c r="CW16" s="178">
        <f t="shared" si="29"/>
        <v>0</v>
      </c>
      <c r="CX16" s="168">
        <f t="shared" si="29"/>
        <v>0</v>
      </c>
      <c r="CY16" s="169">
        <f t="shared" si="50"/>
        <v>0</v>
      </c>
      <c r="CZ16" s="179">
        <f t="shared" si="51"/>
        <v>0</v>
      </c>
      <c r="DA16" s="180">
        <f t="shared" si="52"/>
        <v>0</v>
      </c>
      <c r="DB16" s="178">
        <f t="shared" si="30"/>
        <v>0</v>
      </c>
      <c r="DC16" s="178">
        <f t="shared" si="30"/>
        <v>0</v>
      </c>
      <c r="DD16" s="178">
        <f t="shared" si="30"/>
        <v>0</v>
      </c>
      <c r="DE16" s="178">
        <f t="shared" si="30"/>
        <v>0</v>
      </c>
      <c r="DF16" s="178">
        <f t="shared" si="30"/>
        <v>0</v>
      </c>
      <c r="DG16" s="178">
        <f t="shared" si="30"/>
        <v>0</v>
      </c>
      <c r="DH16" s="178">
        <f t="shared" si="30"/>
        <v>0</v>
      </c>
      <c r="DI16" s="178">
        <f t="shared" si="30"/>
        <v>0</v>
      </c>
      <c r="DJ16" s="178">
        <f t="shared" si="30"/>
        <v>0</v>
      </c>
      <c r="DK16" s="178">
        <f t="shared" si="30"/>
        <v>0</v>
      </c>
      <c r="DL16" s="168">
        <f t="shared" si="30"/>
        <v>0</v>
      </c>
      <c r="DM16" s="169">
        <f t="shared" si="53"/>
        <v>0</v>
      </c>
      <c r="DN16" s="171">
        <f t="shared" si="54"/>
        <v>0</v>
      </c>
      <c r="DO16" s="180">
        <f t="shared" si="55"/>
        <v>0</v>
      </c>
      <c r="DP16" s="178">
        <f t="shared" si="31"/>
        <v>0</v>
      </c>
      <c r="DQ16" s="178">
        <f t="shared" si="31"/>
        <v>0</v>
      </c>
      <c r="DR16" s="178">
        <f t="shared" si="31"/>
        <v>0</v>
      </c>
      <c r="DS16" s="178">
        <f t="shared" si="31"/>
        <v>0</v>
      </c>
      <c r="DT16" s="178">
        <f t="shared" si="31"/>
        <v>0</v>
      </c>
      <c r="DU16" s="178">
        <f t="shared" si="31"/>
        <v>0</v>
      </c>
      <c r="DV16" s="178">
        <f t="shared" si="31"/>
        <v>0</v>
      </c>
      <c r="DW16" s="178">
        <f t="shared" si="31"/>
        <v>0</v>
      </c>
      <c r="DX16" s="178">
        <f t="shared" si="31"/>
        <v>0</v>
      </c>
      <c r="DY16" s="178">
        <f t="shared" si="31"/>
        <v>0</v>
      </c>
      <c r="DZ16" s="168">
        <f t="shared" si="31"/>
        <v>0</v>
      </c>
      <c r="EA16" s="169">
        <f t="shared" si="56"/>
        <v>0</v>
      </c>
      <c r="EB16" s="171">
        <f t="shared" si="57"/>
        <v>0</v>
      </c>
    </row>
    <row r="17" spans="1:132" s="177" customFormat="1" ht="15.75">
      <c r="A17" s="163">
        <v>42867</v>
      </c>
      <c r="B17" s="164" t="s">
        <v>93</v>
      </c>
      <c r="C17" s="165" t="s">
        <v>153</v>
      </c>
      <c r="D17" s="166">
        <v>1900</v>
      </c>
      <c r="E17" s="167">
        <v>3</v>
      </c>
      <c r="F17" s="168">
        <f t="shared" si="22"/>
        <v>633.33333333333337</v>
      </c>
      <c r="G17" s="169">
        <f t="shared" si="32"/>
        <v>0</v>
      </c>
      <c r="H17" s="178">
        <f t="shared" si="23"/>
        <v>0</v>
      </c>
      <c r="I17" s="178">
        <f t="shared" si="23"/>
        <v>0</v>
      </c>
      <c r="J17" s="178">
        <f t="shared" si="23"/>
        <v>0</v>
      </c>
      <c r="K17" s="178">
        <f t="shared" si="23"/>
        <v>0</v>
      </c>
      <c r="L17" s="178">
        <f t="shared" si="23"/>
        <v>0</v>
      </c>
      <c r="M17" s="178">
        <f t="shared" si="23"/>
        <v>0</v>
      </c>
      <c r="N17" s="178">
        <f t="shared" si="23"/>
        <v>0</v>
      </c>
      <c r="O17" s="178">
        <f t="shared" si="23"/>
        <v>0</v>
      </c>
      <c r="P17" s="178">
        <f t="shared" si="23"/>
        <v>0</v>
      </c>
      <c r="Q17" s="178">
        <f t="shared" si="23"/>
        <v>0</v>
      </c>
      <c r="R17" s="179">
        <f t="shared" si="23"/>
        <v>0</v>
      </c>
      <c r="S17" s="169">
        <f t="shared" si="58"/>
        <v>0</v>
      </c>
      <c r="T17" s="179">
        <f t="shared" si="33"/>
        <v>0</v>
      </c>
      <c r="U17" s="180">
        <f t="shared" si="34"/>
        <v>0</v>
      </c>
      <c r="V17" s="178">
        <f t="shared" si="24"/>
        <v>0</v>
      </c>
      <c r="W17" s="178">
        <f t="shared" si="24"/>
        <v>0</v>
      </c>
      <c r="X17" s="178">
        <f t="shared" si="24"/>
        <v>0</v>
      </c>
      <c r="Y17" s="178">
        <f t="shared" si="24"/>
        <v>0</v>
      </c>
      <c r="Z17" s="178">
        <f t="shared" si="24"/>
        <v>0</v>
      </c>
      <c r="AA17" s="178">
        <f t="shared" si="24"/>
        <v>0</v>
      </c>
      <c r="AB17" s="178">
        <f t="shared" si="24"/>
        <v>0</v>
      </c>
      <c r="AC17" s="178">
        <f t="shared" si="24"/>
        <v>0</v>
      </c>
      <c r="AD17" s="178">
        <f t="shared" si="24"/>
        <v>0</v>
      </c>
      <c r="AE17" s="178">
        <f t="shared" si="24"/>
        <v>0</v>
      </c>
      <c r="AF17" s="168">
        <f t="shared" si="24"/>
        <v>0</v>
      </c>
      <c r="AG17" s="169">
        <f t="shared" si="35"/>
        <v>0</v>
      </c>
      <c r="AH17" s="179">
        <f t="shared" si="36"/>
        <v>0</v>
      </c>
      <c r="AI17" s="180">
        <f t="shared" si="37"/>
        <v>0</v>
      </c>
      <c r="AJ17" s="178">
        <f t="shared" si="25"/>
        <v>0</v>
      </c>
      <c r="AK17" s="178">
        <f t="shared" si="25"/>
        <v>0</v>
      </c>
      <c r="AL17" s="178">
        <f t="shared" si="25"/>
        <v>0</v>
      </c>
      <c r="AM17" s="178">
        <f t="shared" si="25"/>
        <v>0</v>
      </c>
      <c r="AN17" s="178">
        <f t="shared" si="25"/>
        <v>0</v>
      </c>
      <c r="AO17" s="178">
        <f t="shared" si="25"/>
        <v>52.777777777777779</v>
      </c>
      <c r="AP17" s="178">
        <f t="shared" si="25"/>
        <v>52.777777777777779</v>
      </c>
      <c r="AQ17" s="178">
        <f t="shared" si="25"/>
        <v>52.777777777777779</v>
      </c>
      <c r="AR17" s="178">
        <f t="shared" si="25"/>
        <v>52.777777777777779</v>
      </c>
      <c r="AS17" s="178">
        <f t="shared" si="25"/>
        <v>52.777777777777779</v>
      </c>
      <c r="AT17" s="168">
        <f t="shared" si="25"/>
        <v>52.777777777777779</v>
      </c>
      <c r="AU17" s="169">
        <f t="shared" si="38"/>
        <v>316.66666666666669</v>
      </c>
      <c r="AV17" s="179">
        <f t="shared" si="39"/>
        <v>1583.3333333333333</v>
      </c>
      <c r="AW17" s="180">
        <f t="shared" si="40"/>
        <v>52.777777777777779</v>
      </c>
      <c r="AX17" s="178">
        <f t="shared" si="26"/>
        <v>52.777777777777779</v>
      </c>
      <c r="AY17" s="178">
        <f t="shared" si="26"/>
        <v>52.777777777777779</v>
      </c>
      <c r="AZ17" s="178">
        <f t="shared" si="26"/>
        <v>52.777777777777779</v>
      </c>
      <c r="BA17" s="178">
        <f t="shared" si="26"/>
        <v>52.777777777777779</v>
      </c>
      <c r="BB17" s="178">
        <f t="shared" si="26"/>
        <v>52.777777777777779</v>
      </c>
      <c r="BC17" s="178">
        <f t="shared" si="26"/>
        <v>52.777777777777779</v>
      </c>
      <c r="BD17" s="178">
        <f t="shared" si="26"/>
        <v>52.777777777777779</v>
      </c>
      <c r="BE17" s="178">
        <f t="shared" si="26"/>
        <v>52.777777777777779</v>
      </c>
      <c r="BF17" s="178">
        <f t="shared" si="26"/>
        <v>52.777777777777779</v>
      </c>
      <c r="BG17" s="178">
        <f t="shared" si="26"/>
        <v>52.777777777777779</v>
      </c>
      <c r="BH17" s="168">
        <f t="shared" si="26"/>
        <v>52.777777777777779</v>
      </c>
      <c r="BI17" s="169">
        <f t="shared" si="41"/>
        <v>633.33333333333348</v>
      </c>
      <c r="BJ17" s="179">
        <f t="shared" si="42"/>
        <v>949.99999999999977</v>
      </c>
      <c r="BK17" s="180">
        <f t="shared" si="43"/>
        <v>52.777777777777779</v>
      </c>
      <c r="BL17" s="178">
        <f t="shared" si="27"/>
        <v>52.777777777777779</v>
      </c>
      <c r="BM17" s="178">
        <f t="shared" si="27"/>
        <v>52.777777777777779</v>
      </c>
      <c r="BN17" s="178">
        <f t="shared" si="27"/>
        <v>52.777777777777779</v>
      </c>
      <c r="BO17" s="178">
        <f t="shared" si="27"/>
        <v>52.777777777777779</v>
      </c>
      <c r="BP17" s="178">
        <f t="shared" si="27"/>
        <v>52.777777777777779</v>
      </c>
      <c r="BQ17" s="178">
        <f t="shared" si="27"/>
        <v>52.777777777777779</v>
      </c>
      <c r="BR17" s="178">
        <f t="shared" si="27"/>
        <v>52.777777777777779</v>
      </c>
      <c r="BS17" s="178">
        <f t="shared" si="27"/>
        <v>52.777777777777779</v>
      </c>
      <c r="BT17" s="178">
        <f t="shared" si="27"/>
        <v>52.777777777777779</v>
      </c>
      <c r="BU17" s="178">
        <f t="shared" si="27"/>
        <v>52.777777777777779</v>
      </c>
      <c r="BV17" s="168">
        <f t="shared" si="27"/>
        <v>52.777777777777779</v>
      </c>
      <c r="BW17" s="169">
        <f t="shared" si="44"/>
        <v>633.33333333333348</v>
      </c>
      <c r="BX17" s="179">
        <f t="shared" si="45"/>
        <v>316.66666666666629</v>
      </c>
      <c r="BY17" s="180">
        <f t="shared" si="46"/>
        <v>52.777777777777779</v>
      </c>
      <c r="BZ17" s="178">
        <f t="shared" si="28"/>
        <v>52.777777777777779</v>
      </c>
      <c r="CA17" s="178">
        <f t="shared" si="28"/>
        <v>52.777777777777779</v>
      </c>
      <c r="CB17" s="178">
        <f t="shared" si="28"/>
        <v>52.777777777777779</v>
      </c>
      <c r="CC17" s="178">
        <f t="shared" si="28"/>
        <v>52.777777777777779</v>
      </c>
      <c r="CD17" s="178">
        <f t="shared" si="28"/>
        <v>52.777777777777779</v>
      </c>
      <c r="CE17" s="178">
        <f t="shared" si="28"/>
        <v>0</v>
      </c>
      <c r="CF17" s="178">
        <f t="shared" si="28"/>
        <v>0</v>
      </c>
      <c r="CG17" s="178">
        <f t="shared" si="28"/>
        <v>0</v>
      </c>
      <c r="CH17" s="178">
        <f t="shared" si="28"/>
        <v>0</v>
      </c>
      <c r="CI17" s="178">
        <f t="shared" si="28"/>
        <v>0</v>
      </c>
      <c r="CJ17" s="168">
        <f t="shared" si="28"/>
        <v>0</v>
      </c>
      <c r="CK17" s="169">
        <f t="shared" si="47"/>
        <v>316.66666666666669</v>
      </c>
      <c r="CL17" s="179">
        <f t="shared" si="48"/>
        <v>-1016.666666666667</v>
      </c>
      <c r="CM17" s="180">
        <f t="shared" si="49"/>
        <v>0</v>
      </c>
      <c r="CN17" s="178">
        <f t="shared" si="29"/>
        <v>0</v>
      </c>
      <c r="CO17" s="178">
        <f t="shared" si="29"/>
        <v>0</v>
      </c>
      <c r="CP17" s="178">
        <f t="shared" si="29"/>
        <v>0</v>
      </c>
      <c r="CQ17" s="178">
        <f t="shared" si="29"/>
        <v>0</v>
      </c>
      <c r="CR17" s="178">
        <f t="shared" si="29"/>
        <v>0</v>
      </c>
      <c r="CS17" s="178">
        <f t="shared" si="29"/>
        <v>0</v>
      </c>
      <c r="CT17" s="178">
        <f t="shared" si="29"/>
        <v>0</v>
      </c>
      <c r="CU17" s="178">
        <f t="shared" si="29"/>
        <v>0</v>
      </c>
      <c r="CV17" s="178">
        <f t="shared" si="29"/>
        <v>0</v>
      </c>
      <c r="CW17" s="178">
        <f t="shared" si="29"/>
        <v>0</v>
      </c>
      <c r="CX17" s="168">
        <f t="shared" si="29"/>
        <v>0</v>
      </c>
      <c r="CY17" s="169">
        <f t="shared" si="50"/>
        <v>0</v>
      </c>
      <c r="CZ17" s="179">
        <f t="shared" si="51"/>
        <v>0</v>
      </c>
      <c r="DA17" s="180">
        <f t="shared" si="52"/>
        <v>0</v>
      </c>
      <c r="DB17" s="178">
        <f t="shared" si="30"/>
        <v>0</v>
      </c>
      <c r="DC17" s="178">
        <f t="shared" si="30"/>
        <v>0</v>
      </c>
      <c r="DD17" s="178">
        <f t="shared" si="30"/>
        <v>0</v>
      </c>
      <c r="DE17" s="178">
        <f t="shared" si="30"/>
        <v>0</v>
      </c>
      <c r="DF17" s="178">
        <f t="shared" si="30"/>
        <v>0</v>
      </c>
      <c r="DG17" s="178">
        <f t="shared" si="30"/>
        <v>0</v>
      </c>
      <c r="DH17" s="178">
        <f t="shared" si="30"/>
        <v>0</v>
      </c>
      <c r="DI17" s="178">
        <f t="shared" si="30"/>
        <v>0</v>
      </c>
      <c r="DJ17" s="178">
        <f t="shared" si="30"/>
        <v>0</v>
      </c>
      <c r="DK17" s="178">
        <f t="shared" si="30"/>
        <v>0</v>
      </c>
      <c r="DL17" s="168">
        <f t="shared" si="30"/>
        <v>0</v>
      </c>
      <c r="DM17" s="169">
        <f t="shared" si="53"/>
        <v>0</v>
      </c>
      <c r="DN17" s="171">
        <f t="shared" si="54"/>
        <v>0</v>
      </c>
      <c r="DO17" s="180">
        <f t="shared" si="55"/>
        <v>0</v>
      </c>
      <c r="DP17" s="178">
        <f t="shared" si="31"/>
        <v>0</v>
      </c>
      <c r="DQ17" s="178">
        <f t="shared" si="31"/>
        <v>0</v>
      </c>
      <c r="DR17" s="178">
        <f t="shared" si="31"/>
        <v>0</v>
      </c>
      <c r="DS17" s="178">
        <f t="shared" si="31"/>
        <v>0</v>
      </c>
      <c r="DT17" s="178">
        <f t="shared" si="31"/>
        <v>0</v>
      </c>
      <c r="DU17" s="178">
        <f t="shared" si="31"/>
        <v>0</v>
      </c>
      <c r="DV17" s="178">
        <f t="shared" si="31"/>
        <v>0</v>
      </c>
      <c r="DW17" s="178">
        <f t="shared" si="31"/>
        <v>0</v>
      </c>
      <c r="DX17" s="178">
        <f t="shared" si="31"/>
        <v>0</v>
      </c>
      <c r="DY17" s="178">
        <f t="shared" si="31"/>
        <v>0</v>
      </c>
      <c r="DZ17" s="168">
        <f t="shared" si="31"/>
        <v>0</v>
      </c>
      <c r="EA17" s="169">
        <f t="shared" si="56"/>
        <v>0</v>
      </c>
      <c r="EB17" s="171">
        <f t="shared" si="57"/>
        <v>0</v>
      </c>
    </row>
    <row r="18" spans="1:132" s="177" customFormat="1" ht="15.75">
      <c r="A18" s="163">
        <v>42868</v>
      </c>
      <c r="B18" s="164" t="s">
        <v>93</v>
      </c>
      <c r="C18" s="165" t="s">
        <v>153</v>
      </c>
      <c r="D18" s="166">
        <v>2500</v>
      </c>
      <c r="E18" s="167">
        <v>3</v>
      </c>
      <c r="F18" s="168">
        <f t="shared" si="22"/>
        <v>833.33333333333337</v>
      </c>
      <c r="G18" s="169">
        <f t="shared" si="32"/>
        <v>0</v>
      </c>
      <c r="H18" s="178">
        <f t="shared" si="23"/>
        <v>0</v>
      </c>
      <c r="I18" s="178">
        <f t="shared" si="23"/>
        <v>0</v>
      </c>
      <c r="J18" s="178">
        <f t="shared" si="23"/>
        <v>0</v>
      </c>
      <c r="K18" s="178">
        <f t="shared" si="23"/>
        <v>0</v>
      </c>
      <c r="L18" s="178">
        <f t="shared" si="23"/>
        <v>0</v>
      </c>
      <c r="M18" s="178">
        <f t="shared" si="23"/>
        <v>0</v>
      </c>
      <c r="N18" s="178">
        <f t="shared" si="23"/>
        <v>0</v>
      </c>
      <c r="O18" s="178">
        <f t="shared" si="23"/>
        <v>0</v>
      </c>
      <c r="P18" s="178">
        <f t="shared" si="23"/>
        <v>0</v>
      </c>
      <c r="Q18" s="178">
        <f t="shared" si="23"/>
        <v>0</v>
      </c>
      <c r="R18" s="179">
        <f t="shared" si="23"/>
        <v>0</v>
      </c>
      <c r="S18" s="169">
        <f t="shared" si="58"/>
        <v>0</v>
      </c>
      <c r="T18" s="179">
        <f t="shared" si="33"/>
        <v>0</v>
      </c>
      <c r="U18" s="180">
        <f t="shared" si="34"/>
        <v>0</v>
      </c>
      <c r="V18" s="178">
        <f t="shared" si="24"/>
        <v>0</v>
      </c>
      <c r="W18" s="178">
        <f t="shared" si="24"/>
        <v>0</v>
      </c>
      <c r="X18" s="178">
        <f t="shared" si="24"/>
        <v>0</v>
      </c>
      <c r="Y18" s="178">
        <f t="shared" si="24"/>
        <v>0</v>
      </c>
      <c r="Z18" s="178">
        <f t="shared" si="24"/>
        <v>0</v>
      </c>
      <c r="AA18" s="178">
        <f t="shared" si="24"/>
        <v>0</v>
      </c>
      <c r="AB18" s="178">
        <f t="shared" si="24"/>
        <v>0</v>
      </c>
      <c r="AC18" s="178">
        <f t="shared" si="24"/>
        <v>0</v>
      </c>
      <c r="AD18" s="178">
        <f t="shared" si="24"/>
        <v>0</v>
      </c>
      <c r="AE18" s="178">
        <f t="shared" si="24"/>
        <v>0</v>
      </c>
      <c r="AF18" s="168">
        <f t="shared" si="24"/>
        <v>0</v>
      </c>
      <c r="AG18" s="169">
        <f t="shared" si="35"/>
        <v>0</v>
      </c>
      <c r="AH18" s="179">
        <f t="shared" si="36"/>
        <v>0</v>
      </c>
      <c r="AI18" s="180">
        <f t="shared" si="37"/>
        <v>0</v>
      </c>
      <c r="AJ18" s="178">
        <f t="shared" si="25"/>
        <v>0</v>
      </c>
      <c r="AK18" s="178">
        <f t="shared" si="25"/>
        <v>0</v>
      </c>
      <c r="AL18" s="178">
        <f t="shared" si="25"/>
        <v>0</v>
      </c>
      <c r="AM18" s="178">
        <f t="shared" si="25"/>
        <v>0</v>
      </c>
      <c r="AN18" s="178">
        <f t="shared" si="25"/>
        <v>0</v>
      </c>
      <c r="AO18" s="178">
        <f t="shared" si="25"/>
        <v>69.444444444444443</v>
      </c>
      <c r="AP18" s="178">
        <f t="shared" si="25"/>
        <v>69.444444444444443</v>
      </c>
      <c r="AQ18" s="178">
        <f t="shared" si="25"/>
        <v>69.444444444444443</v>
      </c>
      <c r="AR18" s="178">
        <f t="shared" si="25"/>
        <v>69.444444444444443</v>
      </c>
      <c r="AS18" s="178">
        <f t="shared" si="25"/>
        <v>69.444444444444443</v>
      </c>
      <c r="AT18" s="168">
        <f t="shared" si="25"/>
        <v>69.444444444444443</v>
      </c>
      <c r="AU18" s="169">
        <f t="shared" si="38"/>
        <v>416.66666666666669</v>
      </c>
      <c r="AV18" s="179">
        <f t="shared" si="39"/>
        <v>2083.3333333333335</v>
      </c>
      <c r="AW18" s="180">
        <f t="shared" si="40"/>
        <v>69.444444444444443</v>
      </c>
      <c r="AX18" s="178">
        <f t="shared" si="26"/>
        <v>69.444444444444443</v>
      </c>
      <c r="AY18" s="178">
        <f t="shared" si="26"/>
        <v>69.444444444444443</v>
      </c>
      <c r="AZ18" s="178">
        <f t="shared" si="26"/>
        <v>69.444444444444443</v>
      </c>
      <c r="BA18" s="178">
        <f t="shared" si="26"/>
        <v>69.444444444444443</v>
      </c>
      <c r="BB18" s="178">
        <f t="shared" si="26"/>
        <v>69.444444444444443</v>
      </c>
      <c r="BC18" s="178">
        <f t="shared" si="26"/>
        <v>69.444444444444443</v>
      </c>
      <c r="BD18" s="178">
        <f t="shared" si="26"/>
        <v>69.444444444444443</v>
      </c>
      <c r="BE18" s="178">
        <f t="shared" si="26"/>
        <v>69.444444444444443</v>
      </c>
      <c r="BF18" s="178">
        <f t="shared" si="26"/>
        <v>69.444444444444443</v>
      </c>
      <c r="BG18" s="178">
        <f t="shared" si="26"/>
        <v>69.444444444444443</v>
      </c>
      <c r="BH18" s="168">
        <f t="shared" si="26"/>
        <v>69.444444444444443</v>
      </c>
      <c r="BI18" s="169">
        <f t="shared" si="41"/>
        <v>833.33333333333337</v>
      </c>
      <c r="BJ18" s="179">
        <f t="shared" si="42"/>
        <v>1250</v>
      </c>
      <c r="BK18" s="180">
        <f t="shared" si="43"/>
        <v>69.444444444444443</v>
      </c>
      <c r="BL18" s="178">
        <f t="shared" si="27"/>
        <v>69.444444444444443</v>
      </c>
      <c r="BM18" s="178">
        <f t="shared" si="27"/>
        <v>69.444444444444443</v>
      </c>
      <c r="BN18" s="178">
        <f t="shared" si="27"/>
        <v>69.444444444444443</v>
      </c>
      <c r="BO18" s="178">
        <f t="shared" si="27"/>
        <v>69.444444444444443</v>
      </c>
      <c r="BP18" s="178">
        <f t="shared" si="27"/>
        <v>69.444444444444443</v>
      </c>
      <c r="BQ18" s="178">
        <f t="shared" si="27"/>
        <v>69.444444444444443</v>
      </c>
      <c r="BR18" s="178">
        <f t="shared" si="27"/>
        <v>69.444444444444443</v>
      </c>
      <c r="BS18" s="178">
        <f t="shared" si="27"/>
        <v>69.444444444444443</v>
      </c>
      <c r="BT18" s="178">
        <f t="shared" si="27"/>
        <v>69.444444444444443</v>
      </c>
      <c r="BU18" s="178">
        <f t="shared" si="27"/>
        <v>69.444444444444443</v>
      </c>
      <c r="BV18" s="168">
        <f t="shared" si="27"/>
        <v>69.444444444444443</v>
      </c>
      <c r="BW18" s="169">
        <f t="shared" si="44"/>
        <v>833.33333333333337</v>
      </c>
      <c r="BX18" s="179">
        <f t="shared" si="45"/>
        <v>416.66666666666663</v>
      </c>
      <c r="BY18" s="180">
        <f t="shared" si="46"/>
        <v>69.444444444444443</v>
      </c>
      <c r="BZ18" s="178">
        <f t="shared" si="28"/>
        <v>69.444444444444443</v>
      </c>
      <c r="CA18" s="178">
        <f t="shared" si="28"/>
        <v>69.444444444444443</v>
      </c>
      <c r="CB18" s="178">
        <f t="shared" si="28"/>
        <v>69.444444444444443</v>
      </c>
      <c r="CC18" s="178">
        <f t="shared" si="28"/>
        <v>69.444444444444443</v>
      </c>
      <c r="CD18" s="178">
        <f t="shared" si="28"/>
        <v>69.444444444444443</v>
      </c>
      <c r="CE18" s="178">
        <f t="shared" si="28"/>
        <v>0</v>
      </c>
      <c r="CF18" s="178">
        <f t="shared" si="28"/>
        <v>0</v>
      </c>
      <c r="CG18" s="178">
        <f t="shared" si="28"/>
        <v>0</v>
      </c>
      <c r="CH18" s="178">
        <f t="shared" si="28"/>
        <v>0</v>
      </c>
      <c r="CI18" s="178">
        <f t="shared" si="28"/>
        <v>0</v>
      </c>
      <c r="CJ18" s="168">
        <f t="shared" si="28"/>
        <v>0</v>
      </c>
      <c r="CK18" s="169">
        <f t="shared" si="47"/>
        <v>416.66666666666669</v>
      </c>
      <c r="CL18" s="179">
        <f t="shared" si="48"/>
        <v>-916.66666666666663</v>
      </c>
      <c r="CM18" s="180">
        <f t="shared" si="49"/>
        <v>0</v>
      </c>
      <c r="CN18" s="178">
        <f t="shared" si="29"/>
        <v>0</v>
      </c>
      <c r="CO18" s="178">
        <f t="shared" si="29"/>
        <v>0</v>
      </c>
      <c r="CP18" s="178">
        <f t="shared" si="29"/>
        <v>0</v>
      </c>
      <c r="CQ18" s="178">
        <f t="shared" si="29"/>
        <v>0</v>
      </c>
      <c r="CR18" s="178">
        <f t="shared" si="29"/>
        <v>0</v>
      </c>
      <c r="CS18" s="178">
        <f t="shared" si="29"/>
        <v>0</v>
      </c>
      <c r="CT18" s="178">
        <f t="shared" si="29"/>
        <v>0</v>
      </c>
      <c r="CU18" s="178">
        <f t="shared" si="29"/>
        <v>0</v>
      </c>
      <c r="CV18" s="178">
        <f t="shared" si="29"/>
        <v>0</v>
      </c>
      <c r="CW18" s="178">
        <f t="shared" si="29"/>
        <v>0</v>
      </c>
      <c r="CX18" s="168">
        <f t="shared" si="29"/>
        <v>0</v>
      </c>
      <c r="CY18" s="169">
        <f t="shared" si="50"/>
        <v>0</v>
      </c>
      <c r="CZ18" s="179">
        <f t="shared" si="51"/>
        <v>0</v>
      </c>
      <c r="DA18" s="180">
        <f t="shared" si="52"/>
        <v>0</v>
      </c>
      <c r="DB18" s="178">
        <f t="shared" si="30"/>
        <v>0</v>
      </c>
      <c r="DC18" s="178">
        <f t="shared" si="30"/>
        <v>0</v>
      </c>
      <c r="DD18" s="178">
        <f t="shared" si="30"/>
        <v>0</v>
      </c>
      <c r="DE18" s="178">
        <f t="shared" si="30"/>
        <v>0</v>
      </c>
      <c r="DF18" s="178">
        <f t="shared" si="30"/>
        <v>0</v>
      </c>
      <c r="DG18" s="178">
        <f t="shared" si="30"/>
        <v>0</v>
      </c>
      <c r="DH18" s="178">
        <f t="shared" si="30"/>
        <v>0</v>
      </c>
      <c r="DI18" s="178">
        <f t="shared" si="30"/>
        <v>0</v>
      </c>
      <c r="DJ18" s="178">
        <f t="shared" si="30"/>
        <v>0</v>
      </c>
      <c r="DK18" s="178">
        <f t="shared" si="30"/>
        <v>0</v>
      </c>
      <c r="DL18" s="168">
        <f t="shared" si="30"/>
        <v>0</v>
      </c>
      <c r="DM18" s="169">
        <f t="shared" si="53"/>
        <v>0</v>
      </c>
      <c r="DN18" s="171">
        <f t="shared" si="54"/>
        <v>0</v>
      </c>
      <c r="DO18" s="180">
        <f t="shared" si="55"/>
        <v>0</v>
      </c>
      <c r="DP18" s="178">
        <f t="shared" si="31"/>
        <v>0</v>
      </c>
      <c r="DQ18" s="178">
        <f t="shared" si="31"/>
        <v>0</v>
      </c>
      <c r="DR18" s="178">
        <f t="shared" si="31"/>
        <v>0</v>
      </c>
      <c r="DS18" s="178">
        <f t="shared" si="31"/>
        <v>0</v>
      </c>
      <c r="DT18" s="178">
        <f t="shared" si="31"/>
        <v>0</v>
      </c>
      <c r="DU18" s="178">
        <f t="shared" si="31"/>
        <v>0</v>
      </c>
      <c r="DV18" s="178">
        <f t="shared" si="31"/>
        <v>0</v>
      </c>
      <c r="DW18" s="178">
        <f t="shared" si="31"/>
        <v>0</v>
      </c>
      <c r="DX18" s="178">
        <f t="shared" si="31"/>
        <v>0</v>
      </c>
      <c r="DY18" s="178">
        <f t="shared" si="31"/>
        <v>0</v>
      </c>
      <c r="DZ18" s="168">
        <f t="shared" si="31"/>
        <v>0</v>
      </c>
      <c r="EA18" s="169">
        <f t="shared" si="56"/>
        <v>0</v>
      </c>
      <c r="EB18" s="171">
        <f t="shared" si="57"/>
        <v>0</v>
      </c>
    </row>
    <row r="19" spans="1:132" s="177" customFormat="1" ht="15.75">
      <c r="A19" s="163">
        <v>43018</v>
      </c>
      <c r="B19" s="164" t="s">
        <v>90</v>
      </c>
      <c r="C19" s="165" t="s">
        <v>156</v>
      </c>
      <c r="D19" s="166">
        <v>230</v>
      </c>
      <c r="E19" s="167">
        <v>3</v>
      </c>
      <c r="F19" s="168">
        <f t="shared" si="22"/>
        <v>76.666666666666671</v>
      </c>
      <c r="G19" s="169">
        <f t="shared" si="32"/>
        <v>0</v>
      </c>
      <c r="H19" s="178">
        <f t="shared" si="23"/>
        <v>0</v>
      </c>
      <c r="I19" s="178">
        <f t="shared" si="23"/>
        <v>0</v>
      </c>
      <c r="J19" s="178">
        <f t="shared" si="23"/>
        <v>0</v>
      </c>
      <c r="K19" s="178">
        <f t="shared" si="23"/>
        <v>0</v>
      </c>
      <c r="L19" s="178">
        <f t="shared" si="23"/>
        <v>0</v>
      </c>
      <c r="M19" s="178">
        <f t="shared" si="23"/>
        <v>0</v>
      </c>
      <c r="N19" s="178">
        <f t="shared" si="23"/>
        <v>0</v>
      </c>
      <c r="O19" s="178">
        <f t="shared" si="23"/>
        <v>0</v>
      </c>
      <c r="P19" s="178">
        <f t="shared" si="23"/>
        <v>0</v>
      </c>
      <c r="Q19" s="178">
        <f t="shared" si="23"/>
        <v>0</v>
      </c>
      <c r="R19" s="179">
        <f t="shared" si="23"/>
        <v>0</v>
      </c>
      <c r="S19" s="169">
        <f t="shared" si="58"/>
        <v>0</v>
      </c>
      <c r="T19" s="179">
        <f t="shared" si="33"/>
        <v>0</v>
      </c>
      <c r="U19" s="180">
        <f t="shared" si="34"/>
        <v>0</v>
      </c>
      <c r="V19" s="178">
        <f t="shared" si="24"/>
        <v>0</v>
      </c>
      <c r="W19" s="178">
        <f t="shared" si="24"/>
        <v>0</v>
      </c>
      <c r="X19" s="178">
        <f t="shared" si="24"/>
        <v>0</v>
      </c>
      <c r="Y19" s="178">
        <f t="shared" si="24"/>
        <v>0</v>
      </c>
      <c r="Z19" s="178">
        <f t="shared" si="24"/>
        <v>0</v>
      </c>
      <c r="AA19" s="178">
        <f t="shared" si="24"/>
        <v>0</v>
      </c>
      <c r="AB19" s="178">
        <f t="shared" si="24"/>
        <v>0</v>
      </c>
      <c r="AC19" s="178">
        <f t="shared" si="24"/>
        <v>0</v>
      </c>
      <c r="AD19" s="178">
        <f t="shared" si="24"/>
        <v>0</v>
      </c>
      <c r="AE19" s="178">
        <f t="shared" si="24"/>
        <v>0</v>
      </c>
      <c r="AF19" s="168">
        <f t="shared" si="24"/>
        <v>0</v>
      </c>
      <c r="AG19" s="169">
        <f t="shared" si="35"/>
        <v>0</v>
      </c>
      <c r="AH19" s="179">
        <f t="shared" si="36"/>
        <v>0</v>
      </c>
      <c r="AI19" s="180">
        <f t="shared" si="37"/>
        <v>0</v>
      </c>
      <c r="AJ19" s="178">
        <f t="shared" si="25"/>
        <v>0</v>
      </c>
      <c r="AK19" s="178">
        <f t="shared" si="25"/>
        <v>0</v>
      </c>
      <c r="AL19" s="178">
        <f t="shared" si="25"/>
        <v>0</v>
      </c>
      <c r="AM19" s="178">
        <f t="shared" si="25"/>
        <v>0</v>
      </c>
      <c r="AN19" s="178">
        <f t="shared" si="25"/>
        <v>0</v>
      </c>
      <c r="AO19" s="178">
        <f t="shared" si="25"/>
        <v>0</v>
      </c>
      <c r="AP19" s="178">
        <f t="shared" si="25"/>
        <v>0</v>
      </c>
      <c r="AQ19" s="178">
        <f t="shared" si="25"/>
        <v>0</v>
      </c>
      <c r="AR19" s="178">
        <f t="shared" si="25"/>
        <v>0</v>
      </c>
      <c r="AS19" s="178">
        <f t="shared" si="25"/>
        <v>0</v>
      </c>
      <c r="AT19" s="168">
        <f t="shared" si="25"/>
        <v>6.3888888888888893</v>
      </c>
      <c r="AU19" s="169">
        <f t="shared" si="38"/>
        <v>6.3888888888888893</v>
      </c>
      <c r="AV19" s="179">
        <f t="shared" si="39"/>
        <v>223.61111111111111</v>
      </c>
      <c r="AW19" s="180">
        <f t="shared" si="40"/>
        <v>6.3888888888888893</v>
      </c>
      <c r="AX19" s="178">
        <f t="shared" si="26"/>
        <v>6.3888888888888893</v>
      </c>
      <c r="AY19" s="178">
        <f t="shared" si="26"/>
        <v>6.3888888888888893</v>
      </c>
      <c r="AZ19" s="178">
        <f t="shared" si="26"/>
        <v>6.3888888888888893</v>
      </c>
      <c r="BA19" s="178">
        <f t="shared" si="26"/>
        <v>6.3888888888888893</v>
      </c>
      <c r="BB19" s="178">
        <f t="shared" si="26"/>
        <v>6.3888888888888893</v>
      </c>
      <c r="BC19" s="178">
        <f t="shared" si="26"/>
        <v>6.3888888888888893</v>
      </c>
      <c r="BD19" s="178">
        <f t="shared" si="26"/>
        <v>6.3888888888888893</v>
      </c>
      <c r="BE19" s="178">
        <f t="shared" si="26"/>
        <v>6.3888888888888893</v>
      </c>
      <c r="BF19" s="178">
        <f t="shared" si="26"/>
        <v>6.3888888888888893</v>
      </c>
      <c r="BG19" s="178">
        <f t="shared" si="26"/>
        <v>6.3888888888888893</v>
      </c>
      <c r="BH19" s="168">
        <f t="shared" si="26"/>
        <v>6.3888888888888893</v>
      </c>
      <c r="BI19" s="169">
        <f t="shared" si="41"/>
        <v>76.666666666666657</v>
      </c>
      <c r="BJ19" s="179">
        <f t="shared" si="42"/>
        <v>146.94444444444446</v>
      </c>
      <c r="BK19" s="180">
        <f t="shared" si="43"/>
        <v>6.3888888888888893</v>
      </c>
      <c r="BL19" s="178">
        <f t="shared" si="27"/>
        <v>6.3888888888888893</v>
      </c>
      <c r="BM19" s="178">
        <f t="shared" si="27"/>
        <v>6.3888888888888893</v>
      </c>
      <c r="BN19" s="178">
        <f t="shared" si="27"/>
        <v>6.3888888888888893</v>
      </c>
      <c r="BO19" s="178">
        <f t="shared" si="27"/>
        <v>6.3888888888888893</v>
      </c>
      <c r="BP19" s="178">
        <f t="shared" si="27"/>
        <v>6.3888888888888893</v>
      </c>
      <c r="BQ19" s="178">
        <f t="shared" si="27"/>
        <v>6.3888888888888893</v>
      </c>
      <c r="BR19" s="178">
        <f t="shared" si="27"/>
        <v>6.3888888888888893</v>
      </c>
      <c r="BS19" s="178">
        <f t="shared" si="27"/>
        <v>6.3888888888888893</v>
      </c>
      <c r="BT19" s="178">
        <f t="shared" si="27"/>
        <v>6.3888888888888893</v>
      </c>
      <c r="BU19" s="178">
        <f t="shared" si="27"/>
        <v>6.3888888888888893</v>
      </c>
      <c r="BV19" s="168">
        <f t="shared" si="27"/>
        <v>6.3888888888888893</v>
      </c>
      <c r="BW19" s="169">
        <f t="shared" si="44"/>
        <v>76.666666666666657</v>
      </c>
      <c r="BX19" s="179">
        <f t="shared" si="45"/>
        <v>70.2777777777778</v>
      </c>
      <c r="BY19" s="180">
        <f t="shared" si="46"/>
        <v>6.3888888888888893</v>
      </c>
      <c r="BZ19" s="178">
        <f t="shared" si="28"/>
        <v>6.3888888888888893</v>
      </c>
      <c r="CA19" s="178">
        <f t="shared" si="28"/>
        <v>6.3888888888888893</v>
      </c>
      <c r="CB19" s="178">
        <f t="shared" si="28"/>
        <v>6.3888888888888893</v>
      </c>
      <c r="CC19" s="178">
        <f t="shared" si="28"/>
        <v>6.3888888888888893</v>
      </c>
      <c r="CD19" s="178">
        <f t="shared" si="28"/>
        <v>6.3888888888888893</v>
      </c>
      <c r="CE19" s="178">
        <f t="shared" si="28"/>
        <v>6.3888888888888893</v>
      </c>
      <c r="CF19" s="178">
        <f t="shared" si="28"/>
        <v>6.3888888888888893</v>
      </c>
      <c r="CG19" s="178">
        <f t="shared" si="28"/>
        <v>6.3888888888888893</v>
      </c>
      <c r="CH19" s="178">
        <f t="shared" si="28"/>
        <v>6.3888888888888893</v>
      </c>
      <c r="CI19" s="178">
        <f t="shared" si="28"/>
        <v>6.3888888888888893</v>
      </c>
      <c r="CJ19" s="168">
        <f t="shared" si="28"/>
        <v>0</v>
      </c>
      <c r="CK19" s="169">
        <f t="shared" si="47"/>
        <v>70.277777777777771</v>
      </c>
      <c r="CL19" s="179">
        <f t="shared" si="48"/>
        <v>-1263.0555555555554</v>
      </c>
      <c r="CM19" s="180">
        <f t="shared" si="49"/>
        <v>0</v>
      </c>
      <c r="CN19" s="178">
        <f t="shared" si="29"/>
        <v>0</v>
      </c>
      <c r="CO19" s="178">
        <f t="shared" si="29"/>
        <v>0</v>
      </c>
      <c r="CP19" s="178">
        <f t="shared" si="29"/>
        <v>0</v>
      </c>
      <c r="CQ19" s="178">
        <f t="shared" si="29"/>
        <v>0</v>
      </c>
      <c r="CR19" s="178">
        <f t="shared" si="29"/>
        <v>0</v>
      </c>
      <c r="CS19" s="178">
        <f t="shared" si="29"/>
        <v>0</v>
      </c>
      <c r="CT19" s="178">
        <f t="shared" si="29"/>
        <v>0</v>
      </c>
      <c r="CU19" s="178">
        <f t="shared" si="29"/>
        <v>0</v>
      </c>
      <c r="CV19" s="178">
        <f t="shared" si="29"/>
        <v>0</v>
      </c>
      <c r="CW19" s="178">
        <f t="shared" si="29"/>
        <v>0</v>
      </c>
      <c r="CX19" s="168">
        <f t="shared" si="29"/>
        <v>0</v>
      </c>
      <c r="CY19" s="169">
        <f t="shared" si="50"/>
        <v>0</v>
      </c>
      <c r="CZ19" s="179">
        <f t="shared" si="51"/>
        <v>0</v>
      </c>
      <c r="DA19" s="180">
        <f t="shared" si="52"/>
        <v>0</v>
      </c>
      <c r="DB19" s="178">
        <f t="shared" si="30"/>
        <v>0</v>
      </c>
      <c r="DC19" s="178">
        <f t="shared" si="30"/>
        <v>0</v>
      </c>
      <c r="DD19" s="178">
        <f t="shared" si="30"/>
        <v>0</v>
      </c>
      <c r="DE19" s="178">
        <f t="shared" si="30"/>
        <v>0</v>
      </c>
      <c r="DF19" s="178">
        <f t="shared" si="30"/>
        <v>0</v>
      </c>
      <c r="DG19" s="178">
        <f t="shared" si="30"/>
        <v>0</v>
      </c>
      <c r="DH19" s="178">
        <f t="shared" si="30"/>
        <v>0</v>
      </c>
      <c r="DI19" s="178">
        <f t="shared" si="30"/>
        <v>0</v>
      </c>
      <c r="DJ19" s="178">
        <f t="shared" si="30"/>
        <v>0</v>
      </c>
      <c r="DK19" s="178">
        <f t="shared" si="30"/>
        <v>0</v>
      </c>
      <c r="DL19" s="168">
        <f t="shared" si="30"/>
        <v>0</v>
      </c>
      <c r="DM19" s="169">
        <f t="shared" si="53"/>
        <v>0</v>
      </c>
      <c r="DN19" s="171">
        <f t="shared" si="54"/>
        <v>0</v>
      </c>
      <c r="DO19" s="180">
        <f t="shared" si="55"/>
        <v>0</v>
      </c>
      <c r="DP19" s="178">
        <f t="shared" si="31"/>
        <v>0</v>
      </c>
      <c r="DQ19" s="178">
        <f t="shared" si="31"/>
        <v>0</v>
      </c>
      <c r="DR19" s="178">
        <f t="shared" si="31"/>
        <v>0</v>
      </c>
      <c r="DS19" s="178">
        <f t="shared" si="31"/>
        <v>0</v>
      </c>
      <c r="DT19" s="178">
        <f t="shared" si="31"/>
        <v>0</v>
      </c>
      <c r="DU19" s="178">
        <f t="shared" si="31"/>
        <v>0</v>
      </c>
      <c r="DV19" s="178">
        <f t="shared" si="31"/>
        <v>0</v>
      </c>
      <c r="DW19" s="178">
        <f t="shared" si="31"/>
        <v>0</v>
      </c>
      <c r="DX19" s="178">
        <f t="shared" si="31"/>
        <v>0</v>
      </c>
      <c r="DY19" s="178">
        <f t="shared" si="31"/>
        <v>0</v>
      </c>
      <c r="DZ19" s="168">
        <f t="shared" si="31"/>
        <v>0</v>
      </c>
      <c r="EA19" s="169">
        <f t="shared" si="56"/>
        <v>0</v>
      </c>
      <c r="EB19" s="171">
        <f t="shared" si="57"/>
        <v>0</v>
      </c>
    </row>
    <row r="20" spans="1:132" s="177" customFormat="1" ht="15.75">
      <c r="A20" s="163">
        <v>43032</v>
      </c>
      <c r="B20" s="164" t="s">
        <v>90</v>
      </c>
      <c r="C20" s="165" t="s">
        <v>157</v>
      </c>
      <c r="D20" s="166">
        <v>6000</v>
      </c>
      <c r="E20" s="167">
        <v>5</v>
      </c>
      <c r="F20" s="168">
        <f t="shared" si="22"/>
        <v>1200</v>
      </c>
      <c r="G20" s="169">
        <f t="shared" si="32"/>
        <v>0</v>
      </c>
      <c r="H20" s="178">
        <f t="shared" si="23"/>
        <v>0</v>
      </c>
      <c r="I20" s="178">
        <f t="shared" si="23"/>
        <v>0</v>
      </c>
      <c r="J20" s="178">
        <f t="shared" si="23"/>
        <v>0</v>
      </c>
      <c r="K20" s="178">
        <f t="shared" si="23"/>
        <v>0</v>
      </c>
      <c r="L20" s="178">
        <f t="shared" si="23"/>
        <v>0</v>
      </c>
      <c r="M20" s="178">
        <f t="shared" si="23"/>
        <v>0</v>
      </c>
      <c r="N20" s="178">
        <f t="shared" si="23"/>
        <v>0</v>
      </c>
      <c r="O20" s="178">
        <f t="shared" si="23"/>
        <v>0</v>
      </c>
      <c r="P20" s="178">
        <f t="shared" si="23"/>
        <v>0</v>
      </c>
      <c r="Q20" s="178">
        <f t="shared" si="23"/>
        <v>0</v>
      </c>
      <c r="R20" s="179">
        <f t="shared" si="23"/>
        <v>0</v>
      </c>
      <c r="S20" s="169">
        <f t="shared" si="58"/>
        <v>0</v>
      </c>
      <c r="T20" s="179">
        <f t="shared" si="33"/>
        <v>0</v>
      </c>
      <c r="U20" s="180">
        <f t="shared" si="34"/>
        <v>0</v>
      </c>
      <c r="V20" s="178">
        <f t="shared" si="24"/>
        <v>0</v>
      </c>
      <c r="W20" s="178">
        <f t="shared" si="24"/>
        <v>0</v>
      </c>
      <c r="X20" s="178">
        <f t="shared" si="24"/>
        <v>0</v>
      </c>
      <c r="Y20" s="178">
        <f t="shared" si="24"/>
        <v>0</v>
      </c>
      <c r="Z20" s="178">
        <f t="shared" si="24"/>
        <v>0</v>
      </c>
      <c r="AA20" s="178">
        <f t="shared" si="24"/>
        <v>0</v>
      </c>
      <c r="AB20" s="178">
        <f t="shared" si="24"/>
        <v>0</v>
      </c>
      <c r="AC20" s="178">
        <f t="shared" si="24"/>
        <v>0</v>
      </c>
      <c r="AD20" s="178">
        <f t="shared" si="24"/>
        <v>0</v>
      </c>
      <c r="AE20" s="178">
        <f t="shared" si="24"/>
        <v>0</v>
      </c>
      <c r="AF20" s="168">
        <f t="shared" si="24"/>
        <v>0</v>
      </c>
      <c r="AG20" s="169">
        <f t="shared" si="35"/>
        <v>0</v>
      </c>
      <c r="AH20" s="179">
        <f t="shared" si="36"/>
        <v>0</v>
      </c>
      <c r="AI20" s="180">
        <f t="shared" si="37"/>
        <v>0</v>
      </c>
      <c r="AJ20" s="178">
        <f t="shared" si="25"/>
        <v>0</v>
      </c>
      <c r="AK20" s="178">
        <f t="shared" si="25"/>
        <v>0</v>
      </c>
      <c r="AL20" s="178">
        <f t="shared" si="25"/>
        <v>0</v>
      </c>
      <c r="AM20" s="178">
        <f t="shared" si="25"/>
        <v>0</v>
      </c>
      <c r="AN20" s="178">
        <f t="shared" si="25"/>
        <v>0</v>
      </c>
      <c r="AO20" s="178">
        <f t="shared" si="25"/>
        <v>0</v>
      </c>
      <c r="AP20" s="178">
        <f t="shared" si="25"/>
        <v>0</v>
      </c>
      <c r="AQ20" s="178">
        <f t="shared" si="25"/>
        <v>0</v>
      </c>
      <c r="AR20" s="178">
        <f t="shared" si="25"/>
        <v>0</v>
      </c>
      <c r="AS20" s="178">
        <f t="shared" si="25"/>
        <v>0</v>
      </c>
      <c r="AT20" s="168">
        <f t="shared" si="25"/>
        <v>100</v>
      </c>
      <c r="AU20" s="169">
        <f t="shared" si="38"/>
        <v>100</v>
      </c>
      <c r="AV20" s="179">
        <f t="shared" si="39"/>
        <v>5900</v>
      </c>
      <c r="AW20" s="180">
        <f t="shared" si="40"/>
        <v>100</v>
      </c>
      <c r="AX20" s="178">
        <f t="shared" si="26"/>
        <v>100</v>
      </c>
      <c r="AY20" s="178">
        <f t="shared" si="26"/>
        <v>100</v>
      </c>
      <c r="AZ20" s="178">
        <f t="shared" si="26"/>
        <v>100</v>
      </c>
      <c r="BA20" s="178">
        <f t="shared" si="26"/>
        <v>100</v>
      </c>
      <c r="BB20" s="178">
        <f t="shared" si="26"/>
        <v>100</v>
      </c>
      <c r="BC20" s="178">
        <f t="shared" si="26"/>
        <v>100</v>
      </c>
      <c r="BD20" s="178">
        <f t="shared" si="26"/>
        <v>100</v>
      </c>
      <c r="BE20" s="178">
        <f t="shared" si="26"/>
        <v>100</v>
      </c>
      <c r="BF20" s="178">
        <f t="shared" si="26"/>
        <v>100</v>
      </c>
      <c r="BG20" s="178">
        <f t="shared" si="26"/>
        <v>100</v>
      </c>
      <c r="BH20" s="168">
        <f t="shared" si="26"/>
        <v>100</v>
      </c>
      <c r="BI20" s="169">
        <f t="shared" si="41"/>
        <v>1200</v>
      </c>
      <c r="BJ20" s="179">
        <f t="shared" si="42"/>
        <v>4700</v>
      </c>
      <c r="BK20" s="180">
        <f t="shared" si="43"/>
        <v>100</v>
      </c>
      <c r="BL20" s="178">
        <f t="shared" si="27"/>
        <v>100</v>
      </c>
      <c r="BM20" s="178">
        <f t="shared" si="27"/>
        <v>100</v>
      </c>
      <c r="BN20" s="178">
        <f t="shared" si="27"/>
        <v>100</v>
      </c>
      <c r="BO20" s="178">
        <f t="shared" si="27"/>
        <v>100</v>
      </c>
      <c r="BP20" s="178">
        <f t="shared" si="27"/>
        <v>100</v>
      </c>
      <c r="BQ20" s="178">
        <f t="shared" si="27"/>
        <v>100</v>
      </c>
      <c r="BR20" s="178">
        <f t="shared" si="27"/>
        <v>100</v>
      </c>
      <c r="BS20" s="178">
        <f t="shared" si="27"/>
        <v>100</v>
      </c>
      <c r="BT20" s="178">
        <f t="shared" si="27"/>
        <v>100</v>
      </c>
      <c r="BU20" s="178">
        <f t="shared" si="27"/>
        <v>100</v>
      </c>
      <c r="BV20" s="168">
        <f t="shared" si="27"/>
        <v>100</v>
      </c>
      <c r="BW20" s="169">
        <f t="shared" si="44"/>
        <v>1200</v>
      </c>
      <c r="BX20" s="179">
        <f t="shared" si="45"/>
        <v>3500</v>
      </c>
      <c r="BY20" s="180">
        <f t="shared" si="46"/>
        <v>100</v>
      </c>
      <c r="BZ20" s="178">
        <f t="shared" si="28"/>
        <v>100</v>
      </c>
      <c r="CA20" s="178">
        <f t="shared" si="28"/>
        <v>100</v>
      </c>
      <c r="CB20" s="178">
        <f t="shared" si="28"/>
        <v>100</v>
      </c>
      <c r="CC20" s="178">
        <f t="shared" si="28"/>
        <v>100</v>
      </c>
      <c r="CD20" s="178">
        <f t="shared" si="28"/>
        <v>100</v>
      </c>
      <c r="CE20" s="178">
        <f t="shared" si="28"/>
        <v>100</v>
      </c>
      <c r="CF20" s="178">
        <f t="shared" si="28"/>
        <v>100</v>
      </c>
      <c r="CG20" s="178">
        <f t="shared" si="28"/>
        <v>100</v>
      </c>
      <c r="CH20" s="178">
        <f t="shared" si="28"/>
        <v>100</v>
      </c>
      <c r="CI20" s="178">
        <f t="shared" si="28"/>
        <v>100</v>
      </c>
      <c r="CJ20" s="168">
        <f t="shared" si="28"/>
        <v>100</v>
      </c>
      <c r="CK20" s="169">
        <f t="shared" si="47"/>
        <v>1200</v>
      </c>
      <c r="CL20" s="179">
        <f t="shared" si="48"/>
        <v>2166.666666666667</v>
      </c>
      <c r="CM20" s="180">
        <f t="shared" si="49"/>
        <v>100</v>
      </c>
      <c r="CN20" s="178">
        <f t="shared" si="29"/>
        <v>100</v>
      </c>
      <c r="CO20" s="178">
        <f t="shared" si="29"/>
        <v>100</v>
      </c>
      <c r="CP20" s="178">
        <f t="shared" si="29"/>
        <v>100</v>
      </c>
      <c r="CQ20" s="178">
        <f t="shared" si="29"/>
        <v>100</v>
      </c>
      <c r="CR20" s="178">
        <f t="shared" si="29"/>
        <v>100</v>
      </c>
      <c r="CS20" s="178">
        <f t="shared" si="29"/>
        <v>100</v>
      </c>
      <c r="CT20" s="178">
        <f t="shared" si="29"/>
        <v>100</v>
      </c>
      <c r="CU20" s="178">
        <f t="shared" si="29"/>
        <v>100</v>
      </c>
      <c r="CV20" s="178">
        <f t="shared" si="29"/>
        <v>100</v>
      </c>
      <c r="CW20" s="178">
        <f t="shared" si="29"/>
        <v>100</v>
      </c>
      <c r="CX20" s="168">
        <f t="shared" si="29"/>
        <v>100</v>
      </c>
      <c r="CY20" s="169">
        <f t="shared" si="50"/>
        <v>1200</v>
      </c>
      <c r="CZ20" s="179">
        <f t="shared" si="51"/>
        <v>1100</v>
      </c>
      <c r="DA20" s="180">
        <f t="shared" si="52"/>
        <v>100</v>
      </c>
      <c r="DB20" s="178">
        <f t="shared" si="30"/>
        <v>100</v>
      </c>
      <c r="DC20" s="178">
        <f t="shared" si="30"/>
        <v>100</v>
      </c>
      <c r="DD20" s="178">
        <f t="shared" si="30"/>
        <v>100</v>
      </c>
      <c r="DE20" s="178">
        <f t="shared" si="30"/>
        <v>100</v>
      </c>
      <c r="DF20" s="178">
        <f t="shared" si="30"/>
        <v>100</v>
      </c>
      <c r="DG20" s="178">
        <f t="shared" si="30"/>
        <v>100</v>
      </c>
      <c r="DH20" s="178">
        <f t="shared" si="30"/>
        <v>100</v>
      </c>
      <c r="DI20" s="178">
        <f t="shared" si="30"/>
        <v>100</v>
      </c>
      <c r="DJ20" s="178">
        <f t="shared" si="30"/>
        <v>100</v>
      </c>
      <c r="DK20" s="178">
        <f t="shared" si="30"/>
        <v>100</v>
      </c>
      <c r="DL20" s="168">
        <f t="shared" si="30"/>
        <v>0</v>
      </c>
      <c r="DM20" s="169">
        <f t="shared" si="53"/>
        <v>1100</v>
      </c>
      <c r="DN20" s="171">
        <f t="shared" si="54"/>
        <v>-133.33333333333303</v>
      </c>
      <c r="DO20" s="180">
        <f t="shared" si="55"/>
        <v>0</v>
      </c>
      <c r="DP20" s="178">
        <f t="shared" si="31"/>
        <v>0</v>
      </c>
      <c r="DQ20" s="178">
        <f t="shared" si="31"/>
        <v>0</v>
      </c>
      <c r="DR20" s="178">
        <f t="shared" si="31"/>
        <v>0</v>
      </c>
      <c r="DS20" s="178">
        <f t="shared" si="31"/>
        <v>0</v>
      </c>
      <c r="DT20" s="178">
        <f t="shared" si="31"/>
        <v>0</v>
      </c>
      <c r="DU20" s="178">
        <f t="shared" si="31"/>
        <v>0</v>
      </c>
      <c r="DV20" s="178">
        <f t="shared" si="31"/>
        <v>0</v>
      </c>
      <c r="DW20" s="178">
        <f t="shared" si="31"/>
        <v>0</v>
      </c>
      <c r="DX20" s="178">
        <f t="shared" si="31"/>
        <v>0</v>
      </c>
      <c r="DY20" s="178">
        <f t="shared" si="31"/>
        <v>0</v>
      </c>
      <c r="DZ20" s="168">
        <f t="shared" si="31"/>
        <v>0</v>
      </c>
      <c r="EA20" s="169">
        <f t="shared" si="56"/>
        <v>0</v>
      </c>
      <c r="EB20" s="171">
        <f t="shared" si="57"/>
        <v>0</v>
      </c>
    </row>
    <row r="21" spans="1:132" s="177" customFormat="1" ht="15.75">
      <c r="A21" s="163">
        <v>43044</v>
      </c>
      <c r="B21" s="164" t="s">
        <v>90</v>
      </c>
      <c r="C21" s="165" t="s">
        <v>158</v>
      </c>
      <c r="D21" s="166">
        <v>1000</v>
      </c>
      <c r="E21" s="167">
        <v>10</v>
      </c>
      <c r="F21" s="168">
        <f t="shared" si="22"/>
        <v>100</v>
      </c>
      <c r="G21" s="169">
        <f t="shared" si="32"/>
        <v>0</v>
      </c>
      <c r="H21" s="178">
        <f t="shared" si="23"/>
        <v>0</v>
      </c>
      <c r="I21" s="178">
        <f t="shared" si="23"/>
        <v>0</v>
      </c>
      <c r="J21" s="178">
        <f t="shared" si="23"/>
        <v>0</v>
      </c>
      <c r="K21" s="178">
        <f t="shared" si="23"/>
        <v>0</v>
      </c>
      <c r="L21" s="178">
        <f t="shared" si="23"/>
        <v>0</v>
      </c>
      <c r="M21" s="178">
        <f t="shared" si="23"/>
        <v>0</v>
      </c>
      <c r="N21" s="178">
        <f t="shared" si="23"/>
        <v>0</v>
      </c>
      <c r="O21" s="178">
        <f t="shared" si="23"/>
        <v>0</v>
      </c>
      <c r="P21" s="178">
        <f t="shared" si="23"/>
        <v>0</v>
      </c>
      <c r="Q21" s="178">
        <f t="shared" si="23"/>
        <v>0</v>
      </c>
      <c r="R21" s="179">
        <f t="shared" si="23"/>
        <v>0</v>
      </c>
      <c r="S21" s="169">
        <f t="shared" si="58"/>
        <v>0</v>
      </c>
      <c r="T21" s="179">
        <f t="shared" si="33"/>
        <v>0</v>
      </c>
      <c r="U21" s="180">
        <f t="shared" si="34"/>
        <v>0</v>
      </c>
      <c r="V21" s="178">
        <f t="shared" si="24"/>
        <v>0</v>
      </c>
      <c r="W21" s="178">
        <f t="shared" si="24"/>
        <v>0</v>
      </c>
      <c r="X21" s="178">
        <f t="shared" si="24"/>
        <v>0</v>
      </c>
      <c r="Y21" s="178">
        <f t="shared" si="24"/>
        <v>0</v>
      </c>
      <c r="Z21" s="178">
        <f t="shared" si="24"/>
        <v>0</v>
      </c>
      <c r="AA21" s="178">
        <f t="shared" si="24"/>
        <v>0</v>
      </c>
      <c r="AB21" s="178">
        <f t="shared" si="24"/>
        <v>0</v>
      </c>
      <c r="AC21" s="178">
        <f t="shared" si="24"/>
        <v>0</v>
      </c>
      <c r="AD21" s="178">
        <f t="shared" si="24"/>
        <v>0</v>
      </c>
      <c r="AE21" s="178">
        <f t="shared" si="24"/>
        <v>0</v>
      </c>
      <c r="AF21" s="168">
        <f t="shared" si="24"/>
        <v>0</v>
      </c>
      <c r="AG21" s="169">
        <f t="shared" si="35"/>
        <v>0</v>
      </c>
      <c r="AH21" s="179">
        <f t="shared" si="36"/>
        <v>0</v>
      </c>
      <c r="AI21" s="180">
        <f t="shared" si="37"/>
        <v>0</v>
      </c>
      <c r="AJ21" s="178">
        <f t="shared" si="25"/>
        <v>0</v>
      </c>
      <c r="AK21" s="178">
        <f t="shared" si="25"/>
        <v>0</v>
      </c>
      <c r="AL21" s="178">
        <f t="shared" si="25"/>
        <v>0</v>
      </c>
      <c r="AM21" s="178">
        <f t="shared" si="25"/>
        <v>0</v>
      </c>
      <c r="AN21" s="178">
        <f t="shared" si="25"/>
        <v>0</v>
      </c>
      <c r="AO21" s="178">
        <f t="shared" si="25"/>
        <v>0</v>
      </c>
      <c r="AP21" s="178">
        <f t="shared" si="25"/>
        <v>0</v>
      </c>
      <c r="AQ21" s="178">
        <f t="shared" si="25"/>
        <v>0</v>
      </c>
      <c r="AR21" s="178">
        <f t="shared" si="25"/>
        <v>0</v>
      </c>
      <c r="AS21" s="178">
        <f t="shared" si="25"/>
        <v>0</v>
      </c>
      <c r="AT21" s="168">
        <f t="shared" si="25"/>
        <v>0</v>
      </c>
      <c r="AU21" s="169">
        <f t="shared" si="38"/>
        <v>0</v>
      </c>
      <c r="AV21" s="179">
        <f t="shared" si="39"/>
        <v>0</v>
      </c>
      <c r="AW21" s="180">
        <f t="shared" si="40"/>
        <v>8.3333333333333339</v>
      </c>
      <c r="AX21" s="178">
        <f t="shared" si="26"/>
        <v>8.3333333333333339</v>
      </c>
      <c r="AY21" s="178">
        <f t="shared" si="26"/>
        <v>8.3333333333333339</v>
      </c>
      <c r="AZ21" s="178">
        <f t="shared" si="26"/>
        <v>8.3333333333333339</v>
      </c>
      <c r="BA21" s="178">
        <f t="shared" si="26"/>
        <v>8.3333333333333339</v>
      </c>
      <c r="BB21" s="178">
        <f t="shared" si="26"/>
        <v>8.3333333333333339</v>
      </c>
      <c r="BC21" s="178">
        <f t="shared" si="26"/>
        <v>8.3333333333333339</v>
      </c>
      <c r="BD21" s="178">
        <f t="shared" si="26"/>
        <v>8.3333333333333339</v>
      </c>
      <c r="BE21" s="178">
        <f t="shared" si="26"/>
        <v>8.3333333333333339</v>
      </c>
      <c r="BF21" s="178">
        <f t="shared" si="26"/>
        <v>8.3333333333333339</v>
      </c>
      <c r="BG21" s="178">
        <f t="shared" si="26"/>
        <v>8.3333333333333339</v>
      </c>
      <c r="BH21" s="168">
        <f t="shared" si="26"/>
        <v>8.3333333333333339</v>
      </c>
      <c r="BI21" s="169">
        <f t="shared" si="41"/>
        <v>99.999999999999986</v>
      </c>
      <c r="BJ21" s="179">
        <f t="shared" si="42"/>
        <v>900</v>
      </c>
      <c r="BK21" s="180">
        <f t="shared" si="43"/>
        <v>8.3333333333333339</v>
      </c>
      <c r="BL21" s="178">
        <f t="shared" si="27"/>
        <v>8.3333333333333339</v>
      </c>
      <c r="BM21" s="178">
        <f t="shared" si="27"/>
        <v>8.3333333333333339</v>
      </c>
      <c r="BN21" s="178">
        <f t="shared" si="27"/>
        <v>8.3333333333333339</v>
      </c>
      <c r="BO21" s="178">
        <f t="shared" si="27"/>
        <v>8.3333333333333339</v>
      </c>
      <c r="BP21" s="178">
        <f t="shared" si="27"/>
        <v>8.3333333333333339</v>
      </c>
      <c r="BQ21" s="178">
        <f t="shared" si="27"/>
        <v>8.3333333333333339</v>
      </c>
      <c r="BR21" s="178">
        <f t="shared" si="27"/>
        <v>8.3333333333333339</v>
      </c>
      <c r="BS21" s="178">
        <f t="shared" si="27"/>
        <v>8.3333333333333339</v>
      </c>
      <c r="BT21" s="178">
        <f t="shared" si="27"/>
        <v>8.3333333333333339</v>
      </c>
      <c r="BU21" s="178">
        <f t="shared" si="27"/>
        <v>8.3333333333333339</v>
      </c>
      <c r="BV21" s="168">
        <f t="shared" si="27"/>
        <v>8.3333333333333339</v>
      </c>
      <c r="BW21" s="169">
        <f t="shared" si="44"/>
        <v>99.999999999999986</v>
      </c>
      <c r="BX21" s="179">
        <f t="shared" si="45"/>
        <v>800</v>
      </c>
      <c r="BY21" s="180">
        <f t="shared" si="46"/>
        <v>8.3333333333333339</v>
      </c>
      <c r="BZ21" s="178">
        <f t="shared" si="28"/>
        <v>8.3333333333333339</v>
      </c>
      <c r="CA21" s="178">
        <f t="shared" si="28"/>
        <v>8.3333333333333339</v>
      </c>
      <c r="CB21" s="178">
        <f t="shared" si="28"/>
        <v>8.3333333333333339</v>
      </c>
      <c r="CC21" s="178">
        <f t="shared" si="28"/>
        <v>8.3333333333333339</v>
      </c>
      <c r="CD21" s="178">
        <f t="shared" si="28"/>
        <v>8.3333333333333339</v>
      </c>
      <c r="CE21" s="178">
        <f t="shared" si="28"/>
        <v>8.3333333333333339</v>
      </c>
      <c r="CF21" s="178">
        <f t="shared" si="28"/>
        <v>8.3333333333333339</v>
      </c>
      <c r="CG21" s="178">
        <f t="shared" si="28"/>
        <v>8.3333333333333339</v>
      </c>
      <c r="CH21" s="178">
        <f t="shared" si="28"/>
        <v>8.3333333333333339</v>
      </c>
      <c r="CI21" s="178">
        <f t="shared" si="28"/>
        <v>8.3333333333333339</v>
      </c>
      <c r="CJ21" s="168">
        <f t="shared" si="28"/>
        <v>8.3333333333333339</v>
      </c>
      <c r="CK21" s="169">
        <f t="shared" si="47"/>
        <v>99.999999999999986</v>
      </c>
      <c r="CL21" s="179">
        <f t="shared" si="48"/>
        <v>-533.33333333333326</v>
      </c>
      <c r="CM21" s="180">
        <f t="shared" si="49"/>
        <v>0</v>
      </c>
      <c r="CN21" s="178">
        <f t="shared" si="29"/>
        <v>0</v>
      </c>
      <c r="CO21" s="178">
        <f t="shared" si="29"/>
        <v>0</v>
      </c>
      <c r="CP21" s="178">
        <f t="shared" si="29"/>
        <v>0</v>
      </c>
      <c r="CQ21" s="178">
        <f t="shared" si="29"/>
        <v>0</v>
      </c>
      <c r="CR21" s="178">
        <f t="shared" si="29"/>
        <v>0</v>
      </c>
      <c r="CS21" s="178">
        <f t="shared" si="29"/>
        <v>0</v>
      </c>
      <c r="CT21" s="178">
        <f t="shared" si="29"/>
        <v>0</v>
      </c>
      <c r="CU21" s="178">
        <f t="shared" si="29"/>
        <v>0</v>
      </c>
      <c r="CV21" s="178">
        <f t="shared" si="29"/>
        <v>0</v>
      </c>
      <c r="CW21" s="178">
        <f t="shared" si="29"/>
        <v>0</v>
      </c>
      <c r="CX21" s="168">
        <f t="shared" si="29"/>
        <v>0</v>
      </c>
      <c r="CY21" s="169">
        <f t="shared" si="50"/>
        <v>0</v>
      </c>
      <c r="CZ21" s="179">
        <f t="shared" si="51"/>
        <v>0</v>
      </c>
      <c r="DA21" s="180">
        <f t="shared" si="52"/>
        <v>0</v>
      </c>
      <c r="DB21" s="178">
        <f t="shared" si="30"/>
        <v>0</v>
      </c>
      <c r="DC21" s="178">
        <f t="shared" si="30"/>
        <v>0</v>
      </c>
      <c r="DD21" s="178">
        <f t="shared" si="30"/>
        <v>0</v>
      </c>
      <c r="DE21" s="178">
        <f t="shared" si="30"/>
        <v>0</v>
      </c>
      <c r="DF21" s="178">
        <f t="shared" si="30"/>
        <v>0</v>
      </c>
      <c r="DG21" s="178">
        <f t="shared" si="30"/>
        <v>0</v>
      </c>
      <c r="DH21" s="178">
        <f t="shared" si="30"/>
        <v>0</v>
      </c>
      <c r="DI21" s="178">
        <f t="shared" si="30"/>
        <v>0</v>
      </c>
      <c r="DJ21" s="178">
        <f t="shared" si="30"/>
        <v>0</v>
      </c>
      <c r="DK21" s="178">
        <f t="shared" si="30"/>
        <v>0</v>
      </c>
      <c r="DL21" s="168">
        <f t="shared" si="30"/>
        <v>0</v>
      </c>
      <c r="DM21" s="169">
        <f t="shared" si="53"/>
        <v>0</v>
      </c>
      <c r="DN21" s="171">
        <f t="shared" si="54"/>
        <v>0</v>
      </c>
      <c r="DO21" s="180">
        <f t="shared" si="55"/>
        <v>0</v>
      </c>
      <c r="DP21" s="178">
        <f t="shared" si="31"/>
        <v>0</v>
      </c>
      <c r="DQ21" s="178">
        <f t="shared" si="31"/>
        <v>0</v>
      </c>
      <c r="DR21" s="178">
        <f t="shared" si="31"/>
        <v>0</v>
      </c>
      <c r="DS21" s="178">
        <f t="shared" si="31"/>
        <v>0</v>
      </c>
      <c r="DT21" s="178">
        <f t="shared" si="31"/>
        <v>0</v>
      </c>
      <c r="DU21" s="178">
        <f t="shared" si="31"/>
        <v>0</v>
      </c>
      <c r="DV21" s="178">
        <f t="shared" si="31"/>
        <v>0</v>
      </c>
      <c r="DW21" s="178">
        <f t="shared" si="31"/>
        <v>0</v>
      </c>
      <c r="DX21" s="178">
        <f t="shared" si="31"/>
        <v>0</v>
      </c>
      <c r="DY21" s="178">
        <f t="shared" si="31"/>
        <v>0</v>
      </c>
      <c r="DZ21" s="168">
        <f t="shared" si="31"/>
        <v>0</v>
      </c>
      <c r="EA21" s="169">
        <f t="shared" si="56"/>
        <v>0</v>
      </c>
      <c r="EB21" s="171">
        <f t="shared" si="57"/>
        <v>0</v>
      </c>
    </row>
    <row r="22" spans="1:132" s="177" customFormat="1" ht="15.75">
      <c r="A22" s="163">
        <v>43044</v>
      </c>
      <c r="B22" s="164" t="s">
        <v>90</v>
      </c>
      <c r="C22" s="165" t="s">
        <v>241</v>
      </c>
      <c r="D22" s="166">
        <v>2500</v>
      </c>
      <c r="E22" s="167">
        <v>5</v>
      </c>
      <c r="F22" s="168">
        <f t="shared" si="22"/>
        <v>500</v>
      </c>
      <c r="G22" s="169">
        <f t="shared" si="32"/>
        <v>0</v>
      </c>
      <c r="H22" s="178">
        <f t="shared" si="23"/>
        <v>0</v>
      </c>
      <c r="I22" s="178">
        <f t="shared" si="23"/>
        <v>0</v>
      </c>
      <c r="J22" s="178">
        <f t="shared" si="23"/>
        <v>0</v>
      </c>
      <c r="K22" s="178">
        <f t="shared" si="23"/>
        <v>0</v>
      </c>
      <c r="L22" s="178">
        <f t="shared" si="23"/>
        <v>0</v>
      </c>
      <c r="M22" s="178">
        <f t="shared" si="23"/>
        <v>0</v>
      </c>
      <c r="N22" s="178">
        <f t="shared" si="23"/>
        <v>0</v>
      </c>
      <c r="O22" s="178">
        <f t="shared" si="23"/>
        <v>0</v>
      </c>
      <c r="P22" s="178">
        <f t="shared" si="23"/>
        <v>0</v>
      </c>
      <c r="Q22" s="178">
        <f t="shared" si="23"/>
        <v>0</v>
      </c>
      <c r="R22" s="179">
        <f t="shared" si="23"/>
        <v>0</v>
      </c>
      <c r="S22" s="169">
        <f t="shared" si="58"/>
        <v>0</v>
      </c>
      <c r="T22" s="179">
        <f t="shared" si="33"/>
        <v>0</v>
      </c>
      <c r="U22" s="180">
        <f t="shared" si="34"/>
        <v>0</v>
      </c>
      <c r="V22" s="178">
        <f t="shared" si="24"/>
        <v>0</v>
      </c>
      <c r="W22" s="178">
        <f t="shared" si="24"/>
        <v>0</v>
      </c>
      <c r="X22" s="178">
        <f t="shared" si="24"/>
        <v>0</v>
      </c>
      <c r="Y22" s="178">
        <f t="shared" si="24"/>
        <v>0</v>
      </c>
      <c r="Z22" s="178">
        <f t="shared" si="24"/>
        <v>0</v>
      </c>
      <c r="AA22" s="178">
        <f t="shared" si="24"/>
        <v>0</v>
      </c>
      <c r="AB22" s="178">
        <f t="shared" si="24"/>
        <v>0</v>
      </c>
      <c r="AC22" s="178">
        <f t="shared" si="24"/>
        <v>0</v>
      </c>
      <c r="AD22" s="178">
        <f t="shared" si="24"/>
        <v>0</v>
      </c>
      <c r="AE22" s="178">
        <f t="shared" si="24"/>
        <v>0</v>
      </c>
      <c r="AF22" s="168">
        <f t="shared" si="24"/>
        <v>0</v>
      </c>
      <c r="AG22" s="169">
        <f t="shared" si="35"/>
        <v>0</v>
      </c>
      <c r="AH22" s="179">
        <f t="shared" si="36"/>
        <v>0</v>
      </c>
      <c r="AI22" s="180">
        <f t="shared" si="37"/>
        <v>0</v>
      </c>
      <c r="AJ22" s="178">
        <f t="shared" si="25"/>
        <v>0</v>
      </c>
      <c r="AK22" s="178">
        <f t="shared" si="25"/>
        <v>0</v>
      </c>
      <c r="AL22" s="178">
        <f t="shared" si="25"/>
        <v>0</v>
      </c>
      <c r="AM22" s="178">
        <f t="shared" si="25"/>
        <v>0</v>
      </c>
      <c r="AN22" s="178">
        <f t="shared" si="25"/>
        <v>0</v>
      </c>
      <c r="AO22" s="178">
        <f t="shared" si="25"/>
        <v>0</v>
      </c>
      <c r="AP22" s="178">
        <f t="shared" si="25"/>
        <v>0</v>
      </c>
      <c r="AQ22" s="178">
        <f t="shared" si="25"/>
        <v>0</v>
      </c>
      <c r="AR22" s="178">
        <f t="shared" si="25"/>
        <v>0</v>
      </c>
      <c r="AS22" s="178">
        <f t="shared" si="25"/>
        <v>0</v>
      </c>
      <c r="AT22" s="168">
        <f t="shared" si="25"/>
        <v>0</v>
      </c>
      <c r="AU22" s="169">
        <f t="shared" si="38"/>
        <v>0</v>
      </c>
      <c r="AV22" s="179">
        <f t="shared" si="39"/>
        <v>0</v>
      </c>
      <c r="AW22" s="180">
        <f t="shared" si="40"/>
        <v>41.666666666666664</v>
      </c>
      <c r="AX22" s="178">
        <f t="shared" si="26"/>
        <v>41.666666666666664</v>
      </c>
      <c r="AY22" s="178">
        <f t="shared" si="26"/>
        <v>41.666666666666664</v>
      </c>
      <c r="AZ22" s="178">
        <f t="shared" si="26"/>
        <v>41.666666666666664</v>
      </c>
      <c r="BA22" s="178">
        <f t="shared" si="26"/>
        <v>41.666666666666664</v>
      </c>
      <c r="BB22" s="178">
        <f t="shared" si="26"/>
        <v>41.666666666666664</v>
      </c>
      <c r="BC22" s="178">
        <f t="shared" si="26"/>
        <v>41.666666666666664</v>
      </c>
      <c r="BD22" s="178">
        <f t="shared" si="26"/>
        <v>41.666666666666664</v>
      </c>
      <c r="BE22" s="178">
        <f t="shared" si="26"/>
        <v>41.666666666666664</v>
      </c>
      <c r="BF22" s="178">
        <f t="shared" si="26"/>
        <v>41.666666666666664</v>
      </c>
      <c r="BG22" s="178">
        <f t="shared" si="26"/>
        <v>41.666666666666664</v>
      </c>
      <c r="BH22" s="168">
        <f t="shared" si="26"/>
        <v>41.666666666666664</v>
      </c>
      <c r="BI22" s="169">
        <f t="shared" si="41"/>
        <v>500.00000000000006</v>
      </c>
      <c r="BJ22" s="179">
        <f t="shared" si="42"/>
        <v>2000</v>
      </c>
      <c r="BK22" s="180">
        <f t="shared" si="43"/>
        <v>41.666666666666664</v>
      </c>
      <c r="BL22" s="178">
        <f t="shared" si="27"/>
        <v>41.666666666666664</v>
      </c>
      <c r="BM22" s="178">
        <f t="shared" si="27"/>
        <v>41.666666666666664</v>
      </c>
      <c r="BN22" s="178">
        <f t="shared" si="27"/>
        <v>41.666666666666664</v>
      </c>
      <c r="BO22" s="178">
        <f t="shared" si="27"/>
        <v>41.666666666666664</v>
      </c>
      <c r="BP22" s="178">
        <f t="shared" si="27"/>
        <v>41.666666666666664</v>
      </c>
      <c r="BQ22" s="178">
        <f t="shared" si="27"/>
        <v>41.666666666666664</v>
      </c>
      <c r="BR22" s="178">
        <f t="shared" si="27"/>
        <v>41.666666666666664</v>
      </c>
      <c r="BS22" s="178">
        <f t="shared" si="27"/>
        <v>41.666666666666664</v>
      </c>
      <c r="BT22" s="178">
        <f t="shared" si="27"/>
        <v>41.666666666666664</v>
      </c>
      <c r="BU22" s="178">
        <f t="shared" si="27"/>
        <v>41.666666666666664</v>
      </c>
      <c r="BV22" s="168">
        <f t="shared" si="27"/>
        <v>41.666666666666664</v>
      </c>
      <c r="BW22" s="169">
        <f t="shared" si="44"/>
        <v>500.00000000000006</v>
      </c>
      <c r="BX22" s="179">
        <f t="shared" si="45"/>
        <v>1500</v>
      </c>
      <c r="BY22" s="180">
        <f t="shared" si="46"/>
        <v>41.666666666666664</v>
      </c>
      <c r="BZ22" s="178">
        <f t="shared" si="28"/>
        <v>41.666666666666664</v>
      </c>
      <c r="CA22" s="178">
        <f t="shared" si="28"/>
        <v>41.666666666666664</v>
      </c>
      <c r="CB22" s="178">
        <f t="shared" si="28"/>
        <v>41.666666666666664</v>
      </c>
      <c r="CC22" s="178">
        <f t="shared" si="28"/>
        <v>41.666666666666664</v>
      </c>
      <c r="CD22" s="178">
        <f t="shared" si="28"/>
        <v>41.666666666666664</v>
      </c>
      <c r="CE22" s="178">
        <f t="shared" si="28"/>
        <v>41.666666666666664</v>
      </c>
      <c r="CF22" s="178">
        <f t="shared" si="28"/>
        <v>41.666666666666664</v>
      </c>
      <c r="CG22" s="178">
        <f t="shared" si="28"/>
        <v>41.666666666666664</v>
      </c>
      <c r="CH22" s="178">
        <f t="shared" si="28"/>
        <v>41.666666666666664</v>
      </c>
      <c r="CI22" s="178">
        <f t="shared" si="28"/>
        <v>41.666666666666664</v>
      </c>
      <c r="CJ22" s="168">
        <f t="shared" si="28"/>
        <v>41.666666666666664</v>
      </c>
      <c r="CK22" s="169">
        <f t="shared" si="47"/>
        <v>500.00000000000006</v>
      </c>
      <c r="CL22" s="179">
        <f t="shared" si="48"/>
        <v>166.66666666666674</v>
      </c>
      <c r="CM22" s="180">
        <f t="shared" si="49"/>
        <v>41.666666666666664</v>
      </c>
      <c r="CN22" s="178">
        <f t="shared" si="29"/>
        <v>41.666666666666664</v>
      </c>
      <c r="CO22" s="178">
        <f t="shared" si="29"/>
        <v>41.666666666666664</v>
      </c>
      <c r="CP22" s="178">
        <f t="shared" si="29"/>
        <v>41.666666666666664</v>
      </c>
      <c r="CQ22" s="178">
        <f t="shared" si="29"/>
        <v>41.666666666666664</v>
      </c>
      <c r="CR22" s="178">
        <f t="shared" si="29"/>
        <v>41.666666666666664</v>
      </c>
      <c r="CS22" s="178">
        <f t="shared" si="29"/>
        <v>41.666666666666664</v>
      </c>
      <c r="CT22" s="178">
        <f t="shared" si="29"/>
        <v>41.666666666666664</v>
      </c>
      <c r="CU22" s="178">
        <f t="shared" si="29"/>
        <v>41.666666666666664</v>
      </c>
      <c r="CV22" s="178">
        <f t="shared" si="29"/>
        <v>41.666666666666664</v>
      </c>
      <c r="CW22" s="178">
        <f t="shared" si="29"/>
        <v>41.666666666666664</v>
      </c>
      <c r="CX22" s="168">
        <f t="shared" si="29"/>
        <v>41.666666666666664</v>
      </c>
      <c r="CY22" s="169">
        <f t="shared" si="50"/>
        <v>500.00000000000006</v>
      </c>
      <c r="CZ22" s="179">
        <f t="shared" si="51"/>
        <v>499.99999999999994</v>
      </c>
      <c r="DA22" s="180">
        <f t="shared" si="52"/>
        <v>41.666666666666664</v>
      </c>
      <c r="DB22" s="178">
        <f t="shared" si="30"/>
        <v>41.666666666666664</v>
      </c>
      <c r="DC22" s="178">
        <f t="shared" si="30"/>
        <v>41.666666666666664</v>
      </c>
      <c r="DD22" s="178">
        <f t="shared" si="30"/>
        <v>41.666666666666664</v>
      </c>
      <c r="DE22" s="178">
        <f t="shared" si="30"/>
        <v>41.666666666666664</v>
      </c>
      <c r="DF22" s="178">
        <f t="shared" si="30"/>
        <v>41.666666666666664</v>
      </c>
      <c r="DG22" s="178">
        <f t="shared" si="30"/>
        <v>41.666666666666664</v>
      </c>
      <c r="DH22" s="178">
        <f t="shared" si="30"/>
        <v>41.666666666666664</v>
      </c>
      <c r="DI22" s="178">
        <f t="shared" si="30"/>
        <v>41.666666666666664</v>
      </c>
      <c r="DJ22" s="178">
        <f t="shared" si="30"/>
        <v>41.666666666666664</v>
      </c>
      <c r="DK22" s="178">
        <f t="shared" si="30"/>
        <v>41.666666666666664</v>
      </c>
      <c r="DL22" s="168">
        <f t="shared" si="30"/>
        <v>41.666666666666664</v>
      </c>
      <c r="DM22" s="169">
        <f t="shared" si="53"/>
        <v>500.00000000000006</v>
      </c>
      <c r="DN22" s="171">
        <f t="shared" si="54"/>
        <v>-833.33333333333337</v>
      </c>
      <c r="DO22" s="180">
        <f t="shared" si="55"/>
        <v>0</v>
      </c>
      <c r="DP22" s="178">
        <f t="shared" si="31"/>
        <v>0</v>
      </c>
      <c r="DQ22" s="178">
        <f t="shared" si="31"/>
        <v>0</v>
      </c>
      <c r="DR22" s="178">
        <f t="shared" si="31"/>
        <v>0</v>
      </c>
      <c r="DS22" s="178">
        <f t="shared" si="31"/>
        <v>0</v>
      </c>
      <c r="DT22" s="178">
        <f t="shared" si="31"/>
        <v>0</v>
      </c>
      <c r="DU22" s="178">
        <f t="shared" si="31"/>
        <v>0</v>
      </c>
      <c r="DV22" s="178">
        <f t="shared" si="31"/>
        <v>0</v>
      </c>
      <c r="DW22" s="178">
        <f t="shared" si="31"/>
        <v>0</v>
      </c>
      <c r="DX22" s="178">
        <f t="shared" si="31"/>
        <v>0</v>
      </c>
      <c r="DY22" s="178">
        <f t="shared" si="31"/>
        <v>0</v>
      </c>
      <c r="DZ22" s="168">
        <f t="shared" si="31"/>
        <v>0</v>
      </c>
      <c r="EA22" s="169">
        <f t="shared" si="56"/>
        <v>0</v>
      </c>
      <c r="EB22" s="171">
        <f t="shared" si="57"/>
        <v>0</v>
      </c>
    </row>
    <row r="23" spans="1:132" s="177" customFormat="1" ht="15.75">
      <c r="A23" s="163">
        <v>43050</v>
      </c>
      <c r="B23" s="164" t="s">
        <v>90</v>
      </c>
      <c r="C23" s="165" t="s">
        <v>159</v>
      </c>
      <c r="D23" s="166">
        <v>12500</v>
      </c>
      <c r="E23" s="167">
        <v>3</v>
      </c>
      <c r="F23" s="168">
        <f t="shared" si="22"/>
        <v>4166.666666666667</v>
      </c>
      <c r="G23" s="169">
        <f t="shared" si="32"/>
        <v>0</v>
      </c>
      <c r="H23" s="178">
        <f t="shared" si="23"/>
        <v>0</v>
      </c>
      <c r="I23" s="178">
        <f t="shared" si="23"/>
        <v>0</v>
      </c>
      <c r="J23" s="178">
        <f t="shared" si="23"/>
        <v>0</v>
      </c>
      <c r="K23" s="178">
        <f t="shared" si="23"/>
        <v>0</v>
      </c>
      <c r="L23" s="178">
        <f t="shared" si="23"/>
        <v>0</v>
      </c>
      <c r="M23" s="178">
        <f t="shared" si="23"/>
        <v>0</v>
      </c>
      <c r="N23" s="178">
        <f t="shared" si="23"/>
        <v>0</v>
      </c>
      <c r="O23" s="178">
        <f t="shared" si="23"/>
        <v>0</v>
      </c>
      <c r="P23" s="178">
        <f t="shared" si="23"/>
        <v>0</v>
      </c>
      <c r="Q23" s="178">
        <f t="shared" si="23"/>
        <v>0</v>
      </c>
      <c r="R23" s="179">
        <f t="shared" si="23"/>
        <v>0</v>
      </c>
      <c r="S23" s="169">
        <f t="shared" si="58"/>
        <v>0</v>
      </c>
      <c r="T23" s="179">
        <f t="shared" si="33"/>
        <v>0</v>
      </c>
      <c r="U23" s="180">
        <f t="shared" si="34"/>
        <v>0</v>
      </c>
      <c r="V23" s="178">
        <f t="shared" si="24"/>
        <v>0</v>
      </c>
      <c r="W23" s="178">
        <f t="shared" si="24"/>
        <v>0</v>
      </c>
      <c r="X23" s="178">
        <f t="shared" si="24"/>
        <v>0</v>
      </c>
      <c r="Y23" s="178">
        <f t="shared" si="24"/>
        <v>0</v>
      </c>
      <c r="Z23" s="178">
        <f t="shared" si="24"/>
        <v>0</v>
      </c>
      <c r="AA23" s="178">
        <f t="shared" si="24"/>
        <v>0</v>
      </c>
      <c r="AB23" s="178">
        <f t="shared" si="24"/>
        <v>0</v>
      </c>
      <c r="AC23" s="178">
        <f t="shared" si="24"/>
        <v>0</v>
      </c>
      <c r="AD23" s="178">
        <f t="shared" si="24"/>
        <v>0</v>
      </c>
      <c r="AE23" s="178">
        <f t="shared" si="24"/>
        <v>0</v>
      </c>
      <c r="AF23" s="168">
        <f t="shared" si="24"/>
        <v>0</v>
      </c>
      <c r="AG23" s="169">
        <f t="shared" si="35"/>
        <v>0</v>
      </c>
      <c r="AH23" s="179">
        <f t="shared" si="36"/>
        <v>0</v>
      </c>
      <c r="AI23" s="180">
        <f t="shared" si="37"/>
        <v>0</v>
      </c>
      <c r="AJ23" s="178">
        <f t="shared" si="25"/>
        <v>0</v>
      </c>
      <c r="AK23" s="178">
        <f t="shared" si="25"/>
        <v>0</v>
      </c>
      <c r="AL23" s="178">
        <f t="shared" si="25"/>
        <v>0</v>
      </c>
      <c r="AM23" s="178">
        <f t="shared" si="25"/>
        <v>0</v>
      </c>
      <c r="AN23" s="178">
        <f t="shared" si="25"/>
        <v>0</v>
      </c>
      <c r="AO23" s="178">
        <f t="shared" si="25"/>
        <v>0</v>
      </c>
      <c r="AP23" s="178">
        <f t="shared" si="25"/>
        <v>0</v>
      </c>
      <c r="AQ23" s="178">
        <f t="shared" si="25"/>
        <v>0</v>
      </c>
      <c r="AR23" s="178">
        <f t="shared" si="25"/>
        <v>0</v>
      </c>
      <c r="AS23" s="178">
        <f t="shared" si="25"/>
        <v>0</v>
      </c>
      <c r="AT23" s="168">
        <f t="shared" si="25"/>
        <v>0</v>
      </c>
      <c r="AU23" s="169">
        <f t="shared" si="38"/>
        <v>0</v>
      </c>
      <c r="AV23" s="179">
        <f t="shared" si="39"/>
        <v>0</v>
      </c>
      <c r="AW23" s="180">
        <f t="shared" si="40"/>
        <v>347.22222222222223</v>
      </c>
      <c r="AX23" s="178">
        <f t="shared" si="26"/>
        <v>347.22222222222223</v>
      </c>
      <c r="AY23" s="178">
        <f t="shared" si="26"/>
        <v>347.22222222222223</v>
      </c>
      <c r="AZ23" s="178">
        <f t="shared" si="26"/>
        <v>347.22222222222223</v>
      </c>
      <c r="BA23" s="178">
        <f t="shared" si="26"/>
        <v>347.22222222222223</v>
      </c>
      <c r="BB23" s="178">
        <f t="shared" si="26"/>
        <v>347.22222222222223</v>
      </c>
      <c r="BC23" s="178">
        <f t="shared" si="26"/>
        <v>347.22222222222223</v>
      </c>
      <c r="BD23" s="178">
        <f t="shared" si="26"/>
        <v>347.22222222222223</v>
      </c>
      <c r="BE23" s="178">
        <f t="shared" si="26"/>
        <v>347.22222222222223</v>
      </c>
      <c r="BF23" s="178">
        <f t="shared" si="26"/>
        <v>347.22222222222223</v>
      </c>
      <c r="BG23" s="178">
        <f t="shared" si="26"/>
        <v>347.22222222222223</v>
      </c>
      <c r="BH23" s="168">
        <f t="shared" si="26"/>
        <v>347.22222222222223</v>
      </c>
      <c r="BI23" s="169">
        <f t="shared" si="41"/>
        <v>4166.666666666667</v>
      </c>
      <c r="BJ23" s="179">
        <f t="shared" si="42"/>
        <v>8333.3333333333321</v>
      </c>
      <c r="BK23" s="180">
        <f t="shared" si="43"/>
        <v>347.22222222222223</v>
      </c>
      <c r="BL23" s="178">
        <f t="shared" si="27"/>
        <v>347.22222222222223</v>
      </c>
      <c r="BM23" s="178">
        <f t="shared" si="27"/>
        <v>347.22222222222223</v>
      </c>
      <c r="BN23" s="178">
        <f t="shared" si="27"/>
        <v>347.22222222222223</v>
      </c>
      <c r="BO23" s="178">
        <f t="shared" si="27"/>
        <v>347.22222222222223</v>
      </c>
      <c r="BP23" s="178">
        <f t="shared" si="27"/>
        <v>347.22222222222223</v>
      </c>
      <c r="BQ23" s="178">
        <f t="shared" si="27"/>
        <v>347.22222222222223</v>
      </c>
      <c r="BR23" s="178">
        <f t="shared" si="27"/>
        <v>347.22222222222223</v>
      </c>
      <c r="BS23" s="178">
        <f t="shared" si="27"/>
        <v>347.22222222222223</v>
      </c>
      <c r="BT23" s="178">
        <f t="shared" si="27"/>
        <v>347.22222222222223</v>
      </c>
      <c r="BU23" s="178">
        <f t="shared" si="27"/>
        <v>347.22222222222223</v>
      </c>
      <c r="BV23" s="168">
        <f t="shared" si="27"/>
        <v>347.22222222222223</v>
      </c>
      <c r="BW23" s="169">
        <f t="shared" si="44"/>
        <v>4166.666666666667</v>
      </c>
      <c r="BX23" s="179">
        <f t="shared" si="45"/>
        <v>4166.6666666666652</v>
      </c>
      <c r="BY23" s="180">
        <f t="shared" si="46"/>
        <v>347.22222222222223</v>
      </c>
      <c r="BZ23" s="178">
        <f t="shared" si="28"/>
        <v>347.22222222222223</v>
      </c>
      <c r="CA23" s="178">
        <f t="shared" si="28"/>
        <v>347.22222222222223</v>
      </c>
      <c r="CB23" s="178">
        <f t="shared" si="28"/>
        <v>347.22222222222223</v>
      </c>
      <c r="CC23" s="178">
        <f t="shared" si="28"/>
        <v>347.22222222222223</v>
      </c>
      <c r="CD23" s="178">
        <f t="shared" si="28"/>
        <v>347.22222222222223</v>
      </c>
      <c r="CE23" s="178">
        <f t="shared" si="28"/>
        <v>347.22222222222223</v>
      </c>
      <c r="CF23" s="178">
        <f t="shared" si="28"/>
        <v>347.22222222222223</v>
      </c>
      <c r="CG23" s="178">
        <f t="shared" si="28"/>
        <v>347.22222222222223</v>
      </c>
      <c r="CH23" s="178">
        <f t="shared" si="28"/>
        <v>347.22222222222223</v>
      </c>
      <c r="CI23" s="178">
        <f t="shared" si="28"/>
        <v>347.22222222222223</v>
      </c>
      <c r="CJ23" s="168">
        <f t="shared" si="28"/>
        <v>347.22222222222223</v>
      </c>
      <c r="CK23" s="169">
        <f t="shared" si="47"/>
        <v>4166.666666666667</v>
      </c>
      <c r="CL23" s="179">
        <f t="shared" si="48"/>
        <v>2833.3333333333321</v>
      </c>
      <c r="CM23" s="180">
        <f t="shared" si="49"/>
        <v>0</v>
      </c>
      <c r="CN23" s="178">
        <f t="shared" si="29"/>
        <v>0</v>
      </c>
      <c r="CO23" s="178">
        <f t="shared" si="29"/>
        <v>0</v>
      </c>
      <c r="CP23" s="178">
        <f t="shared" si="29"/>
        <v>0</v>
      </c>
      <c r="CQ23" s="178">
        <f t="shared" si="29"/>
        <v>0</v>
      </c>
      <c r="CR23" s="178">
        <f t="shared" si="29"/>
        <v>0</v>
      </c>
      <c r="CS23" s="178">
        <f t="shared" si="29"/>
        <v>0</v>
      </c>
      <c r="CT23" s="178">
        <f t="shared" si="29"/>
        <v>0</v>
      </c>
      <c r="CU23" s="178">
        <f t="shared" si="29"/>
        <v>0</v>
      </c>
      <c r="CV23" s="178">
        <f t="shared" si="29"/>
        <v>0</v>
      </c>
      <c r="CW23" s="178">
        <f t="shared" si="29"/>
        <v>0</v>
      </c>
      <c r="CX23" s="168">
        <f t="shared" si="29"/>
        <v>0</v>
      </c>
      <c r="CY23" s="169">
        <f t="shared" si="50"/>
        <v>0</v>
      </c>
      <c r="CZ23" s="179">
        <f t="shared" si="51"/>
        <v>0</v>
      </c>
      <c r="DA23" s="180">
        <f t="shared" si="52"/>
        <v>0</v>
      </c>
      <c r="DB23" s="178">
        <f t="shared" si="30"/>
        <v>0</v>
      </c>
      <c r="DC23" s="178">
        <f t="shared" si="30"/>
        <v>0</v>
      </c>
      <c r="DD23" s="178">
        <f t="shared" si="30"/>
        <v>0</v>
      </c>
      <c r="DE23" s="178">
        <f t="shared" si="30"/>
        <v>0</v>
      </c>
      <c r="DF23" s="178">
        <f t="shared" si="30"/>
        <v>0</v>
      </c>
      <c r="DG23" s="178">
        <f t="shared" si="30"/>
        <v>0</v>
      </c>
      <c r="DH23" s="178">
        <f t="shared" si="30"/>
        <v>0</v>
      </c>
      <c r="DI23" s="178">
        <f t="shared" si="30"/>
        <v>0</v>
      </c>
      <c r="DJ23" s="178">
        <f t="shared" si="30"/>
        <v>0</v>
      </c>
      <c r="DK23" s="178">
        <f t="shared" si="30"/>
        <v>0</v>
      </c>
      <c r="DL23" s="168">
        <f t="shared" si="30"/>
        <v>0</v>
      </c>
      <c r="DM23" s="169">
        <f t="shared" si="53"/>
        <v>0</v>
      </c>
      <c r="DN23" s="171">
        <f t="shared" si="54"/>
        <v>0</v>
      </c>
      <c r="DO23" s="180">
        <f t="shared" si="55"/>
        <v>0</v>
      </c>
      <c r="DP23" s="178">
        <f t="shared" si="31"/>
        <v>0</v>
      </c>
      <c r="DQ23" s="178">
        <f t="shared" si="31"/>
        <v>0</v>
      </c>
      <c r="DR23" s="178">
        <f t="shared" si="31"/>
        <v>0</v>
      </c>
      <c r="DS23" s="178">
        <f t="shared" si="31"/>
        <v>0</v>
      </c>
      <c r="DT23" s="178">
        <f t="shared" si="31"/>
        <v>0</v>
      </c>
      <c r="DU23" s="178">
        <f t="shared" si="31"/>
        <v>0</v>
      </c>
      <c r="DV23" s="178">
        <f t="shared" si="31"/>
        <v>0</v>
      </c>
      <c r="DW23" s="178">
        <f t="shared" si="31"/>
        <v>0</v>
      </c>
      <c r="DX23" s="178">
        <f t="shared" si="31"/>
        <v>0</v>
      </c>
      <c r="DY23" s="178">
        <f t="shared" si="31"/>
        <v>0</v>
      </c>
      <c r="DZ23" s="168">
        <f t="shared" si="31"/>
        <v>0</v>
      </c>
      <c r="EA23" s="169">
        <f t="shared" si="56"/>
        <v>0</v>
      </c>
      <c r="EB23" s="171">
        <f t="shared" si="57"/>
        <v>0</v>
      </c>
    </row>
    <row r="24" spans="1:132" s="177" customFormat="1" ht="15.75">
      <c r="A24" s="163">
        <v>43060</v>
      </c>
      <c r="B24" s="164" t="s">
        <v>90</v>
      </c>
      <c r="C24" s="165" t="s">
        <v>160</v>
      </c>
      <c r="D24" s="166">
        <v>25000</v>
      </c>
      <c r="E24" s="167">
        <v>3</v>
      </c>
      <c r="F24" s="168">
        <f t="shared" si="22"/>
        <v>8333.3333333333339</v>
      </c>
      <c r="G24" s="169">
        <f t="shared" si="32"/>
        <v>0</v>
      </c>
      <c r="H24" s="178">
        <f t="shared" si="23"/>
        <v>0</v>
      </c>
      <c r="I24" s="178">
        <f t="shared" si="23"/>
        <v>0</v>
      </c>
      <c r="J24" s="178">
        <f t="shared" si="23"/>
        <v>0</v>
      </c>
      <c r="K24" s="178">
        <f t="shared" si="23"/>
        <v>0</v>
      </c>
      <c r="L24" s="178">
        <f t="shared" si="23"/>
        <v>0</v>
      </c>
      <c r="M24" s="178">
        <f t="shared" si="23"/>
        <v>0</v>
      </c>
      <c r="N24" s="178">
        <f t="shared" si="23"/>
        <v>0</v>
      </c>
      <c r="O24" s="178">
        <f t="shared" si="23"/>
        <v>0</v>
      </c>
      <c r="P24" s="178">
        <f t="shared" si="23"/>
        <v>0</v>
      </c>
      <c r="Q24" s="178">
        <f t="shared" si="23"/>
        <v>0</v>
      </c>
      <c r="R24" s="179">
        <f t="shared" si="23"/>
        <v>0</v>
      </c>
      <c r="S24" s="169">
        <f t="shared" si="58"/>
        <v>0</v>
      </c>
      <c r="T24" s="179">
        <f t="shared" si="33"/>
        <v>0</v>
      </c>
      <c r="U24" s="180">
        <f t="shared" si="34"/>
        <v>0</v>
      </c>
      <c r="V24" s="178">
        <f t="shared" si="24"/>
        <v>0</v>
      </c>
      <c r="W24" s="178">
        <f t="shared" si="24"/>
        <v>0</v>
      </c>
      <c r="X24" s="178">
        <f t="shared" si="24"/>
        <v>0</v>
      </c>
      <c r="Y24" s="178">
        <f t="shared" si="24"/>
        <v>0</v>
      </c>
      <c r="Z24" s="178">
        <f t="shared" si="24"/>
        <v>0</v>
      </c>
      <c r="AA24" s="178">
        <f t="shared" si="24"/>
        <v>0</v>
      </c>
      <c r="AB24" s="178">
        <f t="shared" si="24"/>
        <v>0</v>
      </c>
      <c r="AC24" s="178">
        <f t="shared" si="24"/>
        <v>0</v>
      </c>
      <c r="AD24" s="178">
        <f t="shared" si="24"/>
        <v>0</v>
      </c>
      <c r="AE24" s="178">
        <f t="shared" si="24"/>
        <v>0</v>
      </c>
      <c r="AF24" s="168">
        <f t="shared" si="24"/>
        <v>0</v>
      </c>
      <c r="AG24" s="169">
        <f t="shared" si="35"/>
        <v>0</v>
      </c>
      <c r="AH24" s="179">
        <f t="shared" si="36"/>
        <v>0</v>
      </c>
      <c r="AI24" s="180">
        <f t="shared" si="37"/>
        <v>0</v>
      </c>
      <c r="AJ24" s="178">
        <f t="shared" si="25"/>
        <v>0</v>
      </c>
      <c r="AK24" s="178">
        <f t="shared" si="25"/>
        <v>0</v>
      </c>
      <c r="AL24" s="178">
        <f t="shared" si="25"/>
        <v>0</v>
      </c>
      <c r="AM24" s="178">
        <f t="shared" si="25"/>
        <v>0</v>
      </c>
      <c r="AN24" s="178">
        <f t="shared" si="25"/>
        <v>0</v>
      </c>
      <c r="AO24" s="178">
        <f t="shared" si="25"/>
        <v>0</v>
      </c>
      <c r="AP24" s="178">
        <f t="shared" si="25"/>
        <v>0</v>
      </c>
      <c r="AQ24" s="178">
        <f t="shared" si="25"/>
        <v>0</v>
      </c>
      <c r="AR24" s="178">
        <f t="shared" si="25"/>
        <v>0</v>
      </c>
      <c r="AS24" s="178">
        <f t="shared" si="25"/>
        <v>0</v>
      </c>
      <c r="AT24" s="168">
        <f t="shared" si="25"/>
        <v>0</v>
      </c>
      <c r="AU24" s="169">
        <f t="shared" si="38"/>
        <v>0</v>
      </c>
      <c r="AV24" s="179">
        <f t="shared" si="39"/>
        <v>0</v>
      </c>
      <c r="AW24" s="180">
        <f t="shared" si="40"/>
        <v>694.44444444444446</v>
      </c>
      <c r="AX24" s="178">
        <f t="shared" si="26"/>
        <v>694.44444444444446</v>
      </c>
      <c r="AY24" s="178">
        <f t="shared" si="26"/>
        <v>694.44444444444446</v>
      </c>
      <c r="AZ24" s="178">
        <f t="shared" si="26"/>
        <v>694.44444444444446</v>
      </c>
      <c r="BA24" s="178">
        <f t="shared" si="26"/>
        <v>694.44444444444446</v>
      </c>
      <c r="BB24" s="178">
        <f t="shared" si="26"/>
        <v>694.44444444444446</v>
      </c>
      <c r="BC24" s="178">
        <f t="shared" si="26"/>
        <v>694.44444444444446</v>
      </c>
      <c r="BD24" s="178">
        <f t="shared" si="26"/>
        <v>694.44444444444446</v>
      </c>
      <c r="BE24" s="178">
        <f t="shared" si="26"/>
        <v>694.44444444444446</v>
      </c>
      <c r="BF24" s="178">
        <f t="shared" si="26"/>
        <v>694.44444444444446</v>
      </c>
      <c r="BG24" s="178">
        <f t="shared" si="26"/>
        <v>694.44444444444446</v>
      </c>
      <c r="BH24" s="168">
        <f t="shared" si="26"/>
        <v>694.44444444444446</v>
      </c>
      <c r="BI24" s="169">
        <f t="shared" si="41"/>
        <v>8333.3333333333339</v>
      </c>
      <c r="BJ24" s="179">
        <f t="shared" si="42"/>
        <v>16666.666666666664</v>
      </c>
      <c r="BK24" s="180">
        <f t="shared" si="43"/>
        <v>694.44444444444446</v>
      </c>
      <c r="BL24" s="178">
        <f t="shared" si="27"/>
        <v>694.44444444444446</v>
      </c>
      <c r="BM24" s="178">
        <f t="shared" si="27"/>
        <v>694.44444444444446</v>
      </c>
      <c r="BN24" s="178">
        <f t="shared" si="27"/>
        <v>694.44444444444446</v>
      </c>
      <c r="BO24" s="178">
        <f t="shared" si="27"/>
        <v>694.44444444444446</v>
      </c>
      <c r="BP24" s="178">
        <f t="shared" si="27"/>
        <v>694.44444444444446</v>
      </c>
      <c r="BQ24" s="178">
        <f t="shared" si="27"/>
        <v>694.44444444444446</v>
      </c>
      <c r="BR24" s="178">
        <f t="shared" si="27"/>
        <v>694.44444444444446</v>
      </c>
      <c r="BS24" s="178">
        <f t="shared" si="27"/>
        <v>694.44444444444446</v>
      </c>
      <c r="BT24" s="178">
        <f t="shared" si="27"/>
        <v>694.44444444444446</v>
      </c>
      <c r="BU24" s="178">
        <f t="shared" si="27"/>
        <v>694.44444444444446</v>
      </c>
      <c r="BV24" s="168">
        <f t="shared" si="27"/>
        <v>694.44444444444446</v>
      </c>
      <c r="BW24" s="169">
        <f t="shared" si="44"/>
        <v>8333.3333333333339</v>
      </c>
      <c r="BX24" s="179">
        <f t="shared" si="45"/>
        <v>8333.3333333333303</v>
      </c>
      <c r="BY24" s="180">
        <f t="shared" si="46"/>
        <v>694.44444444444446</v>
      </c>
      <c r="BZ24" s="178">
        <f t="shared" si="28"/>
        <v>694.44444444444446</v>
      </c>
      <c r="CA24" s="178">
        <f t="shared" si="28"/>
        <v>694.44444444444446</v>
      </c>
      <c r="CB24" s="178">
        <f t="shared" si="28"/>
        <v>694.44444444444446</v>
      </c>
      <c r="CC24" s="178">
        <f t="shared" si="28"/>
        <v>694.44444444444446</v>
      </c>
      <c r="CD24" s="178">
        <f t="shared" si="28"/>
        <v>694.44444444444446</v>
      </c>
      <c r="CE24" s="178">
        <f t="shared" si="28"/>
        <v>694.44444444444446</v>
      </c>
      <c r="CF24" s="178">
        <f t="shared" si="28"/>
        <v>694.44444444444446</v>
      </c>
      <c r="CG24" s="178">
        <f t="shared" si="28"/>
        <v>694.44444444444446</v>
      </c>
      <c r="CH24" s="178">
        <f t="shared" si="28"/>
        <v>694.44444444444446</v>
      </c>
      <c r="CI24" s="178">
        <f t="shared" si="28"/>
        <v>694.44444444444446</v>
      </c>
      <c r="CJ24" s="168">
        <f t="shared" si="28"/>
        <v>694.44444444444446</v>
      </c>
      <c r="CK24" s="169">
        <f t="shared" si="47"/>
        <v>8333.3333333333339</v>
      </c>
      <c r="CL24" s="179">
        <f t="shared" si="48"/>
        <v>6999.9999999999973</v>
      </c>
      <c r="CM24" s="180">
        <f t="shared" si="49"/>
        <v>0</v>
      </c>
      <c r="CN24" s="178">
        <f t="shared" si="29"/>
        <v>0</v>
      </c>
      <c r="CO24" s="178">
        <f t="shared" si="29"/>
        <v>0</v>
      </c>
      <c r="CP24" s="178">
        <f t="shared" si="29"/>
        <v>0</v>
      </c>
      <c r="CQ24" s="178">
        <f t="shared" si="29"/>
        <v>0</v>
      </c>
      <c r="CR24" s="178">
        <f t="shared" si="29"/>
        <v>0</v>
      </c>
      <c r="CS24" s="178">
        <f t="shared" si="29"/>
        <v>0</v>
      </c>
      <c r="CT24" s="178">
        <f t="shared" si="29"/>
        <v>0</v>
      </c>
      <c r="CU24" s="178">
        <f t="shared" si="29"/>
        <v>0</v>
      </c>
      <c r="CV24" s="178">
        <f t="shared" si="29"/>
        <v>0</v>
      </c>
      <c r="CW24" s="178">
        <f t="shared" si="29"/>
        <v>0</v>
      </c>
      <c r="CX24" s="168">
        <f t="shared" si="29"/>
        <v>0</v>
      </c>
      <c r="CY24" s="169">
        <f t="shared" si="50"/>
        <v>0</v>
      </c>
      <c r="CZ24" s="179">
        <f t="shared" si="51"/>
        <v>0</v>
      </c>
      <c r="DA24" s="180">
        <f t="shared" si="52"/>
        <v>0</v>
      </c>
      <c r="DB24" s="178">
        <f t="shared" si="30"/>
        <v>0</v>
      </c>
      <c r="DC24" s="178">
        <f t="shared" si="30"/>
        <v>0</v>
      </c>
      <c r="DD24" s="178">
        <f t="shared" si="30"/>
        <v>0</v>
      </c>
      <c r="DE24" s="178">
        <f t="shared" si="30"/>
        <v>0</v>
      </c>
      <c r="DF24" s="178">
        <f t="shared" si="30"/>
        <v>0</v>
      </c>
      <c r="DG24" s="178">
        <f t="shared" si="30"/>
        <v>0</v>
      </c>
      <c r="DH24" s="178">
        <f t="shared" si="30"/>
        <v>0</v>
      </c>
      <c r="DI24" s="178">
        <f t="shared" si="30"/>
        <v>0</v>
      </c>
      <c r="DJ24" s="178">
        <f t="shared" si="30"/>
        <v>0</v>
      </c>
      <c r="DK24" s="178">
        <f t="shared" si="30"/>
        <v>0</v>
      </c>
      <c r="DL24" s="168">
        <f t="shared" si="30"/>
        <v>0</v>
      </c>
      <c r="DM24" s="169">
        <f t="shared" si="53"/>
        <v>0</v>
      </c>
      <c r="DN24" s="171">
        <f t="shared" si="54"/>
        <v>0</v>
      </c>
      <c r="DO24" s="180">
        <f t="shared" si="55"/>
        <v>0</v>
      </c>
      <c r="DP24" s="178">
        <f t="shared" si="31"/>
        <v>0</v>
      </c>
      <c r="DQ24" s="178">
        <f t="shared" si="31"/>
        <v>0</v>
      </c>
      <c r="DR24" s="178">
        <f t="shared" si="31"/>
        <v>0</v>
      </c>
      <c r="DS24" s="178">
        <f t="shared" si="31"/>
        <v>0</v>
      </c>
      <c r="DT24" s="178">
        <f t="shared" si="31"/>
        <v>0</v>
      </c>
      <c r="DU24" s="178">
        <f t="shared" si="31"/>
        <v>0</v>
      </c>
      <c r="DV24" s="178">
        <f t="shared" si="31"/>
        <v>0</v>
      </c>
      <c r="DW24" s="178">
        <f t="shared" si="31"/>
        <v>0</v>
      </c>
      <c r="DX24" s="178">
        <f t="shared" si="31"/>
        <v>0</v>
      </c>
      <c r="DY24" s="178">
        <f t="shared" si="31"/>
        <v>0</v>
      </c>
      <c r="DZ24" s="168">
        <f t="shared" si="31"/>
        <v>0</v>
      </c>
      <c r="EA24" s="169">
        <f t="shared" si="56"/>
        <v>0</v>
      </c>
      <c r="EB24" s="171">
        <f t="shared" si="57"/>
        <v>0</v>
      </c>
    </row>
    <row r="25" spans="1:132" s="177" customFormat="1" ht="15.75">
      <c r="A25" s="163">
        <v>43060</v>
      </c>
      <c r="B25" s="164" t="s">
        <v>90</v>
      </c>
      <c r="C25" s="165" t="s">
        <v>161</v>
      </c>
      <c r="D25" s="166">
        <v>800</v>
      </c>
      <c r="E25" s="167">
        <v>1</v>
      </c>
      <c r="F25" s="168">
        <f t="shared" si="22"/>
        <v>800</v>
      </c>
      <c r="G25" s="169">
        <f t="shared" si="32"/>
        <v>0</v>
      </c>
      <c r="H25" s="178">
        <f t="shared" si="23"/>
        <v>0</v>
      </c>
      <c r="I25" s="178">
        <f t="shared" si="23"/>
        <v>0</v>
      </c>
      <c r="J25" s="178">
        <f t="shared" si="23"/>
        <v>0</v>
      </c>
      <c r="K25" s="178">
        <f t="shared" si="23"/>
        <v>0</v>
      </c>
      <c r="L25" s="178">
        <f t="shared" si="23"/>
        <v>0</v>
      </c>
      <c r="M25" s="178">
        <f t="shared" si="23"/>
        <v>0</v>
      </c>
      <c r="N25" s="178">
        <f t="shared" si="23"/>
        <v>0</v>
      </c>
      <c r="O25" s="178">
        <f t="shared" si="23"/>
        <v>0</v>
      </c>
      <c r="P25" s="178">
        <f t="shared" si="23"/>
        <v>0</v>
      </c>
      <c r="Q25" s="178">
        <f t="shared" si="23"/>
        <v>0</v>
      </c>
      <c r="R25" s="179">
        <f t="shared" si="23"/>
        <v>0</v>
      </c>
      <c r="S25" s="169">
        <f t="shared" si="58"/>
        <v>0</v>
      </c>
      <c r="T25" s="179">
        <f t="shared" si="33"/>
        <v>0</v>
      </c>
      <c r="U25" s="180">
        <f t="shared" si="34"/>
        <v>0</v>
      </c>
      <c r="V25" s="178">
        <f t="shared" si="24"/>
        <v>0</v>
      </c>
      <c r="W25" s="178">
        <f t="shared" si="24"/>
        <v>0</v>
      </c>
      <c r="X25" s="178">
        <f t="shared" si="24"/>
        <v>0</v>
      </c>
      <c r="Y25" s="178">
        <f t="shared" si="24"/>
        <v>0</v>
      </c>
      <c r="Z25" s="178">
        <f t="shared" si="24"/>
        <v>0</v>
      </c>
      <c r="AA25" s="178">
        <f t="shared" si="24"/>
        <v>0</v>
      </c>
      <c r="AB25" s="178">
        <f t="shared" si="24"/>
        <v>0</v>
      </c>
      <c r="AC25" s="178">
        <f t="shared" si="24"/>
        <v>0</v>
      </c>
      <c r="AD25" s="178">
        <f t="shared" si="24"/>
        <v>0</v>
      </c>
      <c r="AE25" s="178">
        <f t="shared" si="24"/>
        <v>0</v>
      </c>
      <c r="AF25" s="168">
        <f t="shared" si="24"/>
        <v>0</v>
      </c>
      <c r="AG25" s="169">
        <f t="shared" si="35"/>
        <v>0</v>
      </c>
      <c r="AH25" s="179">
        <f t="shared" si="36"/>
        <v>0</v>
      </c>
      <c r="AI25" s="180">
        <f t="shared" si="37"/>
        <v>0</v>
      </c>
      <c r="AJ25" s="178">
        <f t="shared" si="25"/>
        <v>0</v>
      </c>
      <c r="AK25" s="178">
        <f t="shared" si="25"/>
        <v>0</v>
      </c>
      <c r="AL25" s="178">
        <f t="shared" si="25"/>
        <v>0</v>
      </c>
      <c r="AM25" s="178">
        <f t="shared" si="25"/>
        <v>0</v>
      </c>
      <c r="AN25" s="178">
        <f t="shared" si="25"/>
        <v>0</v>
      </c>
      <c r="AO25" s="178">
        <f t="shared" si="25"/>
        <v>0</v>
      </c>
      <c r="AP25" s="178">
        <f t="shared" si="25"/>
        <v>0</v>
      </c>
      <c r="AQ25" s="178">
        <f t="shared" si="25"/>
        <v>0</v>
      </c>
      <c r="AR25" s="178">
        <f t="shared" si="25"/>
        <v>0</v>
      </c>
      <c r="AS25" s="178">
        <f t="shared" si="25"/>
        <v>0</v>
      </c>
      <c r="AT25" s="168">
        <f t="shared" si="25"/>
        <v>0</v>
      </c>
      <c r="AU25" s="169">
        <f t="shared" si="38"/>
        <v>0</v>
      </c>
      <c r="AV25" s="179">
        <f t="shared" si="39"/>
        <v>0</v>
      </c>
      <c r="AW25" s="180">
        <f t="shared" si="40"/>
        <v>66.666666666666671</v>
      </c>
      <c r="AX25" s="178">
        <f t="shared" si="26"/>
        <v>66.666666666666671</v>
      </c>
      <c r="AY25" s="178">
        <f t="shared" si="26"/>
        <v>66.666666666666671</v>
      </c>
      <c r="AZ25" s="178">
        <f t="shared" si="26"/>
        <v>66.666666666666671</v>
      </c>
      <c r="BA25" s="178">
        <f t="shared" si="26"/>
        <v>66.666666666666671</v>
      </c>
      <c r="BB25" s="178">
        <f t="shared" si="26"/>
        <v>66.666666666666671</v>
      </c>
      <c r="BC25" s="178">
        <f t="shared" si="26"/>
        <v>66.666666666666671</v>
      </c>
      <c r="BD25" s="178">
        <f t="shared" si="26"/>
        <v>66.666666666666671</v>
      </c>
      <c r="BE25" s="178">
        <f t="shared" si="26"/>
        <v>66.666666666666671</v>
      </c>
      <c r="BF25" s="178">
        <f t="shared" si="26"/>
        <v>66.666666666666671</v>
      </c>
      <c r="BG25" s="178">
        <f t="shared" si="26"/>
        <v>66.666666666666671</v>
      </c>
      <c r="BH25" s="168">
        <f t="shared" si="26"/>
        <v>66.666666666666671</v>
      </c>
      <c r="BI25" s="169">
        <f t="shared" si="41"/>
        <v>799.99999999999989</v>
      </c>
      <c r="BJ25" s="179">
        <f t="shared" si="42"/>
        <v>1.1368683772161603E-13</v>
      </c>
      <c r="BK25" s="180">
        <f t="shared" si="43"/>
        <v>0</v>
      </c>
      <c r="BL25" s="178">
        <f t="shared" si="27"/>
        <v>0</v>
      </c>
      <c r="BM25" s="178">
        <f t="shared" si="27"/>
        <v>0</v>
      </c>
      <c r="BN25" s="178">
        <f t="shared" si="27"/>
        <v>0</v>
      </c>
      <c r="BO25" s="178">
        <f t="shared" si="27"/>
        <v>0</v>
      </c>
      <c r="BP25" s="178">
        <f t="shared" si="27"/>
        <v>0</v>
      </c>
      <c r="BQ25" s="178">
        <f t="shared" si="27"/>
        <v>0</v>
      </c>
      <c r="BR25" s="178">
        <f t="shared" si="27"/>
        <v>0</v>
      </c>
      <c r="BS25" s="178">
        <f t="shared" si="27"/>
        <v>0</v>
      </c>
      <c r="BT25" s="178">
        <f t="shared" si="27"/>
        <v>0</v>
      </c>
      <c r="BU25" s="178">
        <f t="shared" si="27"/>
        <v>0</v>
      </c>
      <c r="BV25" s="168">
        <f t="shared" si="27"/>
        <v>0</v>
      </c>
      <c r="BW25" s="169">
        <f t="shared" si="44"/>
        <v>0</v>
      </c>
      <c r="BX25" s="179">
        <f t="shared" si="45"/>
        <v>0</v>
      </c>
      <c r="BY25" s="180">
        <f t="shared" si="46"/>
        <v>0</v>
      </c>
      <c r="BZ25" s="178">
        <f t="shared" si="28"/>
        <v>0</v>
      </c>
      <c r="CA25" s="178">
        <f t="shared" si="28"/>
        <v>0</v>
      </c>
      <c r="CB25" s="178">
        <f t="shared" si="28"/>
        <v>0</v>
      </c>
      <c r="CC25" s="178">
        <f t="shared" si="28"/>
        <v>0</v>
      </c>
      <c r="CD25" s="178">
        <f t="shared" si="28"/>
        <v>0</v>
      </c>
      <c r="CE25" s="178">
        <f t="shared" si="28"/>
        <v>0</v>
      </c>
      <c r="CF25" s="178">
        <f t="shared" si="28"/>
        <v>0</v>
      </c>
      <c r="CG25" s="178">
        <f t="shared" si="28"/>
        <v>0</v>
      </c>
      <c r="CH25" s="178">
        <f t="shared" si="28"/>
        <v>0</v>
      </c>
      <c r="CI25" s="178">
        <f t="shared" si="28"/>
        <v>0</v>
      </c>
      <c r="CJ25" s="168">
        <f t="shared" si="28"/>
        <v>0</v>
      </c>
      <c r="CK25" s="169">
        <f t="shared" si="47"/>
        <v>0</v>
      </c>
      <c r="CL25" s="179">
        <f t="shared" si="48"/>
        <v>0</v>
      </c>
      <c r="CM25" s="180">
        <f t="shared" si="49"/>
        <v>0</v>
      </c>
      <c r="CN25" s="178">
        <f t="shared" si="29"/>
        <v>0</v>
      </c>
      <c r="CO25" s="178">
        <f t="shared" si="29"/>
        <v>0</v>
      </c>
      <c r="CP25" s="178">
        <f t="shared" si="29"/>
        <v>0</v>
      </c>
      <c r="CQ25" s="178">
        <f t="shared" si="29"/>
        <v>0</v>
      </c>
      <c r="CR25" s="178">
        <f t="shared" si="29"/>
        <v>0</v>
      </c>
      <c r="CS25" s="178">
        <f t="shared" si="29"/>
        <v>0</v>
      </c>
      <c r="CT25" s="178">
        <f t="shared" si="29"/>
        <v>0</v>
      </c>
      <c r="CU25" s="178">
        <f t="shared" si="29"/>
        <v>0</v>
      </c>
      <c r="CV25" s="178">
        <f t="shared" si="29"/>
        <v>0</v>
      </c>
      <c r="CW25" s="178">
        <f t="shared" si="29"/>
        <v>0</v>
      </c>
      <c r="CX25" s="168">
        <f t="shared" si="29"/>
        <v>0</v>
      </c>
      <c r="CY25" s="169">
        <f t="shared" si="50"/>
        <v>0</v>
      </c>
      <c r="CZ25" s="179">
        <f t="shared" si="51"/>
        <v>0</v>
      </c>
      <c r="DA25" s="180">
        <f t="shared" si="52"/>
        <v>0</v>
      </c>
      <c r="DB25" s="178">
        <f t="shared" si="30"/>
        <v>0</v>
      </c>
      <c r="DC25" s="178">
        <f t="shared" si="30"/>
        <v>0</v>
      </c>
      <c r="DD25" s="178">
        <f t="shared" si="30"/>
        <v>0</v>
      </c>
      <c r="DE25" s="178">
        <f t="shared" si="30"/>
        <v>0</v>
      </c>
      <c r="DF25" s="178">
        <f t="shared" si="30"/>
        <v>0</v>
      </c>
      <c r="DG25" s="178">
        <f t="shared" si="30"/>
        <v>0</v>
      </c>
      <c r="DH25" s="178">
        <f t="shared" si="30"/>
        <v>0</v>
      </c>
      <c r="DI25" s="178">
        <f t="shared" si="30"/>
        <v>0</v>
      </c>
      <c r="DJ25" s="178">
        <f t="shared" si="30"/>
        <v>0</v>
      </c>
      <c r="DK25" s="178">
        <f t="shared" si="30"/>
        <v>0</v>
      </c>
      <c r="DL25" s="168">
        <f t="shared" si="30"/>
        <v>0</v>
      </c>
      <c r="DM25" s="169">
        <f t="shared" si="53"/>
        <v>0</v>
      </c>
      <c r="DN25" s="171">
        <f t="shared" si="54"/>
        <v>0</v>
      </c>
      <c r="DO25" s="180">
        <f t="shared" si="55"/>
        <v>0</v>
      </c>
      <c r="DP25" s="178">
        <f t="shared" si="31"/>
        <v>0</v>
      </c>
      <c r="DQ25" s="178">
        <f t="shared" si="31"/>
        <v>0</v>
      </c>
      <c r="DR25" s="178">
        <f t="shared" si="31"/>
        <v>0</v>
      </c>
      <c r="DS25" s="178">
        <f t="shared" si="31"/>
        <v>0</v>
      </c>
      <c r="DT25" s="178">
        <f t="shared" si="31"/>
        <v>0</v>
      </c>
      <c r="DU25" s="178">
        <f t="shared" si="31"/>
        <v>0</v>
      </c>
      <c r="DV25" s="178">
        <f t="shared" si="31"/>
        <v>0</v>
      </c>
      <c r="DW25" s="178">
        <f t="shared" si="31"/>
        <v>0</v>
      </c>
      <c r="DX25" s="178">
        <f t="shared" si="31"/>
        <v>0</v>
      </c>
      <c r="DY25" s="178">
        <f t="shared" si="31"/>
        <v>0</v>
      </c>
      <c r="DZ25" s="168">
        <f t="shared" si="31"/>
        <v>0</v>
      </c>
      <c r="EA25" s="169">
        <f t="shared" si="56"/>
        <v>0</v>
      </c>
      <c r="EB25" s="171">
        <f t="shared" si="57"/>
        <v>0</v>
      </c>
    </row>
    <row r="26" spans="1:132" s="177" customFormat="1" ht="15.75">
      <c r="A26" s="163">
        <v>43060</v>
      </c>
      <c r="B26" s="164" t="s">
        <v>90</v>
      </c>
      <c r="C26" s="165" t="s">
        <v>162</v>
      </c>
      <c r="D26" s="166">
        <v>1800</v>
      </c>
      <c r="E26" s="167">
        <v>5</v>
      </c>
      <c r="F26" s="168">
        <f t="shared" si="22"/>
        <v>360</v>
      </c>
      <c r="G26" s="169">
        <f t="shared" si="32"/>
        <v>0</v>
      </c>
      <c r="H26" s="178">
        <f t="shared" si="32"/>
        <v>0</v>
      </c>
      <c r="I26" s="178">
        <f t="shared" si="32"/>
        <v>0</v>
      </c>
      <c r="J26" s="178">
        <f t="shared" si="32"/>
        <v>0</v>
      </c>
      <c r="K26" s="178">
        <f t="shared" si="32"/>
        <v>0</v>
      </c>
      <c r="L26" s="178">
        <f t="shared" si="32"/>
        <v>0</v>
      </c>
      <c r="M26" s="178">
        <f t="shared" si="32"/>
        <v>0</v>
      </c>
      <c r="N26" s="178">
        <f t="shared" si="32"/>
        <v>0</v>
      </c>
      <c r="O26" s="178">
        <f t="shared" si="32"/>
        <v>0</v>
      </c>
      <c r="P26" s="178">
        <f t="shared" si="32"/>
        <v>0</v>
      </c>
      <c r="Q26" s="178">
        <f t="shared" si="32"/>
        <v>0</v>
      </c>
      <c r="R26" s="179">
        <f t="shared" si="32"/>
        <v>0</v>
      </c>
      <c r="S26" s="169">
        <f t="shared" si="58"/>
        <v>0</v>
      </c>
      <c r="T26" s="179">
        <f t="shared" si="33"/>
        <v>0</v>
      </c>
      <c r="U26" s="180">
        <f t="shared" si="34"/>
        <v>0</v>
      </c>
      <c r="V26" s="178">
        <f t="shared" si="34"/>
        <v>0</v>
      </c>
      <c r="W26" s="178">
        <f t="shared" si="34"/>
        <v>0</v>
      </c>
      <c r="X26" s="178">
        <f t="shared" si="34"/>
        <v>0</v>
      </c>
      <c r="Y26" s="178">
        <f t="shared" si="34"/>
        <v>0</v>
      </c>
      <c r="Z26" s="178">
        <f t="shared" si="34"/>
        <v>0</v>
      </c>
      <c r="AA26" s="178">
        <f t="shared" si="34"/>
        <v>0</v>
      </c>
      <c r="AB26" s="178">
        <f t="shared" si="34"/>
        <v>0</v>
      </c>
      <c r="AC26" s="178">
        <f t="shared" si="34"/>
        <v>0</v>
      </c>
      <c r="AD26" s="178">
        <f t="shared" si="34"/>
        <v>0</v>
      </c>
      <c r="AE26" s="178">
        <f t="shared" si="34"/>
        <v>0</v>
      </c>
      <c r="AF26" s="168">
        <f t="shared" si="34"/>
        <v>0</v>
      </c>
      <c r="AG26" s="169">
        <f t="shared" si="35"/>
        <v>0</v>
      </c>
      <c r="AH26" s="179">
        <f t="shared" si="36"/>
        <v>0</v>
      </c>
      <c r="AI26" s="180">
        <f t="shared" si="37"/>
        <v>0</v>
      </c>
      <c r="AJ26" s="178">
        <f t="shared" si="37"/>
        <v>0</v>
      </c>
      <c r="AK26" s="178">
        <f t="shared" si="37"/>
        <v>0</v>
      </c>
      <c r="AL26" s="178">
        <f t="shared" si="37"/>
        <v>0</v>
      </c>
      <c r="AM26" s="178">
        <f t="shared" si="37"/>
        <v>0</v>
      </c>
      <c r="AN26" s="178">
        <f t="shared" si="37"/>
        <v>0</v>
      </c>
      <c r="AO26" s="178">
        <f t="shared" si="37"/>
        <v>0</v>
      </c>
      <c r="AP26" s="178">
        <f t="shared" si="37"/>
        <v>0</v>
      </c>
      <c r="AQ26" s="178">
        <f t="shared" si="37"/>
        <v>0</v>
      </c>
      <c r="AR26" s="178">
        <f t="shared" si="37"/>
        <v>0</v>
      </c>
      <c r="AS26" s="178">
        <f t="shared" si="37"/>
        <v>0</v>
      </c>
      <c r="AT26" s="168">
        <f t="shared" si="37"/>
        <v>0</v>
      </c>
      <c r="AU26" s="169">
        <f t="shared" si="38"/>
        <v>0</v>
      </c>
      <c r="AV26" s="179">
        <f t="shared" si="39"/>
        <v>0</v>
      </c>
      <c r="AW26" s="180">
        <f t="shared" si="40"/>
        <v>30</v>
      </c>
      <c r="AX26" s="178">
        <f t="shared" si="40"/>
        <v>30</v>
      </c>
      <c r="AY26" s="178">
        <f t="shared" si="40"/>
        <v>30</v>
      </c>
      <c r="AZ26" s="178">
        <f t="shared" si="40"/>
        <v>30</v>
      </c>
      <c r="BA26" s="178">
        <f t="shared" si="40"/>
        <v>30</v>
      </c>
      <c r="BB26" s="178">
        <f t="shared" si="40"/>
        <v>30</v>
      </c>
      <c r="BC26" s="178">
        <f t="shared" si="40"/>
        <v>30</v>
      </c>
      <c r="BD26" s="178">
        <f t="shared" si="40"/>
        <v>30</v>
      </c>
      <c r="BE26" s="178">
        <f t="shared" si="40"/>
        <v>30</v>
      </c>
      <c r="BF26" s="178">
        <f t="shared" si="40"/>
        <v>30</v>
      </c>
      <c r="BG26" s="178">
        <f t="shared" si="40"/>
        <v>30</v>
      </c>
      <c r="BH26" s="168">
        <f t="shared" si="40"/>
        <v>30</v>
      </c>
      <c r="BI26" s="169">
        <f t="shared" si="41"/>
        <v>360</v>
      </c>
      <c r="BJ26" s="179">
        <f t="shared" si="42"/>
        <v>1440</v>
      </c>
      <c r="BK26" s="180">
        <f t="shared" si="43"/>
        <v>30</v>
      </c>
      <c r="BL26" s="178">
        <f t="shared" si="43"/>
        <v>30</v>
      </c>
      <c r="BM26" s="178">
        <f t="shared" si="43"/>
        <v>30</v>
      </c>
      <c r="BN26" s="178">
        <f t="shared" si="43"/>
        <v>30</v>
      </c>
      <c r="BO26" s="178">
        <f t="shared" si="43"/>
        <v>30</v>
      </c>
      <c r="BP26" s="178">
        <f t="shared" si="43"/>
        <v>30</v>
      </c>
      <c r="BQ26" s="178">
        <f t="shared" si="43"/>
        <v>30</v>
      </c>
      <c r="BR26" s="178">
        <f t="shared" si="43"/>
        <v>30</v>
      </c>
      <c r="BS26" s="178">
        <f t="shared" si="43"/>
        <v>30</v>
      </c>
      <c r="BT26" s="178">
        <f t="shared" si="43"/>
        <v>30</v>
      </c>
      <c r="BU26" s="178">
        <f t="shared" si="43"/>
        <v>30</v>
      </c>
      <c r="BV26" s="168">
        <f t="shared" si="43"/>
        <v>30</v>
      </c>
      <c r="BW26" s="169">
        <f t="shared" si="44"/>
        <v>360</v>
      </c>
      <c r="BX26" s="179">
        <f t="shared" si="45"/>
        <v>1080</v>
      </c>
      <c r="BY26" s="180">
        <f t="shared" si="46"/>
        <v>30</v>
      </c>
      <c r="BZ26" s="178">
        <f t="shared" si="46"/>
        <v>30</v>
      </c>
      <c r="CA26" s="178">
        <f t="shared" si="46"/>
        <v>30</v>
      </c>
      <c r="CB26" s="178">
        <f t="shared" si="46"/>
        <v>30</v>
      </c>
      <c r="CC26" s="178">
        <f t="shared" si="46"/>
        <v>30</v>
      </c>
      <c r="CD26" s="178">
        <f t="shared" si="46"/>
        <v>30</v>
      </c>
      <c r="CE26" s="178">
        <f t="shared" si="46"/>
        <v>30</v>
      </c>
      <c r="CF26" s="178">
        <f t="shared" si="46"/>
        <v>30</v>
      </c>
      <c r="CG26" s="178">
        <f t="shared" si="46"/>
        <v>30</v>
      </c>
      <c r="CH26" s="178">
        <f t="shared" si="46"/>
        <v>30</v>
      </c>
      <c r="CI26" s="178">
        <f t="shared" si="46"/>
        <v>30</v>
      </c>
      <c r="CJ26" s="168">
        <f t="shared" si="46"/>
        <v>30</v>
      </c>
      <c r="CK26" s="169">
        <f t="shared" si="47"/>
        <v>360</v>
      </c>
      <c r="CL26" s="179">
        <f t="shared" si="48"/>
        <v>-253.33333333333326</v>
      </c>
      <c r="CM26" s="180">
        <f t="shared" si="49"/>
        <v>0</v>
      </c>
      <c r="CN26" s="178">
        <f t="shared" si="49"/>
        <v>0</v>
      </c>
      <c r="CO26" s="178">
        <f t="shared" si="49"/>
        <v>0</v>
      </c>
      <c r="CP26" s="178">
        <f t="shared" si="49"/>
        <v>0</v>
      </c>
      <c r="CQ26" s="178">
        <f t="shared" si="49"/>
        <v>0</v>
      </c>
      <c r="CR26" s="178">
        <f t="shared" si="49"/>
        <v>0</v>
      </c>
      <c r="CS26" s="178">
        <f t="shared" si="49"/>
        <v>0</v>
      </c>
      <c r="CT26" s="178">
        <f t="shared" si="49"/>
        <v>0</v>
      </c>
      <c r="CU26" s="178">
        <f t="shared" si="49"/>
        <v>0</v>
      </c>
      <c r="CV26" s="178">
        <f t="shared" si="49"/>
        <v>0</v>
      </c>
      <c r="CW26" s="178">
        <f t="shared" si="49"/>
        <v>0</v>
      </c>
      <c r="CX26" s="168">
        <f t="shared" si="49"/>
        <v>0</v>
      </c>
      <c r="CY26" s="169">
        <f t="shared" si="50"/>
        <v>0</v>
      </c>
      <c r="CZ26" s="179">
        <f t="shared" si="51"/>
        <v>0</v>
      </c>
      <c r="DA26" s="180">
        <f t="shared" si="52"/>
        <v>0</v>
      </c>
      <c r="DB26" s="178">
        <f t="shared" si="52"/>
        <v>0</v>
      </c>
      <c r="DC26" s="178">
        <f t="shared" si="52"/>
        <v>0</v>
      </c>
      <c r="DD26" s="178">
        <f t="shared" si="52"/>
        <v>0</v>
      </c>
      <c r="DE26" s="178">
        <f t="shared" si="52"/>
        <v>0</v>
      </c>
      <c r="DF26" s="178">
        <f t="shared" si="52"/>
        <v>0</v>
      </c>
      <c r="DG26" s="178">
        <f t="shared" si="52"/>
        <v>0</v>
      </c>
      <c r="DH26" s="178">
        <f t="shared" si="52"/>
        <v>0</v>
      </c>
      <c r="DI26" s="178">
        <f t="shared" si="52"/>
        <v>0</v>
      </c>
      <c r="DJ26" s="178">
        <f t="shared" si="52"/>
        <v>0</v>
      </c>
      <c r="DK26" s="178">
        <f t="shared" si="52"/>
        <v>0</v>
      </c>
      <c r="DL26" s="168">
        <f t="shared" si="52"/>
        <v>0</v>
      </c>
      <c r="DM26" s="169">
        <f t="shared" si="53"/>
        <v>0</v>
      </c>
      <c r="DN26" s="171">
        <f t="shared" si="54"/>
        <v>0</v>
      </c>
      <c r="DO26" s="180">
        <f t="shared" si="55"/>
        <v>0</v>
      </c>
      <c r="DP26" s="178">
        <f t="shared" si="55"/>
        <v>0</v>
      </c>
      <c r="DQ26" s="178">
        <f t="shared" si="55"/>
        <v>0</v>
      </c>
      <c r="DR26" s="178">
        <f t="shared" si="55"/>
        <v>0</v>
      </c>
      <c r="DS26" s="178">
        <f t="shared" si="55"/>
        <v>0</v>
      </c>
      <c r="DT26" s="178">
        <f t="shared" si="55"/>
        <v>0</v>
      </c>
      <c r="DU26" s="178">
        <f t="shared" si="55"/>
        <v>0</v>
      </c>
      <c r="DV26" s="178">
        <f t="shared" si="55"/>
        <v>0</v>
      </c>
      <c r="DW26" s="178">
        <f t="shared" si="55"/>
        <v>0</v>
      </c>
      <c r="DX26" s="178">
        <f t="shared" si="55"/>
        <v>0</v>
      </c>
      <c r="DY26" s="178">
        <f t="shared" si="55"/>
        <v>0</v>
      </c>
      <c r="DZ26" s="168">
        <f t="shared" si="55"/>
        <v>0</v>
      </c>
      <c r="EA26" s="169">
        <f t="shared" si="56"/>
        <v>0</v>
      </c>
      <c r="EB26" s="171">
        <f t="shared" si="57"/>
        <v>0</v>
      </c>
    </row>
    <row r="27" spans="1:132" s="177" customFormat="1" ht="15.75">
      <c r="A27" s="163">
        <v>43083</v>
      </c>
      <c r="B27" s="164" t="s">
        <v>90</v>
      </c>
      <c r="C27" s="165" t="s">
        <v>154</v>
      </c>
      <c r="D27" s="166">
        <v>13000</v>
      </c>
      <c r="E27" s="167">
        <v>5</v>
      </c>
      <c r="F27" s="168">
        <f t="shared" si="22"/>
        <v>2600</v>
      </c>
      <c r="G27" s="169">
        <f t="shared" si="32"/>
        <v>0</v>
      </c>
      <c r="H27" s="178">
        <f t="shared" si="32"/>
        <v>0</v>
      </c>
      <c r="I27" s="178">
        <f t="shared" si="32"/>
        <v>0</v>
      </c>
      <c r="J27" s="178">
        <f t="shared" si="32"/>
        <v>0</v>
      </c>
      <c r="K27" s="178">
        <f t="shared" si="32"/>
        <v>0</v>
      </c>
      <c r="L27" s="178">
        <f t="shared" si="32"/>
        <v>0</v>
      </c>
      <c r="M27" s="178">
        <f t="shared" si="32"/>
        <v>0</v>
      </c>
      <c r="N27" s="178">
        <f t="shared" si="32"/>
        <v>0</v>
      </c>
      <c r="O27" s="178">
        <f t="shared" si="32"/>
        <v>0</v>
      </c>
      <c r="P27" s="178">
        <f t="shared" si="32"/>
        <v>0</v>
      </c>
      <c r="Q27" s="178">
        <f t="shared" si="32"/>
        <v>0</v>
      </c>
      <c r="R27" s="179">
        <f t="shared" si="32"/>
        <v>0</v>
      </c>
      <c r="S27" s="169">
        <f t="shared" si="58"/>
        <v>0</v>
      </c>
      <c r="T27" s="179">
        <f t="shared" si="33"/>
        <v>0</v>
      </c>
      <c r="U27" s="180">
        <f t="shared" si="34"/>
        <v>0</v>
      </c>
      <c r="V27" s="178">
        <f t="shared" si="34"/>
        <v>0</v>
      </c>
      <c r="W27" s="178">
        <f t="shared" si="34"/>
        <v>0</v>
      </c>
      <c r="X27" s="178">
        <f t="shared" si="34"/>
        <v>0</v>
      </c>
      <c r="Y27" s="178">
        <f t="shared" si="34"/>
        <v>0</v>
      </c>
      <c r="Z27" s="178">
        <f t="shared" si="34"/>
        <v>0</v>
      </c>
      <c r="AA27" s="178">
        <f t="shared" si="34"/>
        <v>0</v>
      </c>
      <c r="AB27" s="178">
        <f t="shared" si="34"/>
        <v>0</v>
      </c>
      <c r="AC27" s="178">
        <f t="shared" si="34"/>
        <v>0</v>
      </c>
      <c r="AD27" s="178">
        <f t="shared" si="34"/>
        <v>0</v>
      </c>
      <c r="AE27" s="178">
        <f t="shared" si="34"/>
        <v>0</v>
      </c>
      <c r="AF27" s="168">
        <f t="shared" si="34"/>
        <v>0</v>
      </c>
      <c r="AG27" s="169">
        <f t="shared" si="35"/>
        <v>0</v>
      </c>
      <c r="AH27" s="179">
        <f t="shared" si="36"/>
        <v>0</v>
      </c>
      <c r="AI27" s="180">
        <f t="shared" si="37"/>
        <v>0</v>
      </c>
      <c r="AJ27" s="178">
        <f t="shared" si="37"/>
        <v>0</v>
      </c>
      <c r="AK27" s="178">
        <f t="shared" si="37"/>
        <v>0</v>
      </c>
      <c r="AL27" s="178">
        <f t="shared" si="37"/>
        <v>0</v>
      </c>
      <c r="AM27" s="178">
        <f t="shared" si="37"/>
        <v>0</v>
      </c>
      <c r="AN27" s="178">
        <f t="shared" si="37"/>
        <v>0</v>
      </c>
      <c r="AO27" s="178">
        <f t="shared" si="37"/>
        <v>0</v>
      </c>
      <c r="AP27" s="178">
        <f t="shared" si="37"/>
        <v>0</v>
      </c>
      <c r="AQ27" s="178">
        <f t="shared" si="37"/>
        <v>0</v>
      </c>
      <c r="AR27" s="178">
        <f t="shared" si="37"/>
        <v>0</v>
      </c>
      <c r="AS27" s="178">
        <f t="shared" si="37"/>
        <v>0</v>
      </c>
      <c r="AT27" s="168">
        <f t="shared" si="37"/>
        <v>0</v>
      </c>
      <c r="AU27" s="169">
        <f t="shared" si="38"/>
        <v>0</v>
      </c>
      <c r="AV27" s="179">
        <f t="shared" si="39"/>
        <v>0</v>
      </c>
      <c r="AW27" s="180">
        <f t="shared" si="40"/>
        <v>0</v>
      </c>
      <c r="AX27" s="178">
        <f t="shared" si="40"/>
        <v>216.66666666666666</v>
      </c>
      <c r="AY27" s="178">
        <f t="shared" si="40"/>
        <v>216.66666666666666</v>
      </c>
      <c r="AZ27" s="178">
        <f t="shared" si="40"/>
        <v>216.66666666666666</v>
      </c>
      <c r="BA27" s="178">
        <f t="shared" si="40"/>
        <v>216.66666666666666</v>
      </c>
      <c r="BB27" s="178">
        <f t="shared" si="40"/>
        <v>216.66666666666666</v>
      </c>
      <c r="BC27" s="178">
        <f t="shared" si="40"/>
        <v>216.66666666666666</v>
      </c>
      <c r="BD27" s="178">
        <f t="shared" si="40"/>
        <v>216.66666666666666</v>
      </c>
      <c r="BE27" s="178">
        <f t="shared" si="40"/>
        <v>216.66666666666666</v>
      </c>
      <c r="BF27" s="178">
        <f t="shared" si="40"/>
        <v>216.66666666666666</v>
      </c>
      <c r="BG27" s="178">
        <f t="shared" si="40"/>
        <v>216.66666666666666</v>
      </c>
      <c r="BH27" s="168">
        <f t="shared" si="40"/>
        <v>216.66666666666666</v>
      </c>
      <c r="BI27" s="169">
        <f t="shared" si="41"/>
        <v>2383.3333333333335</v>
      </c>
      <c r="BJ27" s="179">
        <f t="shared" si="42"/>
        <v>10616.666666666666</v>
      </c>
      <c r="BK27" s="180">
        <f t="shared" si="43"/>
        <v>216.66666666666666</v>
      </c>
      <c r="BL27" s="178">
        <f t="shared" si="43"/>
        <v>216.66666666666666</v>
      </c>
      <c r="BM27" s="178">
        <f t="shared" si="43"/>
        <v>216.66666666666666</v>
      </c>
      <c r="BN27" s="178">
        <f t="shared" si="43"/>
        <v>216.66666666666666</v>
      </c>
      <c r="BO27" s="178">
        <f t="shared" si="43"/>
        <v>216.66666666666666</v>
      </c>
      <c r="BP27" s="178">
        <f t="shared" si="43"/>
        <v>216.66666666666666</v>
      </c>
      <c r="BQ27" s="178">
        <f t="shared" si="43"/>
        <v>216.66666666666666</v>
      </c>
      <c r="BR27" s="178">
        <f t="shared" si="43"/>
        <v>216.66666666666666</v>
      </c>
      <c r="BS27" s="178">
        <f t="shared" si="43"/>
        <v>216.66666666666666</v>
      </c>
      <c r="BT27" s="178">
        <f t="shared" si="43"/>
        <v>216.66666666666666</v>
      </c>
      <c r="BU27" s="178">
        <f t="shared" si="43"/>
        <v>216.66666666666666</v>
      </c>
      <c r="BV27" s="168">
        <f t="shared" si="43"/>
        <v>216.66666666666666</v>
      </c>
      <c r="BW27" s="169">
        <f t="shared" si="44"/>
        <v>2600</v>
      </c>
      <c r="BX27" s="179">
        <f t="shared" si="45"/>
        <v>8016.6666666666661</v>
      </c>
      <c r="BY27" s="180">
        <f t="shared" si="46"/>
        <v>216.66666666666666</v>
      </c>
      <c r="BZ27" s="178">
        <f t="shared" si="46"/>
        <v>216.66666666666666</v>
      </c>
      <c r="CA27" s="178">
        <f t="shared" si="46"/>
        <v>216.66666666666666</v>
      </c>
      <c r="CB27" s="178">
        <f t="shared" si="46"/>
        <v>216.66666666666666</v>
      </c>
      <c r="CC27" s="178">
        <f t="shared" si="46"/>
        <v>216.66666666666666</v>
      </c>
      <c r="CD27" s="178">
        <f t="shared" si="46"/>
        <v>216.66666666666666</v>
      </c>
      <c r="CE27" s="178">
        <f t="shared" si="46"/>
        <v>216.66666666666666</v>
      </c>
      <c r="CF27" s="178">
        <f t="shared" si="46"/>
        <v>216.66666666666666</v>
      </c>
      <c r="CG27" s="178">
        <f t="shared" si="46"/>
        <v>216.66666666666666</v>
      </c>
      <c r="CH27" s="178">
        <f t="shared" si="46"/>
        <v>216.66666666666666</v>
      </c>
      <c r="CI27" s="178">
        <f t="shared" si="46"/>
        <v>216.66666666666666</v>
      </c>
      <c r="CJ27" s="168">
        <f t="shared" si="46"/>
        <v>216.66666666666666</v>
      </c>
      <c r="CK27" s="169">
        <f t="shared" si="47"/>
        <v>2600</v>
      </c>
      <c r="CL27" s="179">
        <f t="shared" si="48"/>
        <v>6683.333333333333</v>
      </c>
      <c r="CM27" s="180">
        <f t="shared" si="49"/>
        <v>216.66666666666666</v>
      </c>
      <c r="CN27" s="178">
        <f t="shared" si="49"/>
        <v>216.66666666666666</v>
      </c>
      <c r="CO27" s="178">
        <f t="shared" si="49"/>
        <v>216.66666666666666</v>
      </c>
      <c r="CP27" s="178">
        <f t="shared" si="49"/>
        <v>216.66666666666666</v>
      </c>
      <c r="CQ27" s="178">
        <f t="shared" si="49"/>
        <v>216.66666666666666</v>
      </c>
      <c r="CR27" s="178">
        <f t="shared" si="49"/>
        <v>216.66666666666666</v>
      </c>
      <c r="CS27" s="178">
        <f t="shared" si="49"/>
        <v>216.66666666666666</v>
      </c>
      <c r="CT27" s="178">
        <f t="shared" si="49"/>
        <v>216.66666666666666</v>
      </c>
      <c r="CU27" s="178">
        <f t="shared" si="49"/>
        <v>216.66666666666666</v>
      </c>
      <c r="CV27" s="178">
        <f t="shared" si="49"/>
        <v>216.66666666666666</v>
      </c>
      <c r="CW27" s="178">
        <f t="shared" si="49"/>
        <v>216.66666666666666</v>
      </c>
      <c r="CX27" s="168">
        <f t="shared" si="49"/>
        <v>216.66666666666666</v>
      </c>
      <c r="CY27" s="169">
        <f t="shared" si="50"/>
        <v>2600</v>
      </c>
      <c r="CZ27" s="179">
        <f t="shared" si="51"/>
        <v>2816.6666666666661</v>
      </c>
      <c r="DA27" s="180">
        <f t="shared" si="52"/>
        <v>216.66666666666666</v>
      </c>
      <c r="DB27" s="178">
        <f t="shared" si="52"/>
        <v>216.66666666666666</v>
      </c>
      <c r="DC27" s="178">
        <f t="shared" si="52"/>
        <v>216.66666666666666</v>
      </c>
      <c r="DD27" s="178">
        <f t="shared" si="52"/>
        <v>216.66666666666666</v>
      </c>
      <c r="DE27" s="178">
        <f t="shared" si="52"/>
        <v>216.66666666666666</v>
      </c>
      <c r="DF27" s="178">
        <f t="shared" si="52"/>
        <v>216.66666666666666</v>
      </c>
      <c r="DG27" s="178">
        <f t="shared" si="52"/>
        <v>216.66666666666666</v>
      </c>
      <c r="DH27" s="178">
        <f t="shared" si="52"/>
        <v>216.66666666666666</v>
      </c>
      <c r="DI27" s="178">
        <f t="shared" si="52"/>
        <v>216.66666666666666</v>
      </c>
      <c r="DJ27" s="178">
        <f t="shared" si="52"/>
        <v>216.66666666666666</v>
      </c>
      <c r="DK27" s="178">
        <f t="shared" si="52"/>
        <v>216.66666666666666</v>
      </c>
      <c r="DL27" s="168">
        <f t="shared" si="52"/>
        <v>216.66666666666666</v>
      </c>
      <c r="DM27" s="169">
        <f t="shared" si="53"/>
        <v>2600</v>
      </c>
      <c r="DN27" s="171">
        <f t="shared" si="54"/>
        <v>1483.333333333333</v>
      </c>
      <c r="DO27" s="180">
        <f t="shared" si="55"/>
        <v>216.66666666666666</v>
      </c>
      <c r="DP27" s="178">
        <f t="shared" si="55"/>
        <v>0</v>
      </c>
      <c r="DQ27" s="178">
        <f t="shared" si="55"/>
        <v>0</v>
      </c>
      <c r="DR27" s="178">
        <f t="shared" si="55"/>
        <v>0</v>
      </c>
      <c r="DS27" s="178">
        <f t="shared" si="55"/>
        <v>0</v>
      </c>
      <c r="DT27" s="178">
        <f t="shared" si="55"/>
        <v>0</v>
      </c>
      <c r="DU27" s="178">
        <f t="shared" si="55"/>
        <v>0</v>
      </c>
      <c r="DV27" s="178">
        <f t="shared" si="55"/>
        <v>0</v>
      </c>
      <c r="DW27" s="178">
        <f t="shared" si="55"/>
        <v>0</v>
      </c>
      <c r="DX27" s="178">
        <f t="shared" si="55"/>
        <v>0</v>
      </c>
      <c r="DY27" s="178">
        <f t="shared" si="55"/>
        <v>0</v>
      </c>
      <c r="DZ27" s="168">
        <f t="shared" si="55"/>
        <v>0</v>
      </c>
      <c r="EA27" s="169">
        <f t="shared" si="56"/>
        <v>216.66666666666666</v>
      </c>
      <c r="EB27" s="171">
        <f t="shared" si="57"/>
        <v>5199.9999999999991</v>
      </c>
    </row>
    <row r="28" spans="1:132" s="177" customFormat="1" ht="15.75">
      <c r="A28" s="163">
        <v>43086</v>
      </c>
      <c r="B28" s="164" t="s">
        <v>90</v>
      </c>
      <c r="C28" s="165" t="s">
        <v>167</v>
      </c>
      <c r="D28" s="166">
        <v>1400</v>
      </c>
      <c r="E28" s="167">
        <v>3</v>
      </c>
      <c r="F28" s="168"/>
      <c r="G28" s="169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9"/>
      <c r="S28" s="169"/>
      <c r="T28" s="179"/>
      <c r="U28" s="180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68"/>
      <c r="AG28" s="169"/>
      <c r="AH28" s="179"/>
      <c r="AI28" s="180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68"/>
      <c r="AU28" s="169"/>
      <c r="AV28" s="179"/>
      <c r="AW28" s="180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68"/>
      <c r="BI28" s="169"/>
      <c r="BJ28" s="179"/>
      <c r="BK28" s="180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68"/>
      <c r="BW28" s="169"/>
      <c r="BX28" s="179"/>
      <c r="BY28" s="180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68"/>
      <c r="CK28" s="169"/>
      <c r="CL28" s="179"/>
      <c r="CM28" s="180"/>
      <c r="CN28" s="178"/>
      <c r="CO28" s="178"/>
      <c r="CP28" s="178"/>
      <c r="CQ28" s="178"/>
      <c r="CR28" s="178"/>
      <c r="CS28" s="178"/>
      <c r="CT28" s="178"/>
      <c r="CU28" s="178"/>
      <c r="CV28" s="178"/>
      <c r="CW28" s="178"/>
      <c r="CX28" s="168"/>
      <c r="CY28" s="169"/>
      <c r="CZ28" s="179"/>
      <c r="DA28" s="180"/>
      <c r="DB28" s="178"/>
      <c r="DC28" s="178"/>
      <c r="DD28" s="178"/>
      <c r="DE28" s="178"/>
      <c r="DF28" s="178"/>
      <c r="DG28" s="178"/>
      <c r="DH28" s="178"/>
      <c r="DI28" s="178"/>
      <c r="DJ28" s="178"/>
      <c r="DK28" s="178"/>
      <c r="DL28" s="168"/>
      <c r="DM28" s="169"/>
      <c r="DN28" s="171"/>
      <c r="DO28" s="180"/>
      <c r="DP28" s="178"/>
      <c r="DQ28" s="178"/>
      <c r="DR28" s="178"/>
      <c r="DS28" s="178"/>
      <c r="DT28" s="178"/>
      <c r="DU28" s="178"/>
      <c r="DV28" s="178"/>
      <c r="DW28" s="178"/>
      <c r="DX28" s="178"/>
      <c r="DY28" s="178"/>
      <c r="DZ28" s="168"/>
      <c r="EA28" s="169"/>
      <c r="EB28" s="171"/>
    </row>
    <row r="29" spans="1:132" s="177" customFormat="1" ht="15.75">
      <c r="A29" s="163">
        <v>43088</v>
      </c>
      <c r="B29" s="164" t="s">
        <v>90</v>
      </c>
      <c r="C29" s="165" t="s">
        <v>163</v>
      </c>
      <c r="D29" s="166">
        <v>380</v>
      </c>
      <c r="E29" s="167">
        <v>3</v>
      </c>
      <c r="F29" s="168">
        <f t="shared" si="22"/>
        <v>126.66666666666667</v>
      </c>
      <c r="G29" s="169">
        <f t="shared" si="32"/>
        <v>0</v>
      </c>
      <c r="H29" s="178">
        <f t="shared" si="32"/>
        <v>0</v>
      </c>
      <c r="I29" s="178">
        <f t="shared" si="32"/>
        <v>0</v>
      </c>
      <c r="J29" s="178">
        <f t="shared" si="32"/>
        <v>0</v>
      </c>
      <c r="K29" s="178">
        <f t="shared" si="32"/>
        <v>0</v>
      </c>
      <c r="L29" s="178">
        <f t="shared" si="32"/>
        <v>0</v>
      </c>
      <c r="M29" s="178">
        <f t="shared" si="32"/>
        <v>0</v>
      </c>
      <c r="N29" s="178">
        <f t="shared" si="32"/>
        <v>0</v>
      </c>
      <c r="O29" s="178">
        <f t="shared" si="32"/>
        <v>0</v>
      </c>
      <c r="P29" s="178">
        <f t="shared" si="32"/>
        <v>0</v>
      </c>
      <c r="Q29" s="178">
        <f t="shared" si="32"/>
        <v>0</v>
      </c>
      <c r="R29" s="179">
        <f t="shared" si="32"/>
        <v>0</v>
      </c>
      <c r="S29" s="169">
        <f t="shared" si="58"/>
        <v>0</v>
      </c>
      <c r="T29" s="179">
        <f t="shared" si="33"/>
        <v>0</v>
      </c>
      <c r="U29" s="180">
        <f t="shared" si="34"/>
        <v>0</v>
      </c>
      <c r="V29" s="178">
        <f t="shared" si="34"/>
        <v>0</v>
      </c>
      <c r="W29" s="178">
        <f t="shared" si="34"/>
        <v>0</v>
      </c>
      <c r="X29" s="178">
        <f t="shared" si="34"/>
        <v>0</v>
      </c>
      <c r="Y29" s="178">
        <f t="shared" si="34"/>
        <v>0</v>
      </c>
      <c r="Z29" s="178">
        <f t="shared" si="34"/>
        <v>0</v>
      </c>
      <c r="AA29" s="178">
        <f t="shared" si="34"/>
        <v>0</v>
      </c>
      <c r="AB29" s="178">
        <f t="shared" si="34"/>
        <v>0</v>
      </c>
      <c r="AC29" s="178">
        <f t="shared" si="34"/>
        <v>0</v>
      </c>
      <c r="AD29" s="178">
        <f t="shared" si="34"/>
        <v>0</v>
      </c>
      <c r="AE29" s="178">
        <f t="shared" si="34"/>
        <v>0</v>
      </c>
      <c r="AF29" s="168">
        <f t="shared" si="34"/>
        <v>0</v>
      </c>
      <c r="AG29" s="169">
        <f t="shared" si="35"/>
        <v>0</v>
      </c>
      <c r="AH29" s="179">
        <f t="shared" si="36"/>
        <v>0</v>
      </c>
      <c r="AI29" s="180">
        <f t="shared" si="37"/>
        <v>0</v>
      </c>
      <c r="AJ29" s="178">
        <f t="shared" si="37"/>
        <v>0</v>
      </c>
      <c r="AK29" s="178">
        <f t="shared" si="37"/>
        <v>0</v>
      </c>
      <c r="AL29" s="178">
        <f t="shared" si="37"/>
        <v>0</v>
      </c>
      <c r="AM29" s="178">
        <f t="shared" si="37"/>
        <v>0</v>
      </c>
      <c r="AN29" s="178">
        <f t="shared" si="37"/>
        <v>0</v>
      </c>
      <c r="AO29" s="178">
        <f t="shared" si="37"/>
        <v>0</v>
      </c>
      <c r="AP29" s="178">
        <f t="shared" si="37"/>
        <v>0</v>
      </c>
      <c r="AQ29" s="178">
        <f t="shared" si="37"/>
        <v>0</v>
      </c>
      <c r="AR29" s="178">
        <f t="shared" si="37"/>
        <v>0</v>
      </c>
      <c r="AS29" s="178">
        <f t="shared" si="37"/>
        <v>0</v>
      </c>
      <c r="AT29" s="168">
        <f t="shared" si="37"/>
        <v>0</v>
      </c>
      <c r="AU29" s="169">
        <f t="shared" si="38"/>
        <v>0</v>
      </c>
      <c r="AV29" s="179">
        <f t="shared" si="39"/>
        <v>0</v>
      </c>
      <c r="AW29" s="180">
        <f t="shared" si="40"/>
        <v>0</v>
      </c>
      <c r="AX29" s="178">
        <f t="shared" si="40"/>
        <v>10.555555555555555</v>
      </c>
      <c r="AY29" s="178">
        <f t="shared" si="40"/>
        <v>10.555555555555555</v>
      </c>
      <c r="AZ29" s="178">
        <f t="shared" si="40"/>
        <v>10.555555555555555</v>
      </c>
      <c r="BA29" s="178">
        <f t="shared" si="40"/>
        <v>10.555555555555555</v>
      </c>
      <c r="BB29" s="178">
        <f t="shared" si="40"/>
        <v>10.555555555555555</v>
      </c>
      <c r="BC29" s="178">
        <f t="shared" si="40"/>
        <v>10.555555555555555</v>
      </c>
      <c r="BD29" s="178">
        <f t="shared" si="40"/>
        <v>10.555555555555555</v>
      </c>
      <c r="BE29" s="178">
        <f t="shared" si="40"/>
        <v>10.555555555555555</v>
      </c>
      <c r="BF29" s="178">
        <f t="shared" si="40"/>
        <v>10.555555555555555</v>
      </c>
      <c r="BG29" s="178">
        <f t="shared" si="40"/>
        <v>10.555555555555555</v>
      </c>
      <c r="BH29" s="168">
        <f t="shared" si="40"/>
        <v>10.555555555555555</v>
      </c>
      <c r="BI29" s="169">
        <f t="shared" si="41"/>
        <v>116.11111111111111</v>
      </c>
      <c r="BJ29" s="179">
        <f t="shared" si="42"/>
        <v>263.88888888888891</v>
      </c>
      <c r="BK29" s="180">
        <f t="shared" si="43"/>
        <v>10.555555555555555</v>
      </c>
      <c r="BL29" s="178">
        <f t="shared" si="43"/>
        <v>10.555555555555555</v>
      </c>
      <c r="BM29" s="178">
        <f t="shared" si="43"/>
        <v>10.555555555555555</v>
      </c>
      <c r="BN29" s="178">
        <f t="shared" si="43"/>
        <v>10.555555555555555</v>
      </c>
      <c r="BO29" s="178">
        <f t="shared" si="43"/>
        <v>10.555555555555555</v>
      </c>
      <c r="BP29" s="178">
        <f t="shared" si="43"/>
        <v>10.555555555555555</v>
      </c>
      <c r="BQ29" s="178">
        <f t="shared" si="43"/>
        <v>10.555555555555555</v>
      </c>
      <c r="BR29" s="178">
        <f t="shared" si="43"/>
        <v>10.555555555555555</v>
      </c>
      <c r="BS29" s="178">
        <f t="shared" si="43"/>
        <v>10.555555555555555</v>
      </c>
      <c r="BT29" s="178">
        <f t="shared" si="43"/>
        <v>10.555555555555555</v>
      </c>
      <c r="BU29" s="178">
        <f t="shared" si="43"/>
        <v>10.555555555555555</v>
      </c>
      <c r="BV29" s="168">
        <f t="shared" si="43"/>
        <v>10.555555555555555</v>
      </c>
      <c r="BW29" s="169">
        <f t="shared" si="44"/>
        <v>126.66666666666667</v>
      </c>
      <c r="BX29" s="179">
        <f t="shared" si="45"/>
        <v>137.22222222222223</v>
      </c>
      <c r="BY29" s="180">
        <f t="shared" si="46"/>
        <v>10.555555555555555</v>
      </c>
      <c r="BZ29" s="178">
        <f t="shared" si="46"/>
        <v>10.555555555555555</v>
      </c>
      <c r="CA29" s="178">
        <f t="shared" si="46"/>
        <v>10.555555555555555</v>
      </c>
      <c r="CB29" s="178">
        <f t="shared" si="46"/>
        <v>10.555555555555555</v>
      </c>
      <c r="CC29" s="178">
        <f t="shared" si="46"/>
        <v>10.555555555555555</v>
      </c>
      <c r="CD29" s="178">
        <f t="shared" si="46"/>
        <v>10.555555555555555</v>
      </c>
      <c r="CE29" s="178">
        <f t="shared" si="46"/>
        <v>10.555555555555555</v>
      </c>
      <c r="CF29" s="178">
        <f t="shared" si="46"/>
        <v>10.555555555555555</v>
      </c>
      <c r="CG29" s="178">
        <f t="shared" si="46"/>
        <v>10.555555555555555</v>
      </c>
      <c r="CH29" s="178">
        <f t="shared" si="46"/>
        <v>10.555555555555555</v>
      </c>
      <c r="CI29" s="178">
        <f t="shared" si="46"/>
        <v>10.555555555555555</v>
      </c>
      <c r="CJ29" s="168">
        <f t="shared" si="46"/>
        <v>10.555555555555555</v>
      </c>
      <c r="CK29" s="169">
        <f t="shared" si="47"/>
        <v>126.66666666666667</v>
      </c>
      <c r="CL29" s="179">
        <f t="shared" si="48"/>
        <v>-1196.1111111111111</v>
      </c>
      <c r="CM29" s="180">
        <f t="shared" si="49"/>
        <v>0</v>
      </c>
      <c r="CN29" s="178">
        <f t="shared" si="49"/>
        <v>0</v>
      </c>
      <c r="CO29" s="178">
        <f t="shared" si="49"/>
        <v>0</v>
      </c>
      <c r="CP29" s="178">
        <f t="shared" si="49"/>
        <v>0</v>
      </c>
      <c r="CQ29" s="178">
        <f t="shared" si="49"/>
        <v>0</v>
      </c>
      <c r="CR29" s="178">
        <f t="shared" si="49"/>
        <v>0</v>
      </c>
      <c r="CS29" s="178">
        <f t="shared" si="49"/>
        <v>0</v>
      </c>
      <c r="CT29" s="178">
        <f t="shared" si="49"/>
        <v>0</v>
      </c>
      <c r="CU29" s="178">
        <f t="shared" si="49"/>
        <v>0</v>
      </c>
      <c r="CV29" s="178">
        <f t="shared" si="49"/>
        <v>0</v>
      </c>
      <c r="CW29" s="178">
        <f t="shared" si="49"/>
        <v>0</v>
      </c>
      <c r="CX29" s="168">
        <f t="shared" si="49"/>
        <v>0</v>
      </c>
      <c r="CY29" s="169">
        <f t="shared" si="50"/>
        <v>0</v>
      </c>
      <c r="CZ29" s="179">
        <f t="shared" si="51"/>
        <v>0</v>
      </c>
      <c r="DA29" s="180">
        <f t="shared" si="52"/>
        <v>0</v>
      </c>
      <c r="DB29" s="178">
        <f t="shared" si="52"/>
        <v>0</v>
      </c>
      <c r="DC29" s="178">
        <f t="shared" si="52"/>
        <v>0</v>
      </c>
      <c r="DD29" s="178">
        <f t="shared" si="52"/>
        <v>0</v>
      </c>
      <c r="DE29" s="178">
        <f t="shared" si="52"/>
        <v>0</v>
      </c>
      <c r="DF29" s="178">
        <f t="shared" si="52"/>
        <v>0</v>
      </c>
      <c r="DG29" s="178">
        <f t="shared" si="52"/>
        <v>0</v>
      </c>
      <c r="DH29" s="178">
        <f t="shared" si="52"/>
        <v>0</v>
      </c>
      <c r="DI29" s="178">
        <f t="shared" si="52"/>
        <v>0</v>
      </c>
      <c r="DJ29" s="178">
        <f t="shared" si="52"/>
        <v>0</v>
      </c>
      <c r="DK29" s="178">
        <f t="shared" si="52"/>
        <v>0</v>
      </c>
      <c r="DL29" s="168">
        <f t="shared" si="52"/>
        <v>0</v>
      </c>
      <c r="DM29" s="169">
        <f t="shared" si="53"/>
        <v>0</v>
      </c>
      <c r="DN29" s="171">
        <f t="shared" si="54"/>
        <v>0</v>
      </c>
      <c r="DO29" s="180">
        <f t="shared" si="55"/>
        <v>0</v>
      </c>
      <c r="DP29" s="178">
        <f t="shared" si="55"/>
        <v>0</v>
      </c>
      <c r="DQ29" s="178">
        <f t="shared" si="55"/>
        <v>0</v>
      </c>
      <c r="DR29" s="178">
        <f t="shared" si="55"/>
        <v>0</v>
      </c>
      <c r="DS29" s="178">
        <f t="shared" si="55"/>
        <v>0</v>
      </c>
      <c r="DT29" s="178">
        <f t="shared" si="55"/>
        <v>0</v>
      </c>
      <c r="DU29" s="178">
        <f t="shared" si="55"/>
        <v>0</v>
      </c>
      <c r="DV29" s="178">
        <f t="shared" si="55"/>
        <v>0</v>
      </c>
      <c r="DW29" s="178">
        <f t="shared" si="55"/>
        <v>0</v>
      </c>
      <c r="DX29" s="178">
        <f t="shared" si="55"/>
        <v>0</v>
      </c>
      <c r="DY29" s="178">
        <f t="shared" si="55"/>
        <v>0</v>
      </c>
      <c r="DZ29" s="168">
        <f t="shared" si="55"/>
        <v>0</v>
      </c>
      <c r="EA29" s="169">
        <f t="shared" si="56"/>
        <v>0</v>
      </c>
      <c r="EB29" s="171">
        <f t="shared" si="57"/>
        <v>0</v>
      </c>
    </row>
    <row r="30" spans="1:132" s="177" customFormat="1" ht="15.75">
      <c r="A30" s="163">
        <v>43088</v>
      </c>
      <c r="B30" s="164" t="s">
        <v>90</v>
      </c>
      <c r="C30" s="165" t="s">
        <v>164</v>
      </c>
      <c r="D30" s="166">
        <v>100</v>
      </c>
      <c r="E30" s="167">
        <v>3</v>
      </c>
      <c r="F30" s="168">
        <f t="shared" si="22"/>
        <v>33.333333333333336</v>
      </c>
      <c r="G30" s="169">
        <f t="shared" si="32"/>
        <v>0</v>
      </c>
      <c r="H30" s="178">
        <f t="shared" si="32"/>
        <v>0</v>
      </c>
      <c r="I30" s="178">
        <f t="shared" si="32"/>
        <v>0</v>
      </c>
      <c r="J30" s="178">
        <f t="shared" si="32"/>
        <v>0</v>
      </c>
      <c r="K30" s="178">
        <f t="shared" si="32"/>
        <v>0</v>
      </c>
      <c r="L30" s="178">
        <f t="shared" si="32"/>
        <v>0</v>
      </c>
      <c r="M30" s="178">
        <f t="shared" si="32"/>
        <v>0</v>
      </c>
      <c r="N30" s="178">
        <f t="shared" si="32"/>
        <v>0</v>
      </c>
      <c r="O30" s="178">
        <f t="shared" si="32"/>
        <v>0</v>
      </c>
      <c r="P30" s="178">
        <f t="shared" si="32"/>
        <v>0</v>
      </c>
      <c r="Q30" s="178">
        <f t="shared" si="32"/>
        <v>0</v>
      </c>
      <c r="R30" s="179">
        <f t="shared" si="32"/>
        <v>0</v>
      </c>
      <c r="S30" s="169">
        <f t="shared" si="58"/>
        <v>0</v>
      </c>
      <c r="T30" s="179">
        <f t="shared" si="33"/>
        <v>0</v>
      </c>
      <c r="U30" s="180">
        <f t="shared" si="34"/>
        <v>0</v>
      </c>
      <c r="V30" s="178">
        <f t="shared" si="34"/>
        <v>0</v>
      </c>
      <c r="W30" s="178">
        <f t="shared" si="34"/>
        <v>0</v>
      </c>
      <c r="X30" s="178">
        <f t="shared" si="34"/>
        <v>0</v>
      </c>
      <c r="Y30" s="178">
        <f t="shared" si="34"/>
        <v>0</v>
      </c>
      <c r="Z30" s="178">
        <f t="shared" si="34"/>
        <v>0</v>
      </c>
      <c r="AA30" s="178">
        <f t="shared" si="34"/>
        <v>0</v>
      </c>
      <c r="AB30" s="178">
        <f t="shared" si="34"/>
        <v>0</v>
      </c>
      <c r="AC30" s="178">
        <f t="shared" si="34"/>
        <v>0</v>
      </c>
      <c r="AD30" s="178">
        <f t="shared" si="34"/>
        <v>0</v>
      </c>
      <c r="AE30" s="178">
        <f t="shared" si="34"/>
        <v>0</v>
      </c>
      <c r="AF30" s="168">
        <f t="shared" si="34"/>
        <v>0</v>
      </c>
      <c r="AG30" s="169">
        <f t="shared" si="35"/>
        <v>0</v>
      </c>
      <c r="AH30" s="179">
        <f t="shared" si="36"/>
        <v>0</v>
      </c>
      <c r="AI30" s="180">
        <f t="shared" si="37"/>
        <v>0</v>
      </c>
      <c r="AJ30" s="178">
        <f t="shared" si="37"/>
        <v>0</v>
      </c>
      <c r="AK30" s="178">
        <f t="shared" si="37"/>
        <v>0</v>
      </c>
      <c r="AL30" s="178">
        <f t="shared" si="37"/>
        <v>0</v>
      </c>
      <c r="AM30" s="178">
        <f t="shared" si="37"/>
        <v>0</v>
      </c>
      <c r="AN30" s="178">
        <f t="shared" si="37"/>
        <v>0</v>
      </c>
      <c r="AO30" s="178">
        <f t="shared" si="37"/>
        <v>0</v>
      </c>
      <c r="AP30" s="178">
        <f t="shared" si="37"/>
        <v>0</v>
      </c>
      <c r="AQ30" s="178">
        <f t="shared" si="37"/>
        <v>0</v>
      </c>
      <c r="AR30" s="178">
        <f t="shared" si="37"/>
        <v>0</v>
      </c>
      <c r="AS30" s="178">
        <f t="shared" si="37"/>
        <v>0</v>
      </c>
      <c r="AT30" s="168">
        <f t="shared" si="37"/>
        <v>0</v>
      </c>
      <c r="AU30" s="169">
        <f t="shared" si="38"/>
        <v>0</v>
      </c>
      <c r="AV30" s="179">
        <f t="shared" si="39"/>
        <v>0</v>
      </c>
      <c r="AW30" s="180">
        <f t="shared" si="40"/>
        <v>0</v>
      </c>
      <c r="AX30" s="178">
        <f t="shared" si="40"/>
        <v>2.7777777777777781</v>
      </c>
      <c r="AY30" s="178">
        <f t="shared" si="40"/>
        <v>2.7777777777777781</v>
      </c>
      <c r="AZ30" s="178">
        <f t="shared" si="40"/>
        <v>2.7777777777777781</v>
      </c>
      <c r="BA30" s="178">
        <f t="shared" si="40"/>
        <v>2.7777777777777781</v>
      </c>
      <c r="BB30" s="178">
        <f t="shared" si="40"/>
        <v>2.7777777777777781</v>
      </c>
      <c r="BC30" s="178">
        <f t="shared" si="40"/>
        <v>2.7777777777777781</v>
      </c>
      <c r="BD30" s="178">
        <f t="shared" si="40"/>
        <v>2.7777777777777781</v>
      </c>
      <c r="BE30" s="178">
        <f t="shared" si="40"/>
        <v>2.7777777777777781</v>
      </c>
      <c r="BF30" s="178">
        <f t="shared" si="40"/>
        <v>2.7777777777777781</v>
      </c>
      <c r="BG30" s="178">
        <f t="shared" si="40"/>
        <v>2.7777777777777781</v>
      </c>
      <c r="BH30" s="168">
        <f t="shared" si="40"/>
        <v>2.7777777777777781</v>
      </c>
      <c r="BI30" s="169">
        <f t="shared" si="41"/>
        <v>30.555555555555561</v>
      </c>
      <c r="BJ30" s="179">
        <f t="shared" si="42"/>
        <v>69.444444444444443</v>
      </c>
      <c r="BK30" s="180">
        <f t="shared" si="43"/>
        <v>2.7777777777777781</v>
      </c>
      <c r="BL30" s="178">
        <f t="shared" si="43"/>
        <v>2.7777777777777781</v>
      </c>
      <c r="BM30" s="178">
        <f t="shared" si="43"/>
        <v>2.7777777777777781</v>
      </c>
      <c r="BN30" s="178">
        <f t="shared" si="43"/>
        <v>2.7777777777777781</v>
      </c>
      <c r="BO30" s="178">
        <f t="shared" si="43"/>
        <v>2.7777777777777781</v>
      </c>
      <c r="BP30" s="178">
        <f t="shared" si="43"/>
        <v>2.7777777777777781</v>
      </c>
      <c r="BQ30" s="178">
        <f t="shared" si="43"/>
        <v>2.7777777777777781</v>
      </c>
      <c r="BR30" s="178">
        <f t="shared" si="43"/>
        <v>2.7777777777777781</v>
      </c>
      <c r="BS30" s="178">
        <f t="shared" si="43"/>
        <v>2.7777777777777781</v>
      </c>
      <c r="BT30" s="178">
        <f t="shared" si="43"/>
        <v>2.7777777777777781</v>
      </c>
      <c r="BU30" s="178">
        <f t="shared" si="43"/>
        <v>2.7777777777777781</v>
      </c>
      <c r="BV30" s="168">
        <f t="shared" si="43"/>
        <v>2.7777777777777781</v>
      </c>
      <c r="BW30" s="169">
        <f t="shared" si="44"/>
        <v>33.333333333333336</v>
      </c>
      <c r="BX30" s="179">
        <f t="shared" si="45"/>
        <v>36.111111111111107</v>
      </c>
      <c r="BY30" s="180">
        <f t="shared" si="46"/>
        <v>2.7777777777777781</v>
      </c>
      <c r="BZ30" s="178">
        <f t="shared" si="46"/>
        <v>2.7777777777777781</v>
      </c>
      <c r="CA30" s="178">
        <f t="shared" si="46"/>
        <v>2.7777777777777781</v>
      </c>
      <c r="CB30" s="178">
        <f t="shared" si="46"/>
        <v>2.7777777777777781</v>
      </c>
      <c r="CC30" s="178">
        <f t="shared" si="46"/>
        <v>2.7777777777777781</v>
      </c>
      <c r="CD30" s="178">
        <f t="shared" si="46"/>
        <v>2.7777777777777781</v>
      </c>
      <c r="CE30" s="178">
        <f t="shared" si="46"/>
        <v>2.7777777777777781</v>
      </c>
      <c r="CF30" s="178">
        <f t="shared" si="46"/>
        <v>2.7777777777777781</v>
      </c>
      <c r="CG30" s="178">
        <f t="shared" si="46"/>
        <v>2.7777777777777781</v>
      </c>
      <c r="CH30" s="178">
        <f t="shared" si="46"/>
        <v>2.7777777777777781</v>
      </c>
      <c r="CI30" s="178">
        <f t="shared" si="46"/>
        <v>2.7777777777777781</v>
      </c>
      <c r="CJ30" s="168">
        <f t="shared" si="46"/>
        <v>2.7777777777777781</v>
      </c>
      <c r="CK30" s="169">
        <f t="shared" si="47"/>
        <v>33.333333333333336</v>
      </c>
      <c r="CL30" s="179">
        <f t="shared" si="48"/>
        <v>-1297.2222222222222</v>
      </c>
      <c r="CM30" s="180">
        <f t="shared" si="49"/>
        <v>0</v>
      </c>
      <c r="CN30" s="178">
        <f t="shared" si="49"/>
        <v>0</v>
      </c>
      <c r="CO30" s="178">
        <f t="shared" si="49"/>
        <v>0</v>
      </c>
      <c r="CP30" s="178">
        <f t="shared" si="49"/>
        <v>0</v>
      </c>
      <c r="CQ30" s="178">
        <f t="shared" si="49"/>
        <v>0</v>
      </c>
      <c r="CR30" s="178">
        <f t="shared" si="49"/>
        <v>0</v>
      </c>
      <c r="CS30" s="178">
        <f t="shared" si="49"/>
        <v>0</v>
      </c>
      <c r="CT30" s="178">
        <f t="shared" si="49"/>
        <v>0</v>
      </c>
      <c r="CU30" s="178">
        <f t="shared" si="49"/>
        <v>0</v>
      </c>
      <c r="CV30" s="178">
        <f t="shared" si="49"/>
        <v>0</v>
      </c>
      <c r="CW30" s="178">
        <f t="shared" si="49"/>
        <v>0</v>
      </c>
      <c r="CX30" s="168">
        <f t="shared" si="49"/>
        <v>0</v>
      </c>
      <c r="CY30" s="169">
        <f t="shared" si="50"/>
        <v>0</v>
      </c>
      <c r="CZ30" s="179">
        <f t="shared" si="51"/>
        <v>0</v>
      </c>
      <c r="DA30" s="180">
        <f t="shared" si="52"/>
        <v>0</v>
      </c>
      <c r="DB30" s="178">
        <f t="shared" si="52"/>
        <v>0</v>
      </c>
      <c r="DC30" s="178">
        <f t="shared" si="52"/>
        <v>0</v>
      </c>
      <c r="DD30" s="178">
        <f t="shared" si="52"/>
        <v>0</v>
      </c>
      <c r="DE30" s="178">
        <f t="shared" si="52"/>
        <v>0</v>
      </c>
      <c r="DF30" s="178">
        <f t="shared" si="52"/>
        <v>0</v>
      </c>
      <c r="DG30" s="178">
        <f t="shared" si="52"/>
        <v>0</v>
      </c>
      <c r="DH30" s="178">
        <f t="shared" si="52"/>
        <v>0</v>
      </c>
      <c r="DI30" s="178">
        <f t="shared" si="52"/>
        <v>0</v>
      </c>
      <c r="DJ30" s="178">
        <f t="shared" si="52"/>
        <v>0</v>
      </c>
      <c r="DK30" s="178">
        <f t="shared" si="52"/>
        <v>0</v>
      </c>
      <c r="DL30" s="168">
        <f t="shared" si="52"/>
        <v>0</v>
      </c>
      <c r="DM30" s="169">
        <f t="shared" si="53"/>
        <v>0</v>
      </c>
      <c r="DN30" s="171">
        <f t="shared" si="54"/>
        <v>0</v>
      </c>
      <c r="DO30" s="180">
        <f t="shared" si="55"/>
        <v>0</v>
      </c>
      <c r="DP30" s="178">
        <f t="shared" si="55"/>
        <v>0</v>
      </c>
      <c r="DQ30" s="178">
        <f t="shared" si="55"/>
        <v>0</v>
      </c>
      <c r="DR30" s="178">
        <f t="shared" si="55"/>
        <v>0</v>
      </c>
      <c r="DS30" s="178">
        <f t="shared" si="55"/>
        <v>0</v>
      </c>
      <c r="DT30" s="178">
        <f t="shared" si="55"/>
        <v>0</v>
      </c>
      <c r="DU30" s="178">
        <f t="shared" si="55"/>
        <v>0</v>
      </c>
      <c r="DV30" s="178">
        <f t="shared" si="55"/>
        <v>0</v>
      </c>
      <c r="DW30" s="178">
        <f t="shared" si="55"/>
        <v>0</v>
      </c>
      <c r="DX30" s="178">
        <f t="shared" si="55"/>
        <v>0</v>
      </c>
      <c r="DY30" s="178">
        <f t="shared" si="55"/>
        <v>0</v>
      </c>
      <c r="DZ30" s="168">
        <f t="shared" si="55"/>
        <v>0</v>
      </c>
      <c r="EA30" s="169">
        <f t="shared" si="56"/>
        <v>0</v>
      </c>
      <c r="EB30" s="171">
        <f t="shared" si="57"/>
        <v>0</v>
      </c>
    </row>
    <row r="31" spans="1:132" s="177" customFormat="1" ht="15.75">
      <c r="A31" s="163">
        <v>43102</v>
      </c>
      <c r="B31" s="164" t="s">
        <v>90</v>
      </c>
      <c r="C31" s="165" t="s">
        <v>165</v>
      </c>
      <c r="D31" s="166">
        <v>1000</v>
      </c>
      <c r="E31" s="167">
        <v>3</v>
      </c>
      <c r="F31" s="168">
        <f t="shared" si="22"/>
        <v>333.33333333333331</v>
      </c>
      <c r="G31" s="169">
        <f t="shared" si="32"/>
        <v>0</v>
      </c>
      <c r="H31" s="178">
        <f t="shared" si="32"/>
        <v>0</v>
      </c>
      <c r="I31" s="178">
        <f t="shared" si="32"/>
        <v>0</v>
      </c>
      <c r="J31" s="178">
        <f t="shared" si="32"/>
        <v>0</v>
      </c>
      <c r="K31" s="178">
        <f t="shared" si="32"/>
        <v>0</v>
      </c>
      <c r="L31" s="178">
        <f t="shared" si="32"/>
        <v>0</v>
      </c>
      <c r="M31" s="178">
        <f t="shared" si="32"/>
        <v>0</v>
      </c>
      <c r="N31" s="178">
        <f t="shared" si="32"/>
        <v>0</v>
      </c>
      <c r="O31" s="178">
        <f t="shared" si="32"/>
        <v>0</v>
      </c>
      <c r="P31" s="178">
        <f t="shared" si="32"/>
        <v>0</v>
      </c>
      <c r="Q31" s="178">
        <f t="shared" si="32"/>
        <v>0</v>
      </c>
      <c r="R31" s="179">
        <f t="shared" si="32"/>
        <v>0</v>
      </c>
      <c r="S31" s="169">
        <f t="shared" si="58"/>
        <v>0</v>
      </c>
      <c r="T31" s="179">
        <f t="shared" si="33"/>
        <v>0</v>
      </c>
      <c r="U31" s="180">
        <f t="shared" si="34"/>
        <v>0</v>
      </c>
      <c r="V31" s="178">
        <f t="shared" si="34"/>
        <v>0</v>
      </c>
      <c r="W31" s="178">
        <f t="shared" si="34"/>
        <v>0</v>
      </c>
      <c r="X31" s="178">
        <f t="shared" si="34"/>
        <v>0</v>
      </c>
      <c r="Y31" s="178">
        <f t="shared" si="34"/>
        <v>0</v>
      </c>
      <c r="Z31" s="178">
        <f t="shared" si="34"/>
        <v>0</v>
      </c>
      <c r="AA31" s="178">
        <f t="shared" si="34"/>
        <v>0</v>
      </c>
      <c r="AB31" s="178">
        <f t="shared" si="34"/>
        <v>0</v>
      </c>
      <c r="AC31" s="178">
        <f t="shared" si="34"/>
        <v>0</v>
      </c>
      <c r="AD31" s="178">
        <f t="shared" si="34"/>
        <v>0</v>
      </c>
      <c r="AE31" s="178">
        <f t="shared" si="34"/>
        <v>0</v>
      </c>
      <c r="AF31" s="168">
        <f t="shared" si="34"/>
        <v>0</v>
      </c>
      <c r="AG31" s="169">
        <f t="shared" si="35"/>
        <v>0</v>
      </c>
      <c r="AH31" s="179">
        <f t="shared" si="36"/>
        <v>0</v>
      </c>
      <c r="AI31" s="180">
        <f t="shared" si="37"/>
        <v>0</v>
      </c>
      <c r="AJ31" s="178">
        <f t="shared" si="37"/>
        <v>0</v>
      </c>
      <c r="AK31" s="178">
        <f t="shared" si="37"/>
        <v>0</v>
      </c>
      <c r="AL31" s="178">
        <f t="shared" si="37"/>
        <v>0</v>
      </c>
      <c r="AM31" s="178">
        <f t="shared" si="37"/>
        <v>0</v>
      </c>
      <c r="AN31" s="178">
        <f t="shared" si="37"/>
        <v>0</v>
      </c>
      <c r="AO31" s="178">
        <f t="shared" si="37"/>
        <v>0</v>
      </c>
      <c r="AP31" s="178">
        <f t="shared" si="37"/>
        <v>0</v>
      </c>
      <c r="AQ31" s="178">
        <f t="shared" si="37"/>
        <v>0</v>
      </c>
      <c r="AR31" s="178">
        <f t="shared" si="37"/>
        <v>0</v>
      </c>
      <c r="AS31" s="178">
        <f t="shared" si="37"/>
        <v>0</v>
      </c>
      <c r="AT31" s="168">
        <f t="shared" si="37"/>
        <v>0</v>
      </c>
      <c r="AU31" s="169">
        <f t="shared" si="38"/>
        <v>0</v>
      </c>
      <c r="AV31" s="179">
        <f t="shared" si="39"/>
        <v>0</v>
      </c>
      <c r="AW31" s="180">
        <f t="shared" si="40"/>
        <v>0</v>
      </c>
      <c r="AX31" s="178">
        <f t="shared" si="40"/>
        <v>0</v>
      </c>
      <c r="AY31" s="178">
        <f t="shared" si="40"/>
        <v>27.777777777777775</v>
      </c>
      <c r="AZ31" s="178">
        <f t="shared" si="40"/>
        <v>27.777777777777775</v>
      </c>
      <c r="BA31" s="178">
        <f t="shared" si="40"/>
        <v>27.777777777777775</v>
      </c>
      <c r="BB31" s="178">
        <f t="shared" si="40"/>
        <v>27.777777777777775</v>
      </c>
      <c r="BC31" s="178">
        <f t="shared" si="40"/>
        <v>27.777777777777775</v>
      </c>
      <c r="BD31" s="178">
        <f t="shared" si="40"/>
        <v>27.777777777777775</v>
      </c>
      <c r="BE31" s="178">
        <f t="shared" si="40"/>
        <v>27.777777777777775</v>
      </c>
      <c r="BF31" s="178">
        <f t="shared" si="40"/>
        <v>27.777777777777775</v>
      </c>
      <c r="BG31" s="178">
        <f t="shared" si="40"/>
        <v>27.777777777777775</v>
      </c>
      <c r="BH31" s="168">
        <f t="shared" si="40"/>
        <v>27.777777777777775</v>
      </c>
      <c r="BI31" s="169">
        <f t="shared" si="41"/>
        <v>277.77777777777777</v>
      </c>
      <c r="BJ31" s="179">
        <f t="shared" si="42"/>
        <v>722.22222222222217</v>
      </c>
      <c r="BK31" s="180">
        <f t="shared" si="43"/>
        <v>27.777777777777775</v>
      </c>
      <c r="BL31" s="178">
        <f t="shared" si="43"/>
        <v>27.777777777777775</v>
      </c>
      <c r="BM31" s="178">
        <f t="shared" si="43"/>
        <v>27.777777777777775</v>
      </c>
      <c r="BN31" s="178">
        <f t="shared" si="43"/>
        <v>27.777777777777775</v>
      </c>
      <c r="BO31" s="178">
        <f t="shared" si="43"/>
        <v>27.777777777777775</v>
      </c>
      <c r="BP31" s="178">
        <f t="shared" si="43"/>
        <v>27.777777777777775</v>
      </c>
      <c r="BQ31" s="178">
        <f t="shared" si="43"/>
        <v>27.777777777777775</v>
      </c>
      <c r="BR31" s="178">
        <f t="shared" si="43"/>
        <v>27.777777777777775</v>
      </c>
      <c r="BS31" s="178">
        <f t="shared" si="43"/>
        <v>27.777777777777775</v>
      </c>
      <c r="BT31" s="178">
        <f t="shared" si="43"/>
        <v>27.777777777777775</v>
      </c>
      <c r="BU31" s="178">
        <f t="shared" si="43"/>
        <v>27.777777777777775</v>
      </c>
      <c r="BV31" s="168">
        <f t="shared" si="43"/>
        <v>27.777777777777775</v>
      </c>
      <c r="BW31" s="169">
        <f t="shared" si="44"/>
        <v>333.33333333333331</v>
      </c>
      <c r="BX31" s="179">
        <f t="shared" si="45"/>
        <v>388.88888888888886</v>
      </c>
      <c r="BY31" s="180">
        <f t="shared" si="46"/>
        <v>27.777777777777775</v>
      </c>
      <c r="BZ31" s="178">
        <f t="shared" si="46"/>
        <v>27.777777777777775</v>
      </c>
      <c r="CA31" s="178">
        <f t="shared" si="46"/>
        <v>27.777777777777775</v>
      </c>
      <c r="CB31" s="178">
        <f t="shared" si="46"/>
        <v>27.777777777777775</v>
      </c>
      <c r="CC31" s="178">
        <f t="shared" si="46"/>
        <v>27.777777777777775</v>
      </c>
      <c r="CD31" s="178">
        <f t="shared" si="46"/>
        <v>27.777777777777775</v>
      </c>
      <c r="CE31" s="178">
        <f t="shared" si="46"/>
        <v>27.777777777777775</v>
      </c>
      <c r="CF31" s="178">
        <f t="shared" si="46"/>
        <v>27.777777777777775</v>
      </c>
      <c r="CG31" s="178">
        <f t="shared" si="46"/>
        <v>27.777777777777775</v>
      </c>
      <c r="CH31" s="178">
        <f t="shared" si="46"/>
        <v>27.777777777777775</v>
      </c>
      <c r="CI31" s="178">
        <f t="shared" si="46"/>
        <v>27.777777777777775</v>
      </c>
      <c r="CJ31" s="168">
        <f t="shared" si="46"/>
        <v>27.777777777777775</v>
      </c>
      <c r="CK31" s="169">
        <f t="shared" si="47"/>
        <v>333.33333333333331</v>
      </c>
      <c r="CL31" s="179">
        <f t="shared" si="48"/>
        <v>-944.44444444444434</v>
      </c>
      <c r="CM31" s="180">
        <f t="shared" si="49"/>
        <v>0</v>
      </c>
      <c r="CN31" s="178">
        <f t="shared" si="49"/>
        <v>0</v>
      </c>
      <c r="CO31" s="178">
        <f t="shared" si="49"/>
        <v>0</v>
      </c>
      <c r="CP31" s="178">
        <f t="shared" si="49"/>
        <v>0</v>
      </c>
      <c r="CQ31" s="178">
        <f t="shared" si="49"/>
        <v>0</v>
      </c>
      <c r="CR31" s="178">
        <f t="shared" si="49"/>
        <v>0</v>
      </c>
      <c r="CS31" s="178">
        <f t="shared" si="49"/>
        <v>0</v>
      </c>
      <c r="CT31" s="178">
        <f t="shared" si="49"/>
        <v>0</v>
      </c>
      <c r="CU31" s="178">
        <f t="shared" si="49"/>
        <v>0</v>
      </c>
      <c r="CV31" s="178">
        <f t="shared" si="49"/>
        <v>0</v>
      </c>
      <c r="CW31" s="178">
        <f t="shared" si="49"/>
        <v>0</v>
      </c>
      <c r="CX31" s="168">
        <f t="shared" si="49"/>
        <v>0</v>
      </c>
      <c r="CY31" s="169">
        <f t="shared" si="50"/>
        <v>0</v>
      </c>
      <c r="CZ31" s="179">
        <f t="shared" si="51"/>
        <v>0</v>
      </c>
      <c r="DA31" s="180">
        <f t="shared" si="52"/>
        <v>0</v>
      </c>
      <c r="DB31" s="178">
        <f t="shared" si="52"/>
        <v>0</v>
      </c>
      <c r="DC31" s="178">
        <f t="shared" si="52"/>
        <v>0</v>
      </c>
      <c r="DD31" s="178">
        <f t="shared" si="52"/>
        <v>0</v>
      </c>
      <c r="DE31" s="178">
        <f t="shared" si="52"/>
        <v>0</v>
      </c>
      <c r="DF31" s="178">
        <f t="shared" si="52"/>
        <v>0</v>
      </c>
      <c r="DG31" s="178">
        <f t="shared" si="52"/>
        <v>0</v>
      </c>
      <c r="DH31" s="178">
        <f t="shared" si="52"/>
        <v>0</v>
      </c>
      <c r="DI31" s="178">
        <f t="shared" si="52"/>
        <v>0</v>
      </c>
      <c r="DJ31" s="178">
        <f t="shared" si="52"/>
        <v>0</v>
      </c>
      <c r="DK31" s="178">
        <f t="shared" si="52"/>
        <v>0</v>
      </c>
      <c r="DL31" s="168">
        <f t="shared" si="52"/>
        <v>0</v>
      </c>
      <c r="DM31" s="169">
        <f t="shared" si="53"/>
        <v>0</v>
      </c>
      <c r="DN31" s="171">
        <f t="shared" si="54"/>
        <v>0</v>
      </c>
      <c r="DO31" s="180">
        <f t="shared" si="55"/>
        <v>0</v>
      </c>
      <c r="DP31" s="178">
        <f t="shared" si="55"/>
        <v>0</v>
      </c>
      <c r="DQ31" s="178">
        <f t="shared" si="55"/>
        <v>0</v>
      </c>
      <c r="DR31" s="178">
        <f t="shared" si="55"/>
        <v>0</v>
      </c>
      <c r="DS31" s="178">
        <f t="shared" si="55"/>
        <v>0</v>
      </c>
      <c r="DT31" s="178">
        <f t="shared" si="55"/>
        <v>0</v>
      </c>
      <c r="DU31" s="178">
        <f t="shared" si="55"/>
        <v>0</v>
      </c>
      <c r="DV31" s="178">
        <f t="shared" si="55"/>
        <v>0</v>
      </c>
      <c r="DW31" s="178">
        <f t="shared" si="55"/>
        <v>0</v>
      </c>
      <c r="DX31" s="178">
        <f t="shared" si="55"/>
        <v>0</v>
      </c>
      <c r="DY31" s="178">
        <f t="shared" si="55"/>
        <v>0</v>
      </c>
      <c r="DZ31" s="168">
        <f t="shared" si="55"/>
        <v>0</v>
      </c>
      <c r="EA31" s="169">
        <f t="shared" si="56"/>
        <v>0</v>
      </c>
      <c r="EB31" s="171">
        <f t="shared" si="57"/>
        <v>0</v>
      </c>
    </row>
    <row r="32" spans="1:132" s="177" customFormat="1" ht="15.75">
      <c r="A32" s="163">
        <v>43102</v>
      </c>
      <c r="B32" s="164" t="s">
        <v>90</v>
      </c>
      <c r="C32" s="165" t="s">
        <v>166</v>
      </c>
      <c r="D32" s="166">
        <v>1500</v>
      </c>
      <c r="E32" s="167">
        <v>5</v>
      </c>
      <c r="F32" s="168">
        <f t="shared" si="22"/>
        <v>300</v>
      </c>
      <c r="G32" s="169">
        <f t="shared" si="32"/>
        <v>0</v>
      </c>
      <c r="H32" s="178">
        <f t="shared" si="32"/>
        <v>0</v>
      </c>
      <c r="I32" s="178">
        <f t="shared" si="32"/>
        <v>0</v>
      </c>
      <c r="J32" s="178">
        <f t="shared" si="32"/>
        <v>0</v>
      </c>
      <c r="K32" s="178">
        <f t="shared" si="32"/>
        <v>0</v>
      </c>
      <c r="L32" s="178">
        <f t="shared" si="32"/>
        <v>0</v>
      </c>
      <c r="M32" s="178">
        <f t="shared" si="32"/>
        <v>0</v>
      </c>
      <c r="N32" s="178">
        <f t="shared" si="32"/>
        <v>0</v>
      </c>
      <c r="O32" s="178">
        <f t="shared" si="32"/>
        <v>0</v>
      </c>
      <c r="P32" s="178">
        <f t="shared" si="32"/>
        <v>0</v>
      </c>
      <c r="Q32" s="178">
        <f t="shared" si="32"/>
        <v>0</v>
      </c>
      <c r="R32" s="179">
        <f t="shared" si="32"/>
        <v>0</v>
      </c>
      <c r="S32" s="169">
        <f t="shared" si="58"/>
        <v>0</v>
      </c>
      <c r="T32" s="179">
        <f t="shared" si="33"/>
        <v>0</v>
      </c>
      <c r="U32" s="180">
        <f t="shared" si="34"/>
        <v>0</v>
      </c>
      <c r="V32" s="178">
        <f t="shared" si="34"/>
        <v>0</v>
      </c>
      <c r="W32" s="178">
        <f t="shared" si="34"/>
        <v>0</v>
      </c>
      <c r="X32" s="178">
        <f t="shared" si="34"/>
        <v>0</v>
      </c>
      <c r="Y32" s="178">
        <f t="shared" si="34"/>
        <v>0</v>
      </c>
      <c r="Z32" s="178">
        <f t="shared" si="34"/>
        <v>0</v>
      </c>
      <c r="AA32" s="178">
        <f t="shared" si="34"/>
        <v>0</v>
      </c>
      <c r="AB32" s="178">
        <f t="shared" si="34"/>
        <v>0</v>
      </c>
      <c r="AC32" s="178">
        <f t="shared" si="34"/>
        <v>0</v>
      </c>
      <c r="AD32" s="178">
        <f t="shared" si="34"/>
        <v>0</v>
      </c>
      <c r="AE32" s="178">
        <f t="shared" si="34"/>
        <v>0</v>
      </c>
      <c r="AF32" s="168">
        <f t="shared" si="34"/>
        <v>0</v>
      </c>
      <c r="AG32" s="169">
        <f t="shared" si="35"/>
        <v>0</v>
      </c>
      <c r="AH32" s="179">
        <f t="shared" si="36"/>
        <v>0</v>
      </c>
      <c r="AI32" s="180">
        <f t="shared" si="37"/>
        <v>0</v>
      </c>
      <c r="AJ32" s="178">
        <f t="shared" si="37"/>
        <v>0</v>
      </c>
      <c r="AK32" s="178">
        <f t="shared" si="37"/>
        <v>0</v>
      </c>
      <c r="AL32" s="178">
        <f t="shared" si="37"/>
        <v>0</v>
      </c>
      <c r="AM32" s="178">
        <f t="shared" si="37"/>
        <v>0</v>
      </c>
      <c r="AN32" s="178">
        <f t="shared" si="37"/>
        <v>0</v>
      </c>
      <c r="AO32" s="178">
        <f t="shared" si="37"/>
        <v>0</v>
      </c>
      <c r="AP32" s="178">
        <f t="shared" si="37"/>
        <v>0</v>
      </c>
      <c r="AQ32" s="178">
        <f t="shared" si="37"/>
        <v>0</v>
      </c>
      <c r="AR32" s="178">
        <f t="shared" si="37"/>
        <v>0</v>
      </c>
      <c r="AS32" s="178">
        <f t="shared" si="37"/>
        <v>0</v>
      </c>
      <c r="AT32" s="168">
        <f t="shared" si="37"/>
        <v>0</v>
      </c>
      <c r="AU32" s="169">
        <f t="shared" si="38"/>
        <v>0</v>
      </c>
      <c r="AV32" s="179">
        <f t="shared" si="39"/>
        <v>0</v>
      </c>
      <c r="AW32" s="180">
        <f t="shared" si="40"/>
        <v>0</v>
      </c>
      <c r="AX32" s="178">
        <f t="shared" si="40"/>
        <v>0</v>
      </c>
      <c r="AY32" s="178">
        <f t="shared" si="40"/>
        <v>25</v>
      </c>
      <c r="AZ32" s="178">
        <f t="shared" si="40"/>
        <v>25</v>
      </c>
      <c r="BA32" s="178">
        <f t="shared" si="40"/>
        <v>25</v>
      </c>
      <c r="BB32" s="178">
        <f t="shared" si="40"/>
        <v>25</v>
      </c>
      <c r="BC32" s="178">
        <f t="shared" si="40"/>
        <v>25</v>
      </c>
      <c r="BD32" s="178">
        <f t="shared" si="40"/>
        <v>25</v>
      </c>
      <c r="BE32" s="178">
        <f t="shared" si="40"/>
        <v>25</v>
      </c>
      <c r="BF32" s="178">
        <f t="shared" si="40"/>
        <v>25</v>
      </c>
      <c r="BG32" s="178">
        <f t="shared" si="40"/>
        <v>25</v>
      </c>
      <c r="BH32" s="168">
        <f t="shared" si="40"/>
        <v>25</v>
      </c>
      <c r="BI32" s="169">
        <f t="shared" si="41"/>
        <v>250</v>
      </c>
      <c r="BJ32" s="179">
        <f t="shared" si="42"/>
        <v>1250</v>
      </c>
      <c r="BK32" s="180">
        <f t="shared" si="43"/>
        <v>25</v>
      </c>
      <c r="BL32" s="178">
        <f t="shared" si="43"/>
        <v>25</v>
      </c>
      <c r="BM32" s="178">
        <f t="shared" si="43"/>
        <v>25</v>
      </c>
      <c r="BN32" s="178">
        <f t="shared" si="43"/>
        <v>25</v>
      </c>
      <c r="BO32" s="178">
        <f t="shared" si="43"/>
        <v>25</v>
      </c>
      <c r="BP32" s="178">
        <f t="shared" si="43"/>
        <v>25</v>
      </c>
      <c r="BQ32" s="178">
        <f t="shared" si="43"/>
        <v>25</v>
      </c>
      <c r="BR32" s="178">
        <f t="shared" si="43"/>
        <v>25</v>
      </c>
      <c r="BS32" s="178">
        <f t="shared" si="43"/>
        <v>25</v>
      </c>
      <c r="BT32" s="178">
        <f t="shared" si="43"/>
        <v>25</v>
      </c>
      <c r="BU32" s="178">
        <f t="shared" si="43"/>
        <v>25</v>
      </c>
      <c r="BV32" s="168">
        <f t="shared" si="43"/>
        <v>25</v>
      </c>
      <c r="BW32" s="169">
        <f t="shared" si="44"/>
        <v>300</v>
      </c>
      <c r="BX32" s="179">
        <f t="shared" si="45"/>
        <v>950</v>
      </c>
      <c r="BY32" s="180">
        <f t="shared" si="46"/>
        <v>25</v>
      </c>
      <c r="BZ32" s="178">
        <f t="shared" si="46"/>
        <v>25</v>
      </c>
      <c r="CA32" s="178">
        <f t="shared" si="46"/>
        <v>25</v>
      </c>
      <c r="CB32" s="178">
        <f t="shared" si="46"/>
        <v>25</v>
      </c>
      <c r="CC32" s="178">
        <f t="shared" si="46"/>
        <v>25</v>
      </c>
      <c r="CD32" s="178">
        <f t="shared" si="46"/>
        <v>25</v>
      </c>
      <c r="CE32" s="178">
        <f t="shared" si="46"/>
        <v>25</v>
      </c>
      <c r="CF32" s="178">
        <f t="shared" si="46"/>
        <v>25</v>
      </c>
      <c r="CG32" s="178">
        <f t="shared" si="46"/>
        <v>25</v>
      </c>
      <c r="CH32" s="178">
        <f t="shared" si="46"/>
        <v>25</v>
      </c>
      <c r="CI32" s="178">
        <f t="shared" si="46"/>
        <v>25</v>
      </c>
      <c r="CJ32" s="168">
        <f t="shared" si="46"/>
        <v>25</v>
      </c>
      <c r="CK32" s="169">
        <f t="shared" si="47"/>
        <v>300</v>
      </c>
      <c r="CL32" s="179">
        <f t="shared" si="48"/>
        <v>-383.33333333333326</v>
      </c>
      <c r="CM32" s="180">
        <f t="shared" si="49"/>
        <v>0</v>
      </c>
      <c r="CN32" s="178">
        <f t="shared" si="49"/>
        <v>0</v>
      </c>
      <c r="CO32" s="178">
        <f t="shared" si="49"/>
        <v>0</v>
      </c>
      <c r="CP32" s="178">
        <f t="shared" si="49"/>
        <v>0</v>
      </c>
      <c r="CQ32" s="178">
        <f t="shared" si="49"/>
        <v>0</v>
      </c>
      <c r="CR32" s="178">
        <f t="shared" si="49"/>
        <v>0</v>
      </c>
      <c r="CS32" s="178">
        <f t="shared" si="49"/>
        <v>0</v>
      </c>
      <c r="CT32" s="178">
        <f t="shared" si="49"/>
        <v>0</v>
      </c>
      <c r="CU32" s="178">
        <f t="shared" si="49"/>
        <v>0</v>
      </c>
      <c r="CV32" s="178">
        <f t="shared" si="49"/>
        <v>0</v>
      </c>
      <c r="CW32" s="178">
        <f t="shared" si="49"/>
        <v>0</v>
      </c>
      <c r="CX32" s="168">
        <f t="shared" si="49"/>
        <v>0</v>
      </c>
      <c r="CY32" s="169">
        <f t="shared" si="50"/>
        <v>0</v>
      </c>
      <c r="CZ32" s="179">
        <f t="shared" si="51"/>
        <v>0</v>
      </c>
      <c r="DA32" s="180">
        <f t="shared" si="52"/>
        <v>0</v>
      </c>
      <c r="DB32" s="178">
        <f t="shared" si="52"/>
        <v>0</v>
      </c>
      <c r="DC32" s="178">
        <f t="shared" si="52"/>
        <v>0</v>
      </c>
      <c r="DD32" s="178">
        <f t="shared" si="52"/>
        <v>0</v>
      </c>
      <c r="DE32" s="178">
        <f t="shared" si="52"/>
        <v>0</v>
      </c>
      <c r="DF32" s="178">
        <f t="shared" si="52"/>
        <v>0</v>
      </c>
      <c r="DG32" s="178">
        <f t="shared" si="52"/>
        <v>0</v>
      </c>
      <c r="DH32" s="178">
        <f t="shared" si="52"/>
        <v>0</v>
      </c>
      <c r="DI32" s="178">
        <f t="shared" si="52"/>
        <v>0</v>
      </c>
      <c r="DJ32" s="178">
        <f t="shared" si="52"/>
        <v>0</v>
      </c>
      <c r="DK32" s="178">
        <f t="shared" si="52"/>
        <v>0</v>
      </c>
      <c r="DL32" s="168">
        <f t="shared" si="52"/>
        <v>0</v>
      </c>
      <c r="DM32" s="169">
        <f t="shared" si="53"/>
        <v>0</v>
      </c>
      <c r="DN32" s="171">
        <f t="shared" si="54"/>
        <v>0</v>
      </c>
      <c r="DO32" s="180">
        <f t="shared" si="55"/>
        <v>0</v>
      </c>
      <c r="DP32" s="178">
        <f t="shared" si="55"/>
        <v>0</v>
      </c>
      <c r="DQ32" s="178">
        <f t="shared" si="55"/>
        <v>0</v>
      </c>
      <c r="DR32" s="178">
        <f t="shared" si="55"/>
        <v>0</v>
      </c>
      <c r="DS32" s="178">
        <f t="shared" si="55"/>
        <v>0</v>
      </c>
      <c r="DT32" s="178">
        <f t="shared" si="55"/>
        <v>0</v>
      </c>
      <c r="DU32" s="178">
        <f t="shared" si="55"/>
        <v>0</v>
      </c>
      <c r="DV32" s="178">
        <f t="shared" si="55"/>
        <v>0</v>
      </c>
      <c r="DW32" s="178">
        <f t="shared" si="55"/>
        <v>0</v>
      </c>
      <c r="DX32" s="178">
        <f t="shared" si="55"/>
        <v>0</v>
      </c>
      <c r="DY32" s="178">
        <f t="shared" si="55"/>
        <v>0</v>
      </c>
      <c r="DZ32" s="168">
        <f t="shared" si="55"/>
        <v>0</v>
      </c>
      <c r="EA32" s="169">
        <f t="shared" si="56"/>
        <v>0</v>
      </c>
      <c r="EB32" s="171">
        <f t="shared" si="57"/>
        <v>0</v>
      </c>
    </row>
    <row r="33" spans="1:132" s="177" customFormat="1" ht="15.75">
      <c r="A33" s="163">
        <v>43178</v>
      </c>
      <c r="B33" s="164" t="s">
        <v>90</v>
      </c>
      <c r="C33" s="165" t="s">
        <v>167</v>
      </c>
      <c r="D33" s="166">
        <v>2200</v>
      </c>
      <c r="E33" s="167">
        <v>3</v>
      </c>
      <c r="F33" s="168">
        <f t="shared" si="22"/>
        <v>733.33333333333337</v>
      </c>
      <c r="G33" s="169">
        <f t="shared" si="32"/>
        <v>0</v>
      </c>
      <c r="H33" s="178">
        <f t="shared" si="32"/>
        <v>0</v>
      </c>
      <c r="I33" s="178">
        <f t="shared" si="32"/>
        <v>0</v>
      </c>
      <c r="J33" s="178">
        <f t="shared" si="32"/>
        <v>0</v>
      </c>
      <c r="K33" s="178">
        <f t="shared" si="32"/>
        <v>0</v>
      </c>
      <c r="L33" s="178">
        <f t="shared" si="32"/>
        <v>0</v>
      </c>
      <c r="M33" s="178">
        <f t="shared" si="32"/>
        <v>0</v>
      </c>
      <c r="N33" s="178">
        <f t="shared" si="32"/>
        <v>0</v>
      </c>
      <c r="O33" s="178">
        <f t="shared" si="32"/>
        <v>0</v>
      </c>
      <c r="P33" s="178">
        <f t="shared" si="32"/>
        <v>0</v>
      </c>
      <c r="Q33" s="178">
        <f t="shared" si="32"/>
        <v>0</v>
      </c>
      <c r="R33" s="179">
        <f t="shared" si="32"/>
        <v>0</v>
      </c>
      <c r="S33" s="169">
        <f t="shared" si="58"/>
        <v>0</v>
      </c>
      <c r="T33" s="179">
        <f t="shared" si="33"/>
        <v>0</v>
      </c>
      <c r="U33" s="180">
        <f t="shared" si="34"/>
        <v>0</v>
      </c>
      <c r="V33" s="178">
        <f t="shared" si="34"/>
        <v>0</v>
      </c>
      <c r="W33" s="178">
        <f t="shared" si="34"/>
        <v>0</v>
      </c>
      <c r="X33" s="178">
        <f t="shared" si="34"/>
        <v>0</v>
      </c>
      <c r="Y33" s="178">
        <f t="shared" si="34"/>
        <v>0</v>
      </c>
      <c r="Z33" s="178">
        <f t="shared" si="34"/>
        <v>0</v>
      </c>
      <c r="AA33" s="178">
        <f t="shared" si="34"/>
        <v>0</v>
      </c>
      <c r="AB33" s="178">
        <f t="shared" si="34"/>
        <v>0</v>
      </c>
      <c r="AC33" s="178">
        <f t="shared" si="34"/>
        <v>0</v>
      </c>
      <c r="AD33" s="178">
        <f t="shared" si="34"/>
        <v>0</v>
      </c>
      <c r="AE33" s="178">
        <f t="shared" si="34"/>
        <v>0</v>
      </c>
      <c r="AF33" s="168">
        <f t="shared" si="34"/>
        <v>0</v>
      </c>
      <c r="AG33" s="169">
        <f t="shared" si="35"/>
        <v>0</v>
      </c>
      <c r="AH33" s="179">
        <f t="shared" si="36"/>
        <v>0</v>
      </c>
      <c r="AI33" s="180">
        <f t="shared" si="37"/>
        <v>0</v>
      </c>
      <c r="AJ33" s="178">
        <f t="shared" si="37"/>
        <v>0</v>
      </c>
      <c r="AK33" s="178">
        <f t="shared" si="37"/>
        <v>0</v>
      </c>
      <c r="AL33" s="178">
        <f t="shared" si="37"/>
        <v>0</v>
      </c>
      <c r="AM33" s="178">
        <f t="shared" si="37"/>
        <v>0</v>
      </c>
      <c r="AN33" s="178">
        <f t="shared" si="37"/>
        <v>0</v>
      </c>
      <c r="AO33" s="178">
        <f t="shared" si="37"/>
        <v>0</v>
      </c>
      <c r="AP33" s="178">
        <f t="shared" si="37"/>
        <v>0</v>
      </c>
      <c r="AQ33" s="178">
        <f t="shared" si="37"/>
        <v>0</v>
      </c>
      <c r="AR33" s="178">
        <f t="shared" si="37"/>
        <v>0</v>
      </c>
      <c r="AS33" s="178">
        <f t="shared" si="37"/>
        <v>0</v>
      </c>
      <c r="AT33" s="168">
        <f t="shared" si="37"/>
        <v>0</v>
      </c>
      <c r="AU33" s="169">
        <f t="shared" si="38"/>
        <v>0</v>
      </c>
      <c r="AV33" s="179">
        <f t="shared" si="39"/>
        <v>0</v>
      </c>
      <c r="AW33" s="180">
        <f t="shared" si="40"/>
        <v>0</v>
      </c>
      <c r="AX33" s="178">
        <f t="shared" si="40"/>
        <v>0</v>
      </c>
      <c r="AY33" s="178">
        <f t="shared" si="40"/>
        <v>0</v>
      </c>
      <c r="AZ33" s="178">
        <f t="shared" si="40"/>
        <v>0</v>
      </c>
      <c r="BA33" s="178">
        <f t="shared" si="40"/>
        <v>61.111111111111114</v>
      </c>
      <c r="BB33" s="178">
        <f t="shared" si="40"/>
        <v>61.111111111111114</v>
      </c>
      <c r="BC33" s="178">
        <f t="shared" si="40"/>
        <v>61.111111111111114</v>
      </c>
      <c r="BD33" s="178">
        <f t="shared" si="40"/>
        <v>61.111111111111114</v>
      </c>
      <c r="BE33" s="178">
        <f t="shared" si="40"/>
        <v>61.111111111111114</v>
      </c>
      <c r="BF33" s="178">
        <f t="shared" si="40"/>
        <v>61.111111111111114</v>
      </c>
      <c r="BG33" s="178">
        <f t="shared" si="40"/>
        <v>61.111111111111114</v>
      </c>
      <c r="BH33" s="168">
        <f t="shared" si="40"/>
        <v>61.111111111111114</v>
      </c>
      <c r="BI33" s="169">
        <f t="shared" si="41"/>
        <v>488.8888888888888</v>
      </c>
      <c r="BJ33" s="179">
        <f t="shared" si="42"/>
        <v>1711.1111111111113</v>
      </c>
      <c r="BK33" s="180">
        <f t="shared" si="43"/>
        <v>61.111111111111114</v>
      </c>
      <c r="BL33" s="178">
        <f t="shared" si="43"/>
        <v>61.111111111111114</v>
      </c>
      <c r="BM33" s="178">
        <f t="shared" si="43"/>
        <v>61.111111111111114</v>
      </c>
      <c r="BN33" s="178">
        <f t="shared" si="43"/>
        <v>61.111111111111114</v>
      </c>
      <c r="BO33" s="178">
        <f t="shared" si="43"/>
        <v>61.111111111111114</v>
      </c>
      <c r="BP33" s="178">
        <f t="shared" si="43"/>
        <v>61.111111111111114</v>
      </c>
      <c r="BQ33" s="178">
        <f t="shared" si="43"/>
        <v>61.111111111111114</v>
      </c>
      <c r="BR33" s="178">
        <f t="shared" si="43"/>
        <v>61.111111111111114</v>
      </c>
      <c r="BS33" s="178">
        <f t="shared" si="43"/>
        <v>61.111111111111114</v>
      </c>
      <c r="BT33" s="178">
        <f t="shared" si="43"/>
        <v>61.111111111111114</v>
      </c>
      <c r="BU33" s="178">
        <f t="shared" si="43"/>
        <v>61.111111111111114</v>
      </c>
      <c r="BV33" s="168">
        <f t="shared" si="43"/>
        <v>61.111111111111114</v>
      </c>
      <c r="BW33" s="169">
        <f t="shared" si="44"/>
        <v>733.33333333333314</v>
      </c>
      <c r="BX33" s="179">
        <f t="shared" si="45"/>
        <v>977.77777777777817</v>
      </c>
      <c r="BY33" s="180">
        <f t="shared" si="46"/>
        <v>61.111111111111114</v>
      </c>
      <c r="BZ33" s="178">
        <f t="shared" si="46"/>
        <v>61.111111111111114</v>
      </c>
      <c r="CA33" s="178">
        <f t="shared" si="46"/>
        <v>61.111111111111114</v>
      </c>
      <c r="CB33" s="178">
        <f t="shared" si="46"/>
        <v>61.111111111111114</v>
      </c>
      <c r="CC33" s="178">
        <f t="shared" si="46"/>
        <v>61.111111111111114</v>
      </c>
      <c r="CD33" s="178">
        <f t="shared" si="46"/>
        <v>61.111111111111114</v>
      </c>
      <c r="CE33" s="178">
        <f t="shared" si="46"/>
        <v>61.111111111111114</v>
      </c>
      <c r="CF33" s="178">
        <f t="shared" si="46"/>
        <v>61.111111111111114</v>
      </c>
      <c r="CG33" s="178">
        <f t="shared" si="46"/>
        <v>61.111111111111114</v>
      </c>
      <c r="CH33" s="178">
        <f t="shared" si="46"/>
        <v>61.111111111111114</v>
      </c>
      <c r="CI33" s="178">
        <f t="shared" si="46"/>
        <v>61.111111111111114</v>
      </c>
      <c r="CJ33" s="168">
        <f t="shared" si="46"/>
        <v>61.111111111111114</v>
      </c>
      <c r="CK33" s="169">
        <f t="shared" si="47"/>
        <v>733.33333333333314</v>
      </c>
      <c r="CL33" s="179">
        <f t="shared" si="48"/>
        <v>-355.55555555555509</v>
      </c>
      <c r="CM33" s="180">
        <f t="shared" si="49"/>
        <v>0</v>
      </c>
      <c r="CN33" s="178">
        <f t="shared" si="49"/>
        <v>0</v>
      </c>
      <c r="CO33" s="178">
        <f t="shared" si="49"/>
        <v>0</v>
      </c>
      <c r="CP33" s="178">
        <f t="shared" si="49"/>
        <v>0</v>
      </c>
      <c r="CQ33" s="178">
        <f t="shared" si="49"/>
        <v>0</v>
      </c>
      <c r="CR33" s="178">
        <f t="shared" si="49"/>
        <v>0</v>
      </c>
      <c r="CS33" s="178">
        <f t="shared" si="49"/>
        <v>0</v>
      </c>
      <c r="CT33" s="178">
        <f t="shared" si="49"/>
        <v>0</v>
      </c>
      <c r="CU33" s="178">
        <f t="shared" si="49"/>
        <v>0</v>
      </c>
      <c r="CV33" s="178">
        <f t="shared" si="49"/>
        <v>0</v>
      </c>
      <c r="CW33" s="178">
        <f t="shared" si="49"/>
        <v>0</v>
      </c>
      <c r="CX33" s="168">
        <f t="shared" si="49"/>
        <v>0</v>
      </c>
      <c r="CY33" s="169">
        <f t="shared" si="50"/>
        <v>0</v>
      </c>
      <c r="CZ33" s="179">
        <f t="shared" si="51"/>
        <v>0</v>
      </c>
      <c r="DA33" s="180">
        <f t="shared" si="52"/>
        <v>0</v>
      </c>
      <c r="DB33" s="178">
        <f t="shared" si="52"/>
        <v>0</v>
      </c>
      <c r="DC33" s="178">
        <f t="shared" si="52"/>
        <v>0</v>
      </c>
      <c r="DD33" s="178">
        <f t="shared" si="52"/>
        <v>0</v>
      </c>
      <c r="DE33" s="178">
        <f t="shared" si="52"/>
        <v>0</v>
      </c>
      <c r="DF33" s="178">
        <f t="shared" si="52"/>
        <v>0</v>
      </c>
      <c r="DG33" s="178">
        <f t="shared" si="52"/>
        <v>0</v>
      </c>
      <c r="DH33" s="178">
        <f t="shared" si="52"/>
        <v>0</v>
      </c>
      <c r="DI33" s="178">
        <f t="shared" si="52"/>
        <v>0</v>
      </c>
      <c r="DJ33" s="178">
        <f t="shared" si="52"/>
        <v>0</v>
      </c>
      <c r="DK33" s="178">
        <f t="shared" si="52"/>
        <v>0</v>
      </c>
      <c r="DL33" s="168">
        <f t="shared" si="52"/>
        <v>0</v>
      </c>
      <c r="DM33" s="169">
        <f t="shared" si="53"/>
        <v>0</v>
      </c>
      <c r="DN33" s="171">
        <f t="shared" si="54"/>
        <v>0</v>
      </c>
      <c r="DO33" s="180">
        <f t="shared" si="55"/>
        <v>0</v>
      </c>
      <c r="DP33" s="178">
        <f t="shared" si="55"/>
        <v>0</v>
      </c>
      <c r="DQ33" s="178">
        <f t="shared" si="55"/>
        <v>0</v>
      </c>
      <c r="DR33" s="178">
        <f t="shared" si="55"/>
        <v>0</v>
      </c>
      <c r="DS33" s="178">
        <f t="shared" si="55"/>
        <v>0</v>
      </c>
      <c r="DT33" s="178">
        <f t="shared" si="55"/>
        <v>0</v>
      </c>
      <c r="DU33" s="178">
        <f t="shared" si="55"/>
        <v>0</v>
      </c>
      <c r="DV33" s="178">
        <f t="shared" si="55"/>
        <v>0</v>
      </c>
      <c r="DW33" s="178">
        <f t="shared" si="55"/>
        <v>0</v>
      </c>
      <c r="DX33" s="178">
        <f t="shared" si="55"/>
        <v>0</v>
      </c>
      <c r="DY33" s="178">
        <f t="shared" si="55"/>
        <v>0</v>
      </c>
      <c r="DZ33" s="168">
        <f t="shared" si="55"/>
        <v>0</v>
      </c>
      <c r="EA33" s="169">
        <f t="shared" si="56"/>
        <v>0</v>
      </c>
      <c r="EB33" s="171">
        <f t="shared" si="57"/>
        <v>0</v>
      </c>
    </row>
    <row r="34" spans="1:132" s="177" customFormat="1" ht="15.75">
      <c r="A34" s="163">
        <v>43280</v>
      </c>
      <c r="B34" s="164" t="s">
        <v>90</v>
      </c>
      <c r="C34" s="165" t="s">
        <v>160</v>
      </c>
      <c r="D34" s="166">
        <v>15000</v>
      </c>
      <c r="E34" s="167">
        <v>5</v>
      </c>
      <c r="F34" s="168">
        <f t="shared" si="22"/>
        <v>3000</v>
      </c>
      <c r="G34" s="169">
        <f t="shared" si="32"/>
        <v>0</v>
      </c>
      <c r="H34" s="178">
        <f t="shared" si="32"/>
        <v>0</v>
      </c>
      <c r="I34" s="178">
        <f t="shared" si="32"/>
        <v>0</v>
      </c>
      <c r="J34" s="178">
        <f t="shared" si="32"/>
        <v>0</v>
      </c>
      <c r="K34" s="178">
        <f t="shared" si="32"/>
        <v>0</v>
      </c>
      <c r="L34" s="178">
        <f t="shared" si="32"/>
        <v>0</v>
      </c>
      <c r="M34" s="178">
        <f t="shared" si="32"/>
        <v>0</v>
      </c>
      <c r="N34" s="178">
        <f t="shared" si="32"/>
        <v>0</v>
      </c>
      <c r="O34" s="178">
        <f t="shared" si="32"/>
        <v>0</v>
      </c>
      <c r="P34" s="178">
        <f t="shared" si="32"/>
        <v>0</v>
      </c>
      <c r="Q34" s="178">
        <f t="shared" si="32"/>
        <v>0</v>
      </c>
      <c r="R34" s="179">
        <f t="shared" si="32"/>
        <v>0</v>
      </c>
      <c r="S34" s="169">
        <f t="shared" si="58"/>
        <v>0</v>
      </c>
      <c r="T34" s="179">
        <f t="shared" si="33"/>
        <v>0</v>
      </c>
      <c r="U34" s="180">
        <f t="shared" si="34"/>
        <v>0</v>
      </c>
      <c r="V34" s="178">
        <f t="shared" si="34"/>
        <v>0</v>
      </c>
      <c r="W34" s="178">
        <f t="shared" si="34"/>
        <v>0</v>
      </c>
      <c r="X34" s="178">
        <f t="shared" si="34"/>
        <v>0</v>
      </c>
      <c r="Y34" s="178">
        <f t="shared" si="34"/>
        <v>0</v>
      </c>
      <c r="Z34" s="178">
        <f t="shared" si="34"/>
        <v>0</v>
      </c>
      <c r="AA34" s="178">
        <f t="shared" si="34"/>
        <v>0</v>
      </c>
      <c r="AB34" s="178">
        <f t="shared" si="34"/>
        <v>0</v>
      </c>
      <c r="AC34" s="178">
        <f t="shared" si="34"/>
        <v>0</v>
      </c>
      <c r="AD34" s="178">
        <f t="shared" si="34"/>
        <v>0</v>
      </c>
      <c r="AE34" s="178">
        <f t="shared" si="34"/>
        <v>0</v>
      </c>
      <c r="AF34" s="168">
        <f t="shared" si="34"/>
        <v>0</v>
      </c>
      <c r="AG34" s="169">
        <f t="shared" si="35"/>
        <v>0</v>
      </c>
      <c r="AH34" s="179">
        <f t="shared" si="36"/>
        <v>0</v>
      </c>
      <c r="AI34" s="180">
        <f t="shared" si="37"/>
        <v>0</v>
      </c>
      <c r="AJ34" s="178">
        <f t="shared" si="37"/>
        <v>0</v>
      </c>
      <c r="AK34" s="178">
        <f t="shared" si="37"/>
        <v>0</v>
      </c>
      <c r="AL34" s="178">
        <f t="shared" si="37"/>
        <v>0</v>
      </c>
      <c r="AM34" s="178">
        <f t="shared" si="37"/>
        <v>0</v>
      </c>
      <c r="AN34" s="178">
        <f t="shared" si="37"/>
        <v>0</v>
      </c>
      <c r="AO34" s="178">
        <f t="shared" si="37"/>
        <v>0</v>
      </c>
      <c r="AP34" s="178">
        <f t="shared" si="37"/>
        <v>0</v>
      </c>
      <c r="AQ34" s="178">
        <f t="shared" si="37"/>
        <v>0</v>
      </c>
      <c r="AR34" s="178">
        <f t="shared" si="37"/>
        <v>0</v>
      </c>
      <c r="AS34" s="178">
        <f t="shared" si="37"/>
        <v>0</v>
      </c>
      <c r="AT34" s="168">
        <f t="shared" si="37"/>
        <v>0</v>
      </c>
      <c r="AU34" s="169">
        <f t="shared" si="38"/>
        <v>0</v>
      </c>
      <c r="AV34" s="179">
        <f t="shared" si="39"/>
        <v>0</v>
      </c>
      <c r="AW34" s="180">
        <f t="shared" si="40"/>
        <v>0</v>
      </c>
      <c r="AX34" s="178">
        <f t="shared" si="40"/>
        <v>0</v>
      </c>
      <c r="AY34" s="178">
        <f t="shared" si="40"/>
        <v>0</v>
      </c>
      <c r="AZ34" s="178">
        <f t="shared" si="40"/>
        <v>0</v>
      </c>
      <c r="BA34" s="178">
        <f t="shared" si="40"/>
        <v>0</v>
      </c>
      <c r="BB34" s="178">
        <f t="shared" si="40"/>
        <v>0</v>
      </c>
      <c r="BC34" s="178">
        <f t="shared" si="40"/>
        <v>0</v>
      </c>
      <c r="BD34" s="178">
        <f t="shared" si="40"/>
        <v>250</v>
      </c>
      <c r="BE34" s="178">
        <f t="shared" si="40"/>
        <v>250</v>
      </c>
      <c r="BF34" s="178">
        <f t="shared" si="40"/>
        <v>250</v>
      </c>
      <c r="BG34" s="178">
        <f t="shared" si="40"/>
        <v>250</v>
      </c>
      <c r="BH34" s="168">
        <f t="shared" si="40"/>
        <v>250</v>
      </c>
      <c r="BI34" s="169">
        <f t="shared" si="41"/>
        <v>1250</v>
      </c>
      <c r="BJ34" s="179">
        <f t="shared" si="42"/>
        <v>13750</v>
      </c>
      <c r="BK34" s="180">
        <f t="shared" si="43"/>
        <v>250</v>
      </c>
      <c r="BL34" s="178">
        <f t="shared" si="43"/>
        <v>250</v>
      </c>
      <c r="BM34" s="178">
        <f t="shared" si="43"/>
        <v>250</v>
      </c>
      <c r="BN34" s="178">
        <f t="shared" si="43"/>
        <v>250</v>
      </c>
      <c r="BO34" s="178">
        <f t="shared" si="43"/>
        <v>250</v>
      </c>
      <c r="BP34" s="178">
        <f t="shared" si="43"/>
        <v>250</v>
      </c>
      <c r="BQ34" s="178">
        <f t="shared" si="43"/>
        <v>250</v>
      </c>
      <c r="BR34" s="178">
        <f t="shared" si="43"/>
        <v>250</v>
      </c>
      <c r="BS34" s="178">
        <f t="shared" si="43"/>
        <v>250</v>
      </c>
      <c r="BT34" s="178">
        <f t="shared" si="43"/>
        <v>250</v>
      </c>
      <c r="BU34" s="178">
        <f t="shared" si="43"/>
        <v>250</v>
      </c>
      <c r="BV34" s="168">
        <f t="shared" si="43"/>
        <v>250</v>
      </c>
      <c r="BW34" s="169">
        <f t="shared" si="44"/>
        <v>3000</v>
      </c>
      <c r="BX34" s="179">
        <f t="shared" si="45"/>
        <v>10750</v>
      </c>
      <c r="BY34" s="180">
        <f t="shared" si="46"/>
        <v>250</v>
      </c>
      <c r="BZ34" s="178">
        <f t="shared" si="46"/>
        <v>250</v>
      </c>
      <c r="CA34" s="178">
        <f t="shared" si="46"/>
        <v>250</v>
      </c>
      <c r="CB34" s="178">
        <f t="shared" si="46"/>
        <v>250</v>
      </c>
      <c r="CC34" s="178">
        <f t="shared" si="46"/>
        <v>250</v>
      </c>
      <c r="CD34" s="178">
        <f t="shared" si="46"/>
        <v>250</v>
      </c>
      <c r="CE34" s="178">
        <f t="shared" si="46"/>
        <v>250</v>
      </c>
      <c r="CF34" s="178">
        <f t="shared" si="46"/>
        <v>250</v>
      </c>
      <c r="CG34" s="178">
        <f t="shared" si="46"/>
        <v>250</v>
      </c>
      <c r="CH34" s="178">
        <f t="shared" si="46"/>
        <v>250</v>
      </c>
      <c r="CI34" s="178">
        <f t="shared" si="46"/>
        <v>250</v>
      </c>
      <c r="CJ34" s="168">
        <f t="shared" si="46"/>
        <v>250</v>
      </c>
      <c r="CK34" s="169">
        <f t="shared" si="47"/>
        <v>3000</v>
      </c>
      <c r="CL34" s="179">
        <f t="shared" si="48"/>
        <v>9416.6666666666661</v>
      </c>
      <c r="CM34" s="180">
        <f t="shared" si="49"/>
        <v>250</v>
      </c>
      <c r="CN34" s="178">
        <f t="shared" si="49"/>
        <v>250</v>
      </c>
      <c r="CO34" s="178">
        <f t="shared" si="49"/>
        <v>250</v>
      </c>
      <c r="CP34" s="178">
        <f t="shared" si="49"/>
        <v>250</v>
      </c>
      <c r="CQ34" s="178">
        <f t="shared" si="49"/>
        <v>250</v>
      </c>
      <c r="CR34" s="178">
        <f t="shared" si="49"/>
        <v>250</v>
      </c>
      <c r="CS34" s="178">
        <f t="shared" si="49"/>
        <v>250</v>
      </c>
      <c r="CT34" s="178">
        <f t="shared" si="49"/>
        <v>250</v>
      </c>
      <c r="CU34" s="178">
        <f t="shared" si="49"/>
        <v>250</v>
      </c>
      <c r="CV34" s="178">
        <f t="shared" si="49"/>
        <v>250</v>
      </c>
      <c r="CW34" s="178">
        <f t="shared" si="49"/>
        <v>250</v>
      </c>
      <c r="CX34" s="168">
        <f t="shared" si="49"/>
        <v>250</v>
      </c>
      <c r="CY34" s="169">
        <f t="shared" si="50"/>
        <v>3000</v>
      </c>
      <c r="CZ34" s="179">
        <f t="shared" si="51"/>
        <v>4750</v>
      </c>
      <c r="DA34" s="180">
        <f t="shared" si="52"/>
        <v>250</v>
      </c>
      <c r="DB34" s="178">
        <f t="shared" si="52"/>
        <v>250</v>
      </c>
      <c r="DC34" s="178">
        <f t="shared" si="52"/>
        <v>250</v>
      </c>
      <c r="DD34" s="178">
        <f t="shared" si="52"/>
        <v>250</v>
      </c>
      <c r="DE34" s="178">
        <f t="shared" si="52"/>
        <v>250</v>
      </c>
      <c r="DF34" s="178">
        <f t="shared" si="52"/>
        <v>250</v>
      </c>
      <c r="DG34" s="178">
        <f t="shared" si="52"/>
        <v>250</v>
      </c>
      <c r="DH34" s="178">
        <f t="shared" si="52"/>
        <v>250</v>
      </c>
      <c r="DI34" s="178">
        <f t="shared" si="52"/>
        <v>250</v>
      </c>
      <c r="DJ34" s="178">
        <f t="shared" si="52"/>
        <v>250</v>
      </c>
      <c r="DK34" s="178">
        <f t="shared" si="52"/>
        <v>250</v>
      </c>
      <c r="DL34" s="168">
        <f t="shared" si="52"/>
        <v>250</v>
      </c>
      <c r="DM34" s="169">
        <f t="shared" si="53"/>
        <v>3000</v>
      </c>
      <c r="DN34" s="171">
        <f t="shared" si="54"/>
        <v>3416.6666666666661</v>
      </c>
      <c r="DO34" s="180">
        <f t="shared" si="55"/>
        <v>250</v>
      </c>
      <c r="DP34" s="178">
        <f t="shared" si="55"/>
        <v>250</v>
      </c>
      <c r="DQ34" s="178">
        <f t="shared" si="55"/>
        <v>250</v>
      </c>
      <c r="DR34" s="178">
        <f t="shared" si="55"/>
        <v>250</v>
      </c>
      <c r="DS34" s="178">
        <f t="shared" si="55"/>
        <v>250</v>
      </c>
      <c r="DT34" s="178">
        <f t="shared" si="55"/>
        <v>250</v>
      </c>
      <c r="DU34" s="178">
        <f t="shared" si="55"/>
        <v>250</v>
      </c>
      <c r="DV34" s="178">
        <f t="shared" si="55"/>
        <v>0</v>
      </c>
      <c r="DW34" s="178">
        <f t="shared" si="55"/>
        <v>0</v>
      </c>
      <c r="DX34" s="178">
        <f t="shared" si="55"/>
        <v>0</v>
      </c>
      <c r="DY34" s="178">
        <f t="shared" si="55"/>
        <v>0</v>
      </c>
      <c r="DZ34" s="168">
        <f t="shared" si="55"/>
        <v>0</v>
      </c>
      <c r="EA34" s="169">
        <f t="shared" si="56"/>
        <v>1750</v>
      </c>
      <c r="EB34" s="171">
        <f t="shared" si="57"/>
        <v>6000</v>
      </c>
    </row>
    <row r="35" spans="1:132" s="177" customFormat="1" ht="15.75">
      <c r="A35" s="163">
        <v>43293</v>
      </c>
      <c r="B35" s="164" t="s">
        <v>90</v>
      </c>
      <c r="C35" s="165" t="s">
        <v>168</v>
      </c>
      <c r="D35" s="166">
        <v>48000</v>
      </c>
      <c r="E35" s="167">
        <v>5</v>
      </c>
      <c r="F35" s="168">
        <f t="shared" si="22"/>
        <v>9600</v>
      </c>
      <c r="G35" s="169">
        <f t="shared" si="32"/>
        <v>0</v>
      </c>
      <c r="H35" s="178">
        <f t="shared" si="32"/>
        <v>0</v>
      </c>
      <c r="I35" s="178">
        <f t="shared" si="32"/>
        <v>0</v>
      </c>
      <c r="J35" s="178">
        <f t="shared" si="32"/>
        <v>0</v>
      </c>
      <c r="K35" s="178">
        <f t="shared" si="32"/>
        <v>0</v>
      </c>
      <c r="L35" s="178">
        <f t="shared" si="32"/>
        <v>0</v>
      </c>
      <c r="M35" s="178">
        <f t="shared" si="32"/>
        <v>0</v>
      </c>
      <c r="N35" s="178">
        <f t="shared" si="32"/>
        <v>0</v>
      </c>
      <c r="O35" s="178">
        <f t="shared" si="32"/>
        <v>0</v>
      </c>
      <c r="P35" s="178">
        <f t="shared" si="32"/>
        <v>0</v>
      </c>
      <c r="Q35" s="178">
        <f t="shared" si="32"/>
        <v>0</v>
      </c>
      <c r="R35" s="179">
        <f t="shared" si="32"/>
        <v>0</v>
      </c>
      <c r="S35" s="169">
        <f t="shared" si="58"/>
        <v>0</v>
      </c>
      <c r="T35" s="179">
        <f t="shared" si="33"/>
        <v>0</v>
      </c>
      <c r="U35" s="180">
        <f t="shared" si="34"/>
        <v>0</v>
      </c>
      <c r="V35" s="178">
        <f t="shared" si="34"/>
        <v>0</v>
      </c>
      <c r="W35" s="178">
        <f t="shared" si="34"/>
        <v>0</v>
      </c>
      <c r="X35" s="178">
        <f t="shared" si="34"/>
        <v>0</v>
      </c>
      <c r="Y35" s="178">
        <f t="shared" si="34"/>
        <v>0</v>
      </c>
      <c r="Z35" s="178">
        <f t="shared" si="34"/>
        <v>0</v>
      </c>
      <c r="AA35" s="178">
        <f t="shared" si="34"/>
        <v>0</v>
      </c>
      <c r="AB35" s="178">
        <f t="shared" si="34"/>
        <v>0</v>
      </c>
      <c r="AC35" s="178">
        <f t="shared" si="34"/>
        <v>0</v>
      </c>
      <c r="AD35" s="178">
        <f t="shared" si="34"/>
        <v>0</v>
      </c>
      <c r="AE35" s="178">
        <f t="shared" si="34"/>
        <v>0</v>
      </c>
      <c r="AF35" s="168">
        <f t="shared" si="34"/>
        <v>0</v>
      </c>
      <c r="AG35" s="169">
        <f t="shared" si="35"/>
        <v>0</v>
      </c>
      <c r="AH35" s="179">
        <f t="shared" si="36"/>
        <v>0</v>
      </c>
      <c r="AI35" s="180">
        <f t="shared" si="37"/>
        <v>0</v>
      </c>
      <c r="AJ35" s="178">
        <f t="shared" si="37"/>
        <v>0</v>
      </c>
      <c r="AK35" s="178">
        <f t="shared" si="37"/>
        <v>0</v>
      </c>
      <c r="AL35" s="178">
        <f t="shared" si="37"/>
        <v>0</v>
      </c>
      <c r="AM35" s="178">
        <f t="shared" si="37"/>
        <v>0</v>
      </c>
      <c r="AN35" s="178">
        <f t="shared" si="37"/>
        <v>0</v>
      </c>
      <c r="AO35" s="178">
        <f t="shared" si="37"/>
        <v>0</v>
      </c>
      <c r="AP35" s="178">
        <f t="shared" si="37"/>
        <v>0</v>
      </c>
      <c r="AQ35" s="178">
        <f t="shared" si="37"/>
        <v>0</v>
      </c>
      <c r="AR35" s="178">
        <f t="shared" si="37"/>
        <v>0</v>
      </c>
      <c r="AS35" s="178">
        <f t="shared" si="37"/>
        <v>0</v>
      </c>
      <c r="AT35" s="168">
        <f t="shared" si="37"/>
        <v>0</v>
      </c>
      <c r="AU35" s="169">
        <f t="shared" si="38"/>
        <v>0</v>
      </c>
      <c r="AV35" s="179">
        <f t="shared" si="39"/>
        <v>0</v>
      </c>
      <c r="AW35" s="180">
        <f t="shared" si="40"/>
        <v>0</v>
      </c>
      <c r="AX35" s="178">
        <f t="shared" si="40"/>
        <v>0</v>
      </c>
      <c r="AY35" s="178">
        <f t="shared" si="40"/>
        <v>0</v>
      </c>
      <c r="AZ35" s="178">
        <f t="shared" si="40"/>
        <v>0</v>
      </c>
      <c r="BA35" s="178">
        <f t="shared" si="40"/>
        <v>0</v>
      </c>
      <c r="BB35" s="178">
        <f t="shared" si="40"/>
        <v>0</v>
      </c>
      <c r="BC35" s="178">
        <f t="shared" si="40"/>
        <v>0</v>
      </c>
      <c r="BD35" s="178">
        <f t="shared" si="40"/>
        <v>0</v>
      </c>
      <c r="BE35" s="178">
        <f t="shared" si="40"/>
        <v>800</v>
      </c>
      <c r="BF35" s="178">
        <f t="shared" si="40"/>
        <v>800</v>
      </c>
      <c r="BG35" s="178">
        <f t="shared" si="40"/>
        <v>800</v>
      </c>
      <c r="BH35" s="168">
        <f t="shared" si="40"/>
        <v>800</v>
      </c>
      <c r="BI35" s="169">
        <f t="shared" si="41"/>
        <v>3200</v>
      </c>
      <c r="BJ35" s="179">
        <f t="shared" si="42"/>
        <v>44800</v>
      </c>
      <c r="BK35" s="180">
        <f t="shared" si="43"/>
        <v>800</v>
      </c>
      <c r="BL35" s="178">
        <f t="shared" si="43"/>
        <v>800</v>
      </c>
      <c r="BM35" s="178">
        <f t="shared" si="43"/>
        <v>800</v>
      </c>
      <c r="BN35" s="178">
        <f t="shared" si="43"/>
        <v>800</v>
      </c>
      <c r="BO35" s="178">
        <f t="shared" si="43"/>
        <v>800</v>
      </c>
      <c r="BP35" s="178">
        <f t="shared" si="43"/>
        <v>800</v>
      </c>
      <c r="BQ35" s="178">
        <f t="shared" si="43"/>
        <v>800</v>
      </c>
      <c r="BR35" s="178">
        <f t="shared" si="43"/>
        <v>800</v>
      </c>
      <c r="BS35" s="178">
        <f t="shared" si="43"/>
        <v>800</v>
      </c>
      <c r="BT35" s="178">
        <f t="shared" si="43"/>
        <v>800</v>
      </c>
      <c r="BU35" s="178">
        <f t="shared" si="43"/>
        <v>800</v>
      </c>
      <c r="BV35" s="168">
        <f t="shared" si="43"/>
        <v>800</v>
      </c>
      <c r="BW35" s="169">
        <f t="shared" si="44"/>
        <v>9600</v>
      </c>
      <c r="BX35" s="179">
        <f t="shared" si="45"/>
        <v>35200</v>
      </c>
      <c r="BY35" s="180">
        <f t="shared" si="46"/>
        <v>800</v>
      </c>
      <c r="BZ35" s="178">
        <f t="shared" si="46"/>
        <v>800</v>
      </c>
      <c r="CA35" s="178">
        <f t="shared" si="46"/>
        <v>800</v>
      </c>
      <c r="CB35" s="178">
        <f t="shared" si="46"/>
        <v>800</v>
      </c>
      <c r="CC35" s="178">
        <f t="shared" si="46"/>
        <v>800</v>
      </c>
      <c r="CD35" s="178">
        <f t="shared" si="46"/>
        <v>800</v>
      </c>
      <c r="CE35" s="178">
        <f t="shared" si="46"/>
        <v>800</v>
      </c>
      <c r="CF35" s="178">
        <f t="shared" si="46"/>
        <v>800</v>
      </c>
      <c r="CG35" s="178">
        <f t="shared" si="46"/>
        <v>800</v>
      </c>
      <c r="CH35" s="178">
        <f t="shared" si="46"/>
        <v>800</v>
      </c>
      <c r="CI35" s="178">
        <f t="shared" si="46"/>
        <v>800</v>
      </c>
      <c r="CJ35" s="168">
        <f t="shared" si="46"/>
        <v>800</v>
      </c>
      <c r="CK35" s="169">
        <f t="shared" si="47"/>
        <v>9600</v>
      </c>
      <c r="CL35" s="179">
        <f t="shared" si="48"/>
        <v>33866.666666666664</v>
      </c>
      <c r="CM35" s="180">
        <f t="shared" si="49"/>
        <v>800</v>
      </c>
      <c r="CN35" s="178">
        <f t="shared" si="49"/>
        <v>800</v>
      </c>
      <c r="CO35" s="178">
        <f t="shared" si="49"/>
        <v>800</v>
      </c>
      <c r="CP35" s="178">
        <f t="shared" si="49"/>
        <v>800</v>
      </c>
      <c r="CQ35" s="178">
        <f t="shared" si="49"/>
        <v>800</v>
      </c>
      <c r="CR35" s="178">
        <f t="shared" si="49"/>
        <v>800</v>
      </c>
      <c r="CS35" s="178">
        <f t="shared" si="49"/>
        <v>800</v>
      </c>
      <c r="CT35" s="178">
        <f t="shared" si="49"/>
        <v>800</v>
      </c>
      <c r="CU35" s="178">
        <f t="shared" si="49"/>
        <v>800</v>
      </c>
      <c r="CV35" s="178">
        <f t="shared" si="49"/>
        <v>800</v>
      </c>
      <c r="CW35" s="178">
        <f t="shared" si="49"/>
        <v>800</v>
      </c>
      <c r="CX35" s="168">
        <f t="shared" si="49"/>
        <v>800</v>
      </c>
      <c r="CY35" s="169">
        <f t="shared" si="50"/>
        <v>9600</v>
      </c>
      <c r="CZ35" s="179">
        <f t="shared" si="51"/>
        <v>16000</v>
      </c>
      <c r="DA35" s="180">
        <f t="shared" si="52"/>
        <v>800</v>
      </c>
      <c r="DB35" s="178">
        <f t="shared" si="52"/>
        <v>800</v>
      </c>
      <c r="DC35" s="178">
        <f t="shared" si="52"/>
        <v>800</v>
      </c>
      <c r="DD35" s="178">
        <f t="shared" si="52"/>
        <v>800</v>
      </c>
      <c r="DE35" s="178">
        <f t="shared" si="52"/>
        <v>800</v>
      </c>
      <c r="DF35" s="178">
        <f t="shared" si="52"/>
        <v>800</v>
      </c>
      <c r="DG35" s="178">
        <f t="shared" si="52"/>
        <v>800</v>
      </c>
      <c r="DH35" s="178">
        <f t="shared" si="52"/>
        <v>800</v>
      </c>
      <c r="DI35" s="178">
        <f t="shared" si="52"/>
        <v>800</v>
      </c>
      <c r="DJ35" s="178">
        <f t="shared" si="52"/>
        <v>800</v>
      </c>
      <c r="DK35" s="178">
        <f t="shared" si="52"/>
        <v>800</v>
      </c>
      <c r="DL35" s="168">
        <f t="shared" si="52"/>
        <v>800</v>
      </c>
      <c r="DM35" s="169">
        <f t="shared" si="53"/>
        <v>9600</v>
      </c>
      <c r="DN35" s="171">
        <f t="shared" si="54"/>
        <v>14666.666666666664</v>
      </c>
      <c r="DO35" s="180">
        <f t="shared" si="55"/>
        <v>800</v>
      </c>
      <c r="DP35" s="178">
        <f t="shared" si="55"/>
        <v>800</v>
      </c>
      <c r="DQ35" s="178">
        <f t="shared" si="55"/>
        <v>800</v>
      </c>
      <c r="DR35" s="178">
        <f t="shared" si="55"/>
        <v>800</v>
      </c>
      <c r="DS35" s="178">
        <f t="shared" si="55"/>
        <v>800</v>
      </c>
      <c r="DT35" s="178">
        <f t="shared" si="55"/>
        <v>800</v>
      </c>
      <c r="DU35" s="178">
        <f t="shared" si="55"/>
        <v>800</v>
      </c>
      <c r="DV35" s="178">
        <f t="shared" si="55"/>
        <v>800</v>
      </c>
      <c r="DW35" s="178">
        <f t="shared" si="55"/>
        <v>0</v>
      </c>
      <c r="DX35" s="178">
        <f t="shared" si="55"/>
        <v>0</v>
      </c>
      <c r="DY35" s="178">
        <f t="shared" si="55"/>
        <v>0</v>
      </c>
      <c r="DZ35" s="168">
        <f t="shared" si="55"/>
        <v>0</v>
      </c>
      <c r="EA35" s="169">
        <f t="shared" si="56"/>
        <v>6400</v>
      </c>
      <c r="EB35" s="171">
        <f t="shared" si="57"/>
        <v>19200</v>
      </c>
    </row>
    <row r="36" spans="1:132" s="177" customFormat="1" ht="15.75">
      <c r="A36" s="163">
        <v>43369</v>
      </c>
      <c r="B36" s="164" t="s">
        <v>90</v>
      </c>
      <c r="C36" s="165" t="s">
        <v>169</v>
      </c>
      <c r="D36" s="166">
        <v>40000</v>
      </c>
      <c r="E36" s="167">
        <v>10</v>
      </c>
      <c r="F36" s="168">
        <f t="shared" si="22"/>
        <v>4000</v>
      </c>
      <c r="G36" s="169">
        <f t="shared" si="32"/>
        <v>0</v>
      </c>
      <c r="H36" s="178">
        <f t="shared" si="32"/>
        <v>0</v>
      </c>
      <c r="I36" s="178">
        <f t="shared" si="32"/>
        <v>0</v>
      </c>
      <c r="J36" s="178">
        <f t="shared" si="32"/>
        <v>0</v>
      </c>
      <c r="K36" s="178">
        <f t="shared" si="32"/>
        <v>0</v>
      </c>
      <c r="L36" s="178">
        <f t="shared" si="32"/>
        <v>0</v>
      </c>
      <c r="M36" s="178">
        <f t="shared" si="32"/>
        <v>0</v>
      </c>
      <c r="N36" s="178">
        <f t="shared" si="32"/>
        <v>0</v>
      </c>
      <c r="O36" s="178">
        <f t="shared" si="32"/>
        <v>0</v>
      </c>
      <c r="P36" s="178">
        <f t="shared" si="32"/>
        <v>0</v>
      </c>
      <c r="Q36" s="178">
        <f t="shared" si="32"/>
        <v>0</v>
      </c>
      <c r="R36" s="179">
        <f t="shared" si="32"/>
        <v>0</v>
      </c>
      <c r="S36" s="169">
        <f t="shared" si="58"/>
        <v>0</v>
      </c>
      <c r="T36" s="179">
        <f t="shared" si="33"/>
        <v>0</v>
      </c>
      <c r="U36" s="180">
        <f t="shared" si="34"/>
        <v>0</v>
      </c>
      <c r="V36" s="178">
        <f t="shared" si="34"/>
        <v>0</v>
      </c>
      <c r="W36" s="178">
        <f t="shared" si="34"/>
        <v>0</v>
      </c>
      <c r="X36" s="178">
        <f t="shared" si="34"/>
        <v>0</v>
      </c>
      <c r="Y36" s="178">
        <f t="shared" si="34"/>
        <v>0</v>
      </c>
      <c r="Z36" s="178">
        <f t="shared" si="34"/>
        <v>0</v>
      </c>
      <c r="AA36" s="178">
        <f t="shared" si="34"/>
        <v>0</v>
      </c>
      <c r="AB36" s="178">
        <f t="shared" si="34"/>
        <v>0</v>
      </c>
      <c r="AC36" s="178">
        <f t="shared" si="34"/>
        <v>0</v>
      </c>
      <c r="AD36" s="178">
        <f t="shared" si="34"/>
        <v>0</v>
      </c>
      <c r="AE36" s="178">
        <f t="shared" si="34"/>
        <v>0</v>
      </c>
      <c r="AF36" s="168">
        <f t="shared" si="34"/>
        <v>0</v>
      </c>
      <c r="AG36" s="169">
        <f t="shared" si="35"/>
        <v>0</v>
      </c>
      <c r="AH36" s="179">
        <f t="shared" si="36"/>
        <v>0</v>
      </c>
      <c r="AI36" s="180">
        <f t="shared" si="37"/>
        <v>0</v>
      </c>
      <c r="AJ36" s="178">
        <f t="shared" si="37"/>
        <v>0</v>
      </c>
      <c r="AK36" s="178">
        <f t="shared" si="37"/>
        <v>0</v>
      </c>
      <c r="AL36" s="178">
        <f t="shared" si="37"/>
        <v>0</v>
      </c>
      <c r="AM36" s="178">
        <f t="shared" si="37"/>
        <v>0</v>
      </c>
      <c r="AN36" s="178">
        <f t="shared" si="37"/>
        <v>0</v>
      </c>
      <c r="AO36" s="178">
        <f t="shared" si="37"/>
        <v>0</v>
      </c>
      <c r="AP36" s="178">
        <f t="shared" si="37"/>
        <v>0</v>
      </c>
      <c r="AQ36" s="178">
        <f t="shared" si="37"/>
        <v>0</v>
      </c>
      <c r="AR36" s="178">
        <f t="shared" si="37"/>
        <v>0</v>
      </c>
      <c r="AS36" s="178">
        <f t="shared" si="37"/>
        <v>0</v>
      </c>
      <c r="AT36" s="168">
        <f t="shared" si="37"/>
        <v>0</v>
      </c>
      <c r="AU36" s="169">
        <f t="shared" si="38"/>
        <v>0</v>
      </c>
      <c r="AV36" s="179">
        <f t="shared" si="39"/>
        <v>0</v>
      </c>
      <c r="AW36" s="180">
        <f t="shared" si="40"/>
        <v>0</v>
      </c>
      <c r="AX36" s="178">
        <f t="shared" si="40"/>
        <v>0</v>
      </c>
      <c r="AY36" s="178">
        <f t="shared" si="40"/>
        <v>0</v>
      </c>
      <c r="AZ36" s="178">
        <f t="shared" si="40"/>
        <v>0</v>
      </c>
      <c r="BA36" s="178">
        <f t="shared" si="40"/>
        <v>0</v>
      </c>
      <c r="BB36" s="178">
        <f t="shared" si="40"/>
        <v>0</v>
      </c>
      <c r="BC36" s="178">
        <f t="shared" si="40"/>
        <v>0</v>
      </c>
      <c r="BD36" s="178">
        <f t="shared" si="40"/>
        <v>0</v>
      </c>
      <c r="BE36" s="178">
        <f t="shared" si="40"/>
        <v>0</v>
      </c>
      <c r="BF36" s="178">
        <f t="shared" si="40"/>
        <v>0</v>
      </c>
      <c r="BG36" s="178">
        <f t="shared" si="40"/>
        <v>333.33333333333331</v>
      </c>
      <c r="BH36" s="168">
        <f t="shared" si="40"/>
        <v>333.33333333333331</v>
      </c>
      <c r="BI36" s="169">
        <f t="shared" si="41"/>
        <v>666.66666666666663</v>
      </c>
      <c r="BJ36" s="179">
        <f t="shared" si="42"/>
        <v>39333.333333333336</v>
      </c>
      <c r="BK36" s="180">
        <f t="shared" si="43"/>
        <v>333.33333333333331</v>
      </c>
      <c r="BL36" s="178">
        <f t="shared" si="43"/>
        <v>333.33333333333331</v>
      </c>
      <c r="BM36" s="178">
        <f t="shared" si="43"/>
        <v>333.33333333333331</v>
      </c>
      <c r="BN36" s="178">
        <f t="shared" si="43"/>
        <v>333.33333333333331</v>
      </c>
      <c r="BO36" s="178">
        <f t="shared" si="43"/>
        <v>333.33333333333331</v>
      </c>
      <c r="BP36" s="178">
        <f t="shared" si="43"/>
        <v>333.33333333333331</v>
      </c>
      <c r="BQ36" s="178">
        <f t="shared" si="43"/>
        <v>333.33333333333331</v>
      </c>
      <c r="BR36" s="178">
        <f t="shared" si="43"/>
        <v>333.33333333333331</v>
      </c>
      <c r="BS36" s="178">
        <f t="shared" si="43"/>
        <v>333.33333333333331</v>
      </c>
      <c r="BT36" s="178">
        <f t="shared" si="43"/>
        <v>333.33333333333331</v>
      </c>
      <c r="BU36" s="178">
        <f t="shared" si="43"/>
        <v>333.33333333333331</v>
      </c>
      <c r="BV36" s="168">
        <f t="shared" si="43"/>
        <v>333.33333333333331</v>
      </c>
      <c r="BW36" s="169">
        <f t="shared" si="44"/>
        <v>4000.0000000000005</v>
      </c>
      <c r="BX36" s="179">
        <f t="shared" si="45"/>
        <v>35333.333333333336</v>
      </c>
      <c r="BY36" s="180">
        <f t="shared" si="46"/>
        <v>333.33333333333331</v>
      </c>
      <c r="BZ36" s="178">
        <f t="shared" si="46"/>
        <v>333.33333333333331</v>
      </c>
      <c r="CA36" s="178">
        <f t="shared" si="46"/>
        <v>333.33333333333331</v>
      </c>
      <c r="CB36" s="178">
        <f t="shared" si="46"/>
        <v>333.33333333333331</v>
      </c>
      <c r="CC36" s="178">
        <f t="shared" si="46"/>
        <v>333.33333333333331</v>
      </c>
      <c r="CD36" s="178">
        <f t="shared" si="46"/>
        <v>333.33333333333331</v>
      </c>
      <c r="CE36" s="178">
        <f t="shared" si="46"/>
        <v>333.33333333333331</v>
      </c>
      <c r="CF36" s="178">
        <f t="shared" si="46"/>
        <v>333.33333333333331</v>
      </c>
      <c r="CG36" s="178">
        <f t="shared" si="46"/>
        <v>333.33333333333331</v>
      </c>
      <c r="CH36" s="178">
        <f t="shared" si="46"/>
        <v>333.33333333333331</v>
      </c>
      <c r="CI36" s="178">
        <f t="shared" si="46"/>
        <v>333.33333333333331</v>
      </c>
      <c r="CJ36" s="168">
        <f t="shared" si="46"/>
        <v>333.33333333333331</v>
      </c>
      <c r="CK36" s="169">
        <f t="shared" si="47"/>
        <v>4000.0000000000005</v>
      </c>
      <c r="CL36" s="179">
        <f t="shared" si="48"/>
        <v>34000</v>
      </c>
      <c r="CM36" s="180">
        <f t="shared" si="49"/>
        <v>333.33333333333331</v>
      </c>
      <c r="CN36" s="178">
        <f t="shared" si="49"/>
        <v>333.33333333333331</v>
      </c>
      <c r="CO36" s="178">
        <f t="shared" si="49"/>
        <v>333.33333333333331</v>
      </c>
      <c r="CP36" s="178">
        <f t="shared" si="49"/>
        <v>333.33333333333331</v>
      </c>
      <c r="CQ36" s="178">
        <f t="shared" si="49"/>
        <v>333.33333333333331</v>
      </c>
      <c r="CR36" s="178">
        <f t="shared" si="49"/>
        <v>333.33333333333331</v>
      </c>
      <c r="CS36" s="178">
        <f t="shared" si="49"/>
        <v>333.33333333333331</v>
      </c>
      <c r="CT36" s="178">
        <f t="shared" si="49"/>
        <v>333.33333333333331</v>
      </c>
      <c r="CU36" s="178">
        <f t="shared" si="49"/>
        <v>333.33333333333331</v>
      </c>
      <c r="CV36" s="178">
        <f t="shared" si="49"/>
        <v>333.33333333333331</v>
      </c>
      <c r="CW36" s="178">
        <f t="shared" si="49"/>
        <v>333.33333333333331</v>
      </c>
      <c r="CX36" s="168">
        <f t="shared" si="49"/>
        <v>333.33333333333331</v>
      </c>
      <c r="CY36" s="169">
        <f t="shared" si="50"/>
        <v>4000.0000000000005</v>
      </c>
      <c r="CZ36" s="179">
        <f t="shared" si="51"/>
        <v>27333.333333333336</v>
      </c>
      <c r="DA36" s="180">
        <f t="shared" si="52"/>
        <v>333.33333333333331</v>
      </c>
      <c r="DB36" s="178">
        <f t="shared" si="52"/>
        <v>333.33333333333331</v>
      </c>
      <c r="DC36" s="178">
        <f t="shared" si="52"/>
        <v>333.33333333333331</v>
      </c>
      <c r="DD36" s="178">
        <f t="shared" si="52"/>
        <v>333.33333333333331</v>
      </c>
      <c r="DE36" s="178">
        <f t="shared" si="52"/>
        <v>333.33333333333331</v>
      </c>
      <c r="DF36" s="178">
        <f t="shared" si="52"/>
        <v>333.33333333333331</v>
      </c>
      <c r="DG36" s="178">
        <f t="shared" si="52"/>
        <v>333.33333333333331</v>
      </c>
      <c r="DH36" s="178">
        <f t="shared" si="52"/>
        <v>333.33333333333331</v>
      </c>
      <c r="DI36" s="178">
        <f t="shared" si="52"/>
        <v>333.33333333333331</v>
      </c>
      <c r="DJ36" s="178">
        <f t="shared" si="52"/>
        <v>333.33333333333331</v>
      </c>
      <c r="DK36" s="178">
        <f t="shared" si="52"/>
        <v>333.33333333333331</v>
      </c>
      <c r="DL36" s="168">
        <f t="shared" si="52"/>
        <v>333.33333333333331</v>
      </c>
      <c r="DM36" s="169">
        <f t="shared" si="53"/>
        <v>4000.0000000000005</v>
      </c>
      <c r="DN36" s="171">
        <f t="shared" si="54"/>
        <v>26000</v>
      </c>
      <c r="DO36" s="180">
        <f t="shared" si="55"/>
        <v>333.33333333333331</v>
      </c>
      <c r="DP36" s="178">
        <f t="shared" si="55"/>
        <v>333.33333333333331</v>
      </c>
      <c r="DQ36" s="178">
        <f t="shared" si="55"/>
        <v>333.33333333333331</v>
      </c>
      <c r="DR36" s="178">
        <f t="shared" si="55"/>
        <v>333.33333333333331</v>
      </c>
      <c r="DS36" s="178">
        <f t="shared" si="55"/>
        <v>333.33333333333331</v>
      </c>
      <c r="DT36" s="178">
        <f t="shared" si="55"/>
        <v>333.33333333333331</v>
      </c>
      <c r="DU36" s="178">
        <f t="shared" si="55"/>
        <v>333.33333333333331</v>
      </c>
      <c r="DV36" s="178">
        <f t="shared" si="55"/>
        <v>333.33333333333331</v>
      </c>
      <c r="DW36" s="178">
        <f t="shared" si="55"/>
        <v>333.33333333333331</v>
      </c>
      <c r="DX36" s="178">
        <f t="shared" si="55"/>
        <v>333.33333333333331</v>
      </c>
      <c r="DY36" s="178">
        <f t="shared" si="55"/>
        <v>333.33333333333331</v>
      </c>
      <c r="DZ36" s="168">
        <f t="shared" si="55"/>
        <v>333.33333333333331</v>
      </c>
      <c r="EA36" s="169">
        <f t="shared" si="56"/>
        <v>4000.0000000000005</v>
      </c>
      <c r="EB36" s="171">
        <f t="shared" si="57"/>
        <v>27333.333333333336</v>
      </c>
    </row>
    <row r="37" spans="1:132" s="177" customFormat="1" ht="15.75">
      <c r="A37" s="163">
        <v>43741</v>
      </c>
      <c r="B37" s="164" t="s">
        <v>90</v>
      </c>
      <c r="C37" s="165" t="s">
        <v>174</v>
      </c>
      <c r="D37" s="166">
        <v>1100</v>
      </c>
      <c r="E37" s="167">
        <v>3</v>
      </c>
      <c r="F37" s="168">
        <f t="shared" si="22"/>
        <v>366.66666666666669</v>
      </c>
      <c r="G37" s="169">
        <f t="shared" si="32"/>
        <v>0</v>
      </c>
      <c r="H37" s="178">
        <f t="shared" si="32"/>
        <v>0</v>
      </c>
      <c r="I37" s="178">
        <f t="shared" si="32"/>
        <v>0</v>
      </c>
      <c r="J37" s="178">
        <f t="shared" si="32"/>
        <v>0</v>
      </c>
      <c r="K37" s="178">
        <f t="shared" si="32"/>
        <v>0</v>
      </c>
      <c r="L37" s="178">
        <f t="shared" si="32"/>
        <v>0</v>
      </c>
      <c r="M37" s="178">
        <f t="shared" si="32"/>
        <v>0</v>
      </c>
      <c r="N37" s="178">
        <f t="shared" si="32"/>
        <v>0</v>
      </c>
      <c r="O37" s="178">
        <f t="shared" si="32"/>
        <v>0</v>
      </c>
      <c r="P37" s="178">
        <f t="shared" si="32"/>
        <v>0</v>
      </c>
      <c r="Q37" s="178">
        <f t="shared" si="32"/>
        <v>0</v>
      </c>
      <c r="R37" s="179">
        <f t="shared" si="32"/>
        <v>0</v>
      </c>
      <c r="S37" s="169">
        <f t="shared" si="58"/>
        <v>0</v>
      </c>
      <c r="T37" s="179">
        <f t="shared" si="33"/>
        <v>0</v>
      </c>
      <c r="U37" s="180">
        <f t="shared" si="34"/>
        <v>0</v>
      </c>
      <c r="V37" s="178">
        <f t="shared" si="34"/>
        <v>0</v>
      </c>
      <c r="W37" s="178">
        <f t="shared" si="34"/>
        <v>0</v>
      </c>
      <c r="X37" s="178">
        <f t="shared" si="34"/>
        <v>0</v>
      </c>
      <c r="Y37" s="178">
        <f t="shared" si="34"/>
        <v>0</v>
      </c>
      <c r="Z37" s="178">
        <f t="shared" si="34"/>
        <v>0</v>
      </c>
      <c r="AA37" s="178">
        <f t="shared" si="34"/>
        <v>0</v>
      </c>
      <c r="AB37" s="178">
        <f t="shared" si="34"/>
        <v>0</v>
      </c>
      <c r="AC37" s="178">
        <f t="shared" si="34"/>
        <v>0</v>
      </c>
      <c r="AD37" s="178">
        <f t="shared" si="34"/>
        <v>0</v>
      </c>
      <c r="AE37" s="178">
        <f t="shared" si="34"/>
        <v>0</v>
      </c>
      <c r="AF37" s="168">
        <f t="shared" si="34"/>
        <v>0</v>
      </c>
      <c r="AG37" s="169">
        <f t="shared" si="35"/>
        <v>0</v>
      </c>
      <c r="AH37" s="179">
        <f t="shared" si="36"/>
        <v>0</v>
      </c>
      <c r="AI37" s="180">
        <f t="shared" si="37"/>
        <v>0</v>
      </c>
      <c r="AJ37" s="178">
        <f t="shared" si="37"/>
        <v>0</v>
      </c>
      <c r="AK37" s="178">
        <f t="shared" si="37"/>
        <v>0</v>
      </c>
      <c r="AL37" s="178">
        <f t="shared" si="37"/>
        <v>0</v>
      </c>
      <c r="AM37" s="178">
        <f t="shared" si="37"/>
        <v>0</v>
      </c>
      <c r="AN37" s="178">
        <f t="shared" si="37"/>
        <v>0</v>
      </c>
      <c r="AO37" s="178">
        <f t="shared" si="37"/>
        <v>0</v>
      </c>
      <c r="AP37" s="178">
        <f t="shared" si="37"/>
        <v>0</v>
      </c>
      <c r="AQ37" s="178">
        <f t="shared" si="37"/>
        <v>0</v>
      </c>
      <c r="AR37" s="178">
        <f t="shared" si="37"/>
        <v>0</v>
      </c>
      <c r="AS37" s="178">
        <f t="shared" si="37"/>
        <v>0</v>
      </c>
      <c r="AT37" s="168">
        <f t="shared" si="37"/>
        <v>0</v>
      </c>
      <c r="AU37" s="169">
        <f t="shared" si="38"/>
        <v>0</v>
      </c>
      <c r="AV37" s="179">
        <f t="shared" si="39"/>
        <v>0</v>
      </c>
      <c r="AW37" s="180">
        <f t="shared" si="40"/>
        <v>0</v>
      </c>
      <c r="AX37" s="178">
        <f t="shared" si="40"/>
        <v>0</v>
      </c>
      <c r="AY37" s="178">
        <f t="shared" si="40"/>
        <v>0</v>
      </c>
      <c r="AZ37" s="178">
        <f t="shared" si="40"/>
        <v>0</v>
      </c>
      <c r="BA37" s="178">
        <f t="shared" si="40"/>
        <v>0</v>
      </c>
      <c r="BB37" s="178">
        <f t="shared" si="40"/>
        <v>0</v>
      </c>
      <c r="BC37" s="178">
        <f t="shared" si="40"/>
        <v>0</v>
      </c>
      <c r="BD37" s="178">
        <f t="shared" si="40"/>
        <v>0</v>
      </c>
      <c r="BE37" s="178">
        <f t="shared" si="40"/>
        <v>0</v>
      </c>
      <c r="BF37" s="178">
        <f t="shared" si="40"/>
        <v>0</v>
      </c>
      <c r="BG37" s="178">
        <f t="shared" si="40"/>
        <v>0</v>
      </c>
      <c r="BH37" s="168">
        <f t="shared" si="40"/>
        <v>0</v>
      </c>
      <c r="BI37" s="169">
        <f t="shared" si="41"/>
        <v>0</v>
      </c>
      <c r="BJ37" s="179">
        <f t="shared" si="42"/>
        <v>0</v>
      </c>
      <c r="BK37" s="180">
        <f t="shared" si="43"/>
        <v>0</v>
      </c>
      <c r="BL37" s="178">
        <f t="shared" si="43"/>
        <v>0</v>
      </c>
      <c r="BM37" s="178">
        <f t="shared" si="43"/>
        <v>0</v>
      </c>
      <c r="BN37" s="178">
        <f t="shared" si="43"/>
        <v>0</v>
      </c>
      <c r="BO37" s="178">
        <f t="shared" si="43"/>
        <v>0</v>
      </c>
      <c r="BP37" s="178">
        <f t="shared" si="43"/>
        <v>0</v>
      </c>
      <c r="BQ37" s="178">
        <f t="shared" si="43"/>
        <v>0</v>
      </c>
      <c r="BR37" s="178">
        <f t="shared" si="43"/>
        <v>0</v>
      </c>
      <c r="BS37" s="178">
        <f t="shared" si="43"/>
        <v>0</v>
      </c>
      <c r="BT37" s="178">
        <f t="shared" si="43"/>
        <v>0</v>
      </c>
      <c r="BU37" s="178">
        <f t="shared" si="43"/>
        <v>0</v>
      </c>
      <c r="BV37" s="168">
        <f t="shared" si="43"/>
        <v>0</v>
      </c>
      <c r="BW37" s="169">
        <f t="shared" si="44"/>
        <v>0</v>
      </c>
      <c r="BX37" s="179">
        <f t="shared" si="45"/>
        <v>0</v>
      </c>
      <c r="BY37" s="180">
        <f t="shared" si="46"/>
        <v>0</v>
      </c>
      <c r="BZ37" s="178">
        <f t="shared" si="46"/>
        <v>0</v>
      </c>
      <c r="CA37" s="178">
        <f t="shared" si="46"/>
        <v>0</v>
      </c>
      <c r="CB37" s="178">
        <f t="shared" si="46"/>
        <v>0</v>
      </c>
      <c r="CC37" s="178">
        <f t="shared" si="46"/>
        <v>0</v>
      </c>
      <c r="CD37" s="178">
        <f t="shared" si="46"/>
        <v>0</v>
      </c>
      <c r="CE37" s="178">
        <f t="shared" si="46"/>
        <v>0</v>
      </c>
      <c r="CF37" s="178">
        <f t="shared" si="46"/>
        <v>0</v>
      </c>
      <c r="CG37" s="178">
        <f t="shared" si="46"/>
        <v>0</v>
      </c>
      <c r="CH37" s="178">
        <f t="shared" si="46"/>
        <v>0</v>
      </c>
      <c r="CI37" s="178">
        <f t="shared" si="46"/>
        <v>0</v>
      </c>
      <c r="CJ37" s="168">
        <f t="shared" si="46"/>
        <v>0</v>
      </c>
      <c r="CK37" s="169">
        <f t="shared" si="47"/>
        <v>0</v>
      </c>
      <c r="CL37" s="179">
        <f t="shared" si="48"/>
        <v>0</v>
      </c>
      <c r="CM37" s="180">
        <f t="shared" si="49"/>
        <v>0</v>
      </c>
      <c r="CN37" s="178">
        <f t="shared" si="49"/>
        <v>0</v>
      </c>
      <c r="CO37" s="178">
        <f t="shared" si="49"/>
        <v>0</v>
      </c>
      <c r="CP37" s="178">
        <f t="shared" si="49"/>
        <v>0</v>
      </c>
      <c r="CQ37" s="178">
        <f t="shared" si="49"/>
        <v>0</v>
      </c>
      <c r="CR37" s="178">
        <f t="shared" si="49"/>
        <v>0</v>
      </c>
      <c r="CS37" s="178">
        <f t="shared" si="49"/>
        <v>0</v>
      </c>
      <c r="CT37" s="178">
        <f t="shared" si="49"/>
        <v>0</v>
      </c>
      <c r="CU37" s="178">
        <f t="shared" si="49"/>
        <v>0</v>
      </c>
      <c r="CV37" s="178">
        <f t="shared" si="49"/>
        <v>0</v>
      </c>
      <c r="CW37" s="178">
        <f t="shared" si="49"/>
        <v>0</v>
      </c>
      <c r="CX37" s="168">
        <f t="shared" si="49"/>
        <v>0</v>
      </c>
      <c r="CY37" s="169">
        <f t="shared" si="50"/>
        <v>0</v>
      </c>
      <c r="CZ37" s="179">
        <f t="shared" si="51"/>
        <v>0</v>
      </c>
      <c r="DA37" s="180">
        <f t="shared" si="52"/>
        <v>0</v>
      </c>
      <c r="DB37" s="178">
        <f t="shared" si="52"/>
        <v>0</v>
      </c>
      <c r="DC37" s="178">
        <f t="shared" si="52"/>
        <v>0</v>
      </c>
      <c r="DD37" s="178">
        <f t="shared" si="52"/>
        <v>0</v>
      </c>
      <c r="DE37" s="178">
        <f t="shared" si="52"/>
        <v>0</v>
      </c>
      <c r="DF37" s="178">
        <f t="shared" si="52"/>
        <v>0</v>
      </c>
      <c r="DG37" s="178">
        <f t="shared" si="52"/>
        <v>0</v>
      </c>
      <c r="DH37" s="178">
        <f t="shared" si="52"/>
        <v>0</v>
      </c>
      <c r="DI37" s="178">
        <f t="shared" si="52"/>
        <v>0</v>
      </c>
      <c r="DJ37" s="178">
        <f t="shared" si="52"/>
        <v>0</v>
      </c>
      <c r="DK37" s="178">
        <f t="shared" si="52"/>
        <v>0</v>
      </c>
      <c r="DL37" s="168">
        <f t="shared" si="52"/>
        <v>0</v>
      </c>
      <c r="DM37" s="169">
        <f t="shared" si="53"/>
        <v>0</v>
      </c>
      <c r="DN37" s="171">
        <f t="shared" si="54"/>
        <v>0</v>
      </c>
      <c r="DO37" s="180">
        <f t="shared" si="55"/>
        <v>0</v>
      </c>
      <c r="DP37" s="178">
        <f t="shared" si="55"/>
        <v>0</v>
      </c>
      <c r="DQ37" s="178">
        <f t="shared" si="55"/>
        <v>0</v>
      </c>
      <c r="DR37" s="178">
        <f t="shared" si="55"/>
        <v>0</v>
      </c>
      <c r="DS37" s="178">
        <f t="shared" si="55"/>
        <v>0</v>
      </c>
      <c r="DT37" s="178">
        <f t="shared" si="55"/>
        <v>0</v>
      </c>
      <c r="DU37" s="178">
        <f t="shared" si="55"/>
        <v>0</v>
      </c>
      <c r="DV37" s="178">
        <f t="shared" si="55"/>
        <v>0</v>
      </c>
      <c r="DW37" s="178">
        <f t="shared" si="55"/>
        <v>0</v>
      </c>
      <c r="DX37" s="178">
        <f t="shared" si="55"/>
        <v>0</v>
      </c>
      <c r="DY37" s="178">
        <f t="shared" si="55"/>
        <v>0</v>
      </c>
      <c r="DZ37" s="168">
        <f t="shared" si="55"/>
        <v>0</v>
      </c>
      <c r="EA37" s="169">
        <f t="shared" si="56"/>
        <v>0</v>
      </c>
      <c r="EB37" s="171">
        <f t="shared" si="57"/>
        <v>0</v>
      </c>
    </row>
    <row r="38" spans="1:132" s="177" customFormat="1" ht="15.75">
      <c r="A38" s="163">
        <v>43796</v>
      </c>
      <c r="B38" s="164" t="s">
        <v>90</v>
      </c>
      <c r="C38" s="165" t="s">
        <v>175</v>
      </c>
      <c r="D38" s="166">
        <v>2500</v>
      </c>
      <c r="E38" s="167">
        <v>5</v>
      </c>
      <c r="F38" s="168">
        <f t="shared" si="22"/>
        <v>500</v>
      </c>
      <c r="G38" s="169">
        <f t="shared" si="32"/>
        <v>0</v>
      </c>
      <c r="H38" s="178">
        <f t="shared" si="32"/>
        <v>0</v>
      </c>
      <c r="I38" s="178">
        <f t="shared" si="32"/>
        <v>0</v>
      </c>
      <c r="J38" s="178">
        <f t="shared" si="32"/>
        <v>0</v>
      </c>
      <c r="K38" s="178">
        <f t="shared" si="32"/>
        <v>0</v>
      </c>
      <c r="L38" s="178">
        <f t="shared" si="32"/>
        <v>0</v>
      </c>
      <c r="M38" s="178">
        <f t="shared" si="32"/>
        <v>0</v>
      </c>
      <c r="N38" s="178">
        <f t="shared" si="32"/>
        <v>0</v>
      </c>
      <c r="O38" s="178">
        <f t="shared" si="32"/>
        <v>0</v>
      </c>
      <c r="P38" s="178">
        <f t="shared" si="32"/>
        <v>0</v>
      </c>
      <c r="Q38" s="178">
        <f t="shared" si="32"/>
        <v>0</v>
      </c>
      <c r="R38" s="179">
        <f t="shared" si="32"/>
        <v>0</v>
      </c>
      <c r="S38" s="169">
        <f t="shared" si="58"/>
        <v>0</v>
      </c>
      <c r="T38" s="179">
        <f t="shared" si="33"/>
        <v>0</v>
      </c>
      <c r="U38" s="180">
        <f t="shared" si="34"/>
        <v>0</v>
      </c>
      <c r="V38" s="178">
        <f t="shared" si="34"/>
        <v>0</v>
      </c>
      <c r="W38" s="178">
        <f t="shared" si="34"/>
        <v>0</v>
      </c>
      <c r="X38" s="178">
        <f t="shared" si="34"/>
        <v>0</v>
      </c>
      <c r="Y38" s="178">
        <f t="shared" si="34"/>
        <v>0</v>
      </c>
      <c r="Z38" s="178">
        <f t="shared" si="34"/>
        <v>0</v>
      </c>
      <c r="AA38" s="178">
        <f t="shared" si="34"/>
        <v>0</v>
      </c>
      <c r="AB38" s="178">
        <f t="shared" si="34"/>
        <v>0</v>
      </c>
      <c r="AC38" s="178">
        <f t="shared" si="34"/>
        <v>0</v>
      </c>
      <c r="AD38" s="178">
        <f t="shared" si="34"/>
        <v>0</v>
      </c>
      <c r="AE38" s="178">
        <f t="shared" si="34"/>
        <v>0</v>
      </c>
      <c r="AF38" s="168">
        <f t="shared" si="34"/>
        <v>0</v>
      </c>
      <c r="AG38" s="169">
        <f t="shared" si="35"/>
        <v>0</v>
      </c>
      <c r="AH38" s="179">
        <f t="shared" si="36"/>
        <v>0</v>
      </c>
      <c r="AI38" s="180">
        <f t="shared" si="37"/>
        <v>0</v>
      </c>
      <c r="AJ38" s="178">
        <f t="shared" si="37"/>
        <v>0</v>
      </c>
      <c r="AK38" s="178">
        <f t="shared" si="37"/>
        <v>0</v>
      </c>
      <c r="AL38" s="178">
        <f t="shared" si="37"/>
        <v>0</v>
      </c>
      <c r="AM38" s="178">
        <f t="shared" si="37"/>
        <v>0</v>
      </c>
      <c r="AN38" s="178">
        <f t="shared" si="37"/>
        <v>0</v>
      </c>
      <c r="AO38" s="178">
        <f t="shared" si="37"/>
        <v>0</v>
      </c>
      <c r="AP38" s="178">
        <f t="shared" si="37"/>
        <v>0</v>
      </c>
      <c r="AQ38" s="178">
        <f t="shared" si="37"/>
        <v>0</v>
      </c>
      <c r="AR38" s="178">
        <f t="shared" si="37"/>
        <v>0</v>
      </c>
      <c r="AS38" s="178">
        <f t="shared" si="37"/>
        <v>0</v>
      </c>
      <c r="AT38" s="168">
        <f t="shared" si="37"/>
        <v>0</v>
      </c>
      <c r="AU38" s="169">
        <f t="shared" si="38"/>
        <v>0</v>
      </c>
      <c r="AV38" s="179">
        <f t="shared" si="39"/>
        <v>0</v>
      </c>
      <c r="AW38" s="180">
        <f t="shared" si="40"/>
        <v>0</v>
      </c>
      <c r="AX38" s="178">
        <f t="shared" si="40"/>
        <v>0</v>
      </c>
      <c r="AY38" s="178">
        <f t="shared" si="40"/>
        <v>0</v>
      </c>
      <c r="AZ38" s="178">
        <f t="shared" si="40"/>
        <v>0</v>
      </c>
      <c r="BA38" s="178">
        <f t="shared" si="40"/>
        <v>0</v>
      </c>
      <c r="BB38" s="178">
        <f t="shared" si="40"/>
        <v>0</v>
      </c>
      <c r="BC38" s="178">
        <f t="shared" si="40"/>
        <v>0</v>
      </c>
      <c r="BD38" s="178">
        <f t="shared" si="40"/>
        <v>0</v>
      </c>
      <c r="BE38" s="178">
        <f t="shared" si="40"/>
        <v>0</v>
      </c>
      <c r="BF38" s="178">
        <f t="shared" si="40"/>
        <v>0</v>
      </c>
      <c r="BG38" s="178">
        <f t="shared" si="40"/>
        <v>0</v>
      </c>
      <c r="BH38" s="168">
        <f t="shared" si="40"/>
        <v>0</v>
      </c>
      <c r="BI38" s="169">
        <f t="shared" si="41"/>
        <v>0</v>
      </c>
      <c r="BJ38" s="179">
        <f t="shared" si="42"/>
        <v>0</v>
      </c>
      <c r="BK38" s="180">
        <f t="shared" si="43"/>
        <v>0</v>
      </c>
      <c r="BL38" s="178">
        <f t="shared" si="43"/>
        <v>0</v>
      </c>
      <c r="BM38" s="178">
        <f t="shared" si="43"/>
        <v>0</v>
      </c>
      <c r="BN38" s="178">
        <f t="shared" si="43"/>
        <v>0</v>
      </c>
      <c r="BO38" s="178">
        <f t="shared" si="43"/>
        <v>0</v>
      </c>
      <c r="BP38" s="178">
        <f t="shared" si="43"/>
        <v>0</v>
      </c>
      <c r="BQ38" s="178">
        <f t="shared" si="43"/>
        <v>0</v>
      </c>
      <c r="BR38" s="178">
        <f t="shared" si="43"/>
        <v>0</v>
      </c>
      <c r="BS38" s="178">
        <f t="shared" si="43"/>
        <v>0</v>
      </c>
      <c r="BT38" s="178">
        <f t="shared" si="43"/>
        <v>0</v>
      </c>
      <c r="BU38" s="178">
        <f t="shared" si="43"/>
        <v>0</v>
      </c>
      <c r="BV38" s="168">
        <f t="shared" si="43"/>
        <v>0</v>
      </c>
      <c r="BW38" s="169">
        <f t="shared" si="44"/>
        <v>0</v>
      </c>
      <c r="BX38" s="179">
        <f t="shared" si="45"/>
        <v>0</v>
      </c>
      <c r="BY38" s="180">
        <f t="shared" si="46"/>
        <v>0</v>
      </c>
      <c r="BZ38" s="178">
        <f t="shared" si="46"/>
        <v>0</v>
      </c>
      <c r="CA38" s="178">
        <f t="shared" si="46"/>
        <v>0</v>
      </c>
      <c r="CB38" s="178">
        <f t="shared" si="46"/>
        <v>0</v>
      </c>
      <c r="CC38" s="178">
        <f t="shared" si="46"/>
        <v>0</v>
      </c>
      <c r="CD38" s="178">
        <f t="shared" si="46"/>
        <v>0</v>
      </c>
      <c r="CE38" s="178">
        <f t="shared" si="46"/>
        <v>0</v>
      </c>
      <c r="CF38" s="178">
        <f t="shared" si="46"/>
        <v>0</v>
      </c>
      <c r="CG38" s="178">
        <f t="shared" si="46"/>
        <v>0</v>
      </c>
      <c r="CH38" s="178">
        <f t="shared" si="46"/>
        <v>0</v>
      </c>
      <c r="CI38" s="178">
        <f t="shared" si="46"/>
        <v>0</v>
      </c>
      <c r="CJ38" s="168">
        <f t="shared" si="46"/>
        <v>0</v>
      </c>
      <c r="CK38" s="169">
        <f t="shared" si="47"/>
        <v>0</v>
      </c>
      <c r="CL38" s="179">
        <f t="shared" si="48"/>
        <v>0</v>
      </c>
      <c r="CM38" s="180">
        <f t="shared" si="49"/>
        <v>0</v>
      </c>
      <c r="CN38" s="178">
        <f t="shared" si="49"/>
        <v>0</v>
      </c>
      <c r="CO38" s="178">
        <f t="shared" si="49"/>
        <v>0</v>
      </c>
      <c r="CP38" s="178">
        <f t="shared" si="49"/>
        <v>0</v>
      </c>
      <c r="CQ38" s="178">
        <f t="shared" si="49"/>
        <v>0</v>
      </c>
      <c r="CR38" s="178">
        <f t="shared" si="49"/>
        <v>0</v>
      </c>
      <c r="CS38" s="178">
        <f t="shared" si="49"/>
        <v>0</v>
      </c>
      <c r="CT38" s="178">
        <f t="shared" si="49"/>
        <v>0</v>
      </c>
      <c r="CU38" s="178">
        <f t="shared" si="49"/>
        <v>0</v>
      </c>
      <c r="CV38" s="178">
        <f t="shared" si="49"/>
        <v>0</v>
      </c>
      <c r="CW38" s="178">
        <f t="shared" si="49"/>
        <v>0</v>
      </c>
      <c r="CX38" s="168">
        <f t="shared" si="49"/>
        <v>0</v>
      </c>
      <c r="CY38" s="169">
        <f t="shared" si="50"/>
        <v>0</v>
      </c>
      <c r="CZ38" s="179">
        <f t="shared" si="51"/>
        <v>0</v>
      </c>
      <c r="DA38" s="180">
        <f t="shared" si="52"/>
        <v>0</v>
      </c>
      <c r="DB38" s="178">
        <f t="shared" si="52"/>
        <v>0</v>
      </c>
      <c r="DC38" s="178">
        <f t="shared" si="52"/>
        <v>0</v>
      </c>
      <c r="DD38" s="178">
        <f t="shared" si="52"/>
        <v>0</v>
      </c>
      <c r="DE38" s="178">
        <f t="shared" si="52"/>
        <v>0</v>
      </c>
      <c r="DF38" s="178">
        <f t="shared" si="52"/>
        <v>0</v>
      </c>
      <c r="DG38" s="178">
        <f t="shared" si="52"/>
        <v>0</v>
      </c>
      <c r="DH38" s="178">
        <f t="shared" si="52"/>
        <v>0</v>
      </c>
      <c r="DI38" s="178">
        <f t="shared" si="52"/>
        <v>0</v>
      </c>
      <c r="DJ38" s="178">
        <f t="shared" si="52"/>
        <v>0</v>
      </c>
      <c r="DK38" s="178">
        <f t="shared" si="52"/>
        <v>0</v>
      </c>
      <c r="DL38" s="168">
        <f t="shared" si="52"/>
        <v>0</v>
      </c>
      <c r="DM38" s="169">
        <f t="shared" si="53"/>
        <v>0</v>
      </c>
      <c r="DN38" s="171">
        <f t="shared" si="54"/>
        <v>0</v>
      </c>
      <c r="DO38" s="180">
        <f t="shared" si="55"/>
        <v>0</v>
      </c>
      <c r="DP38" s="178">
        <f t="shared" si="55"/>
        <v>0</v>
      </c>
      <c r="DQ38" s="178">
        <f t="shared" si="55"/>
        <v>0</v>
      </c>
      <c r="DR38" s="178">
        <f t="shared" si="55"/>
        <v>0</v>
      </c>
      <c r="DS38" s="178">
        <f t="shared" si="55"/>
        <v>0</v>
      </c>
      <c r="DT38" s="178">
        <f t="shared" si="55"/>
        <v>0</v>
      </c>
      <c r="DU38" s="178">
        <f t="shared" si="55"/>
        <v>0</v>
      </c>
      <c r="DV38" s="178">
        <f t="shared" si="55"/>
        <v>0</v>
      </c>
      <c r="DW38" s="178">
        <f t="shared" si="55"/>
        <v>0</v>
      </c>
      <c r="DX38" s="178">
        <f t="shared" si="55"/>
        <v>0</v>
      </c>
      <c r="DY38" s="178">
        <f t="shared" si="55"/>
        <v>0</v>
      </c>
      <c r="DZ38" s="168">
        <f t="shared" si="55"/>
        <v>0</v>
      </c>
      <c r="EA38" s="169">
        <f t="shared" si="56"/>
        <v>0</v>
      </c>
      <c r="EB38" s="171">
        <f t="shared" si="57"/>
        <v>0</v>
      </c>
    </row>
    <row r="39" spans="1:132" s="177" customFormat="1" ht="15.75">
      <c r="A39" s="163">
        <v>43801</v>
      </c>
      <c r="B39" s="164" t="s">
        <v>90</v>
      </c>
      <c r="C39" s="165" t="s">
        <v>176</v>
      </c>
      <c r="D39" s="166">
        <v>75000</v>
      </c>
      <c r="E39" s="167">
        <v>2</v>
      </c>
      <c r="F39" s="168">
        <f t="shared" si="22"/>
        <v>37500</v>
      </c>
      <c r="G39" s="169">
        <f t="shared" si="32"/>
        <v>0</v>
      </c>
      <c r="H39" s="178">
        <f t="shared" si="32"/>
        <v>0</v>
      </c>
      <c r="I39" s="178">
        <f t="shared" si="32"/>
        <v>0</v>
      </c>
      <c r="J39" s="178">
        <f t="shared" si="32"/>
        <v>0</v>
      </c>
      <c r="K39" s="178">
        <f t="shared" si="32"/>
        <v>0</v>
      </c>
      <c r="L39" s="178">
        <f t="shared" si="32"/>
        <v>0</v>
      </c>
      <c r="M39" s="178">
        <f t="shared" si="32"/>
        <v>0</v>
      </c>
      <c r="N39" s="178">
        <f t="shared" si="32"/>
        <v>0</v>
      </c>
      <c r="O39" s="178">
        <f t="shared" si="32"/>
        <v>0</v>
      </c>
      <c r="P39" s="178">
        <f t="shared" si="32"/>
        <v>0</v>
      </c>
      <c r="Q39" s="178">
        <f t="shared" si="32"/>
        <v>0</v>
      </c>
      <c r="R39" s="179">
        <f t="shared" si="32"/>
        <v>0</v>
      </c>
      <c r="S39" s="169">
        <f t="shared" si="58"/>
        <v>0</v>
      </c>
      <c r="T39" s="179">
        <f t="shared" si="33"/>
        <v>0</v>
      </c>
      <c r="U39" s="180">
        <f t="shared" si="34"/>
        <v>0</v>
      </c>
      <c r="V39" s="178">
        <f t="shared" si="34"/>
        <v>0</v>
      </c>
      <c r="W39" s="178">
        <f t="shared" si="34"/>
        <v>0</v>
      </c>
      <c r="X39" s="178">
        <f t="shared" si="34"/>
        <v>0</v>
      </c>
      <c r="Y39" s="178">
        <f t="shared" si="34"/>
        <v>0</v>
      </c>
      <c r="Z39" s="178">
        <f t="shared" si="34"/>
        <v>0</v>
      </c>
      <c r="AA39" s="178">
        <f t="shared" si="34"/>
        <v>0</v>
      </c>
      <c r="AB39" s="178">
        <f t="shared" si="34"/>
        <v>0</v>
      </c>
      <c r="AC39" s="178">
        <f t="shared" si="34"/>
        <v>0</v>
      </c>
      <c r="AD39" s="178">
        <f t="shared" si="34"/>
        <v>0</v>
      </c>
      <c r="AE39" s="178">
        <f t="shared" si="34"/>
        <v>0</v>
      </c>
      <c r="AF39" s="168">
        <f t="shared" si="34"/>
        <v>0</v>
      </c>
      <c r="AG39" s="169">
        <f t="shared" si="35"/>
        <v>0</v>
      </c>
      <c r="AH39" s="179">
        <f t="shared" si="36"/>
        <v>0</v>
      </c>
      <c r="AI39" s="180">
        <f t="shared" si="37"/>
        <v>0</v>
      </c>
      <c r="AJ39" s="178">
        <f t="shared" si="37"/>
        <v>0</v>
      </c>
      <c r="AK39" s="178">
        <f t="shared" si="37"/>
        <v>0</v>
      </c>
      <c r="AL39" s="178">
        <f t="shared" si="37"/>
        <v>0</v>
      </c>
      <c r="AM39" s="178">
        <f t="shared" si="37"/>
        <v>0</v>
      </c>
      <c r="AN39" s="178">
        <f t="shared" si="37"/>
        <v>0</v>
      </c>
      <c r="AO39" s="178">
        <f t="shared" si="37"/>
        <v>0</v>
      </c>
      <c r="AP39" s="178">
        <f t="shared" si="37"/>
        <v>0</v>
      </c>
      <c r="AQ39" s="178">
        <f t="shared" si="37"/>
        <v>0</v>
      </c>
      <c r="AR39" s="178">
        <f t="shared" si="37"/>
        <v>0</v>
      </c>
      <c r="AS39" s="178">
        <f t="shared" si="37"/>
        <v>0</v>
      </c>
      <c r="AT39" s="168">
        <f t="shared" si="37"/>
        <v>0</v>
      </c>
      <c r="AU39" s="169">
        <f t="shared" si="38"/>
        <v>0</v>
      </c>
      <c r="AV39" s="179">
        <f t="shared" si="39"/>
        <v>0</v>
      </c>
      <c r="AW39" s="180">
        <f t="shared" si="40"/>
        <v>0</v>
      </c>
      <c r="AX39" s="178">
        <f t="shared" si="40"/>
        <v>0</v>
      </c>
      <c r="AY39" s="178">
        <f t="shared" si="40"/>
        <v>0</v>
      </c>
      <c r="AZ39" s="178">
        <f t="shared" si="40"/>
        <v>0</v>
      </c>
      <c r="BA39" s="178">
        <f t="shared" si="40"/>
        <v>0</v>
      </c>
      <c r="BB39" s="178">
        <f t="shared" si="40"/>
        <v>0</v>
      </c>
      <c r="BC39" s="178">
        <f t="shared" si="40"/>
        <v>0</v>
      </c>
      <c r="BD39" s="178">
        <f t="shared" si="40"/>
        <v>0</v>
      </c>
      <c r="BE39" s="178">
        <f t="shared" si="40"/>
        <v>0</v>
      </c>
      <c r="BF39" s="178">
        <f t="shared" si="40"/>
        <v>0</v>
      </c>
      <c r="BG39" s="178">
        <f t="shared" si="40"/>
        <v>0</v>
      </c>
      <c r="BH39" s="168">
        <f t="shared" si="40"/>
        <v>0</v>
      </c>
      <c r="BI39" s="169">
        <f t="shared" si="41"/>
        <v>0</v>
      </c>
      <c r="BJ39" s="179">
        <f t="shared" si="42"/>
        <v>0</v>
      </c>
      <c r="BK39" s="180">
        <f t="shared" si="43"/>
        <v>0</v>
      </c>
      <c r="BL39" s="178">
        <f t="shared" si="43"/>
        <v>0</v>
      </c>
      <c r="BM39" s="178">
        <f t="shared" si="43"/>
        <v>0</v>
      </c>
      <c r="BN39" s="178">
        <f t="shared" si="43"/>
        <v>0</v>
      </c>
      <c r="BO39" s="178">
        <f t="shared" si="43"/>
        <v>0</v>
      </c>
      <c r="BP39" s="178">
        <f t="shared" si="43"/>
        <v>0</v>
      </c>
      <c r="BQ39" s="178">
        <f t="shared" si="43"/>
        <v>0</v>
      </c>
      <c r="BR39" s="178">
        <f t="shared" si="43"/>
        <v>0</v>
      </c>
      <c r="BS39" s="178">
        <f t="shared" si="43"/>
        <v>0</v>
      </c>
      <c r="BT39" s="178">
        <f t="shared" si="43"/>
        <v>0</v>
      </c>
      <c r="BU39" s="178">
        <f t="shared" si="43"/>
        <v>0</v>
      </c>
      <c r="BV39" s="168">
        <f t="shared" si="43"/>
        <v>0</v>
      </c>
      <c r="BW39" s="169">
        <f t="shared" si="44"/>
        <v>0</v>
      </c>
      <c r="BX39" s="179">
        <f t="shared" si="45"/>
        <v>0</v>
      </c>
      <c r="BY39" s="180">
        <f t="shared" si="46"/>
        <v>0</v>
      </c>
      <c r="BZ39" s="178">
        <f t="shared" si="46"/>
        <v>0</v>
      </c>
      <c r="CA39" s="178">
        <f t="shared" si="46"/>
        <v>0</v>
      </c>
      <c r="CB39" s="178">
        <f t="shared" si="46"/>
        <v>0</v>
      </c>
      <c r="CC39" s="178">
        <f t="shared" si="46"/>
        <v>0</v>
      </c>
      <c r="CD39" s="178">
        <f t="shared" si="46"/>
        <v>0</v>
      </c>
      <c r="CE39" s="178">
        <f t="shared" si="46"/>
        <v>0</v>
      </c>
      <c r="CF39" s="178">
        <f t="shared" si="46"/>
        <v>0</v>
      </c>
      <c r="CG39" s="178">
        <f t="shared" si="46"/>
        <v>0</v>
      </c>
      <c r="CH39" s="178">
        <f t="shared" si="46"/>
        <v>0</v>
      </c>
      <c r="CI39" s="178">
        <f t="shared" si="46"/>
        <v>0</v>
      </c>
      <c r="CJ39" s="168">
        <f t="shared" si="46"/>
        <v>0</v>
      </c>
      <c r="CK39" s="169">
        <f t="shared" si="47"/>
        <v>0</v>
      </c>
      <c r="CL39" s="179">
        <f t="shared" si="48"/>
        <v>0</v>
      </c>
      <c r="CM39" s="180">
        <f t="shared" si="49"/>
        <v>0</v>
      </c>
      <c r="CN39" s="178">
        <f t="shared" si="49"/>
        <v>0</v>
      </c>
      <c r="CO39" s="178">
        <f t="shared" si="49"/>
        <v>0</v>
      </c>
      <c r="CP39" s="178">
        <f t="shared" si="49"/>
        <v>0</v>
      </c>
      <c r="CQ39" s="178">
        <f t="shared" si="49"/>
        <v>0</v>
      </c>
      <c r="CR39" s="178">
        <f t="shared" si="49"/>
        <v>0</v>
      </c>
      <c r="CS39" s="178">
        <f t="shared" si="49"/>
        <v>0</v>
      </c>
      <c r="CT39" s="178">
        <f t="shared" si="49"/>
        <v>0</v>
      </c>
      <c r="CU39" s="178">
        <f t="shared" si="49"/>
        <v>0</v>
      </c>
      <c r="CV39" s="178">
        <f t="shared" si="49"/>
        <v>0</v>
      </c>
      <c r="CW39" s="178">
        <f t="shared" si="49"/>
        <v>0</v>
      </c>
      <c r="CX39" s="168">
        <f t="shared" si="49"/>
        <v>0</v>
      </c>
      <c r="CY39" s="169">
        <f t="shared" si="50"/>
        <v>0</v>
      </c>
      <c r="CZ39" s="179">
        <f t="shared" si="51"/>
        <v>0</v>
      </c>
      <c r="DA39" s="180">
        <f t="shared" si="52"/>
        <v>0</v>
      </c>
      <c r="DB39" s="178">
        <f t="shared" si="52"/>
        <v>0</v>
      </c>
      <c r="DC39" s="178">
        <f t="shared" si="52"/>
        <v>0</v>
      </c>
      <c r="DD39" s="178">
        <f t="shared" si="52"/>
        <v>0</v>
      </c>
      <c r="DE39" s="178">
        <f t="shared" si="52"/>
        <v>0</v>
      </c>
      <c r="DF39" s="178">
        <f t="shared" si="52"/>
        <v>0</v>
      </c>
      <c r="DG39" s="178">
        <f t="shared" si="52"/>
        <v>0</v>
      </c>
      <c r="DH39" s="178">
        <f t="shared" si="52"/>
        <v>0</v>
      </c>
      <c r="DI39" s="178">
        <f t="shared" si="52"/>
        <v>0</v>
      </c>
      <c r="DJ39" s="178">
        <f t="shared" si="52"/>
        <v>0</v>
      </c>
      <c r="DK39" s="178">
        <f t="shared" si="52"/>
        <v>0</v>
      </c>
      <c r="DL39" s="168">
        <f t="shared" si="52"/>
        <v>0</v>
      </c>
      <c r="DM39" s="169">
        <f t="shared" si="53"/>
        <v>0</v>
      </c>
      <c r="DN39" s="171">
        <f t="shared" si="54"/>
        <v>0</v>
      </c>
      <c r="DO39" s="180">
        <f t="shared" si="55"/>
        <v>0</v>
      </c>
      <c r="DP39" s="178">
        <f t="shared" si="55"/>
        <v>0</v>
      </c>
      <c r="DQ39" s="178">
        <f t="shared" si="55"/>
        <v>0</v>
      </c>
      <c r="DR39" s="178">
        <f t="shared" si="55"/>
        <v>0</v>
      </c>
      <c r="DS39" s="178">
        <f t="shared" si="55"/>
        <v>0</v>
      </c>
      <c r="DT39" s="178">
        <f t="shared" si="55"/>
        <v>0</v>
      </c>
      <c r="DU39" s="178">
        <f t="shared" si="55"/>
        <v>0</v>
      </c>
      <c r="DV39" s="178">
        <f t="shared" si="55"/>
        <v>0</v>
      </c>
      <c r="DW39" s="178">
        <f t="shared" si="55"/>
        <v>0</v>
      </c>
      <c r="DX39" s="178">
        <f t="shared" si="55"/>
        <v>0</v>
      </c>
      <c r="DY39" s="178">
        <f t="shared" si="55"/>
        <v>0</v>
      </c>
      <c r="DZ39" s="168">
        <f t="shared" si="55"/>
        <v>0</v>
      </c>
      <c r="EA39" s="169">
        <f t="shared" si="56"/>
        <v>0</v>
      </c>
      <c r="EB39" s="171">
        <f t="shared" si="57"/>
        <v>0</v>
      </c>
    </row>
    <row r="40" spans="1:132" s="177" customFormat="1" ht="15.75">
      <c r="A40" s="163">
        <v>43806</v>
      </c>
      <c r="B40" s="164" t="s">
        <v>91</v>
      </c>
      <c r="C40" s="165" t="s">
        <v>177</v>
      </c>
      <c r="D40" s="166">
        <v>1900</v>
      </c>
      <c r="E40" s="167">
        <v>10</v>
      </c>
      <c r="F40" s="168">
        <f t="shared" si="22"/>
        <v>190</v>
      </c>
      <c r="G40" s="169">
        <f t="shared" si="32"/>
        <v>0</v>
      </c>
      <c r="H40" s="178">
        <f t="shared" si="32"/>
        <v>0</v>
      </c>
      <c r="I40" s="178">
        <f t="shared" si="32"/>
        <v>0</v>
      </c>
      <c r="J40" s="178">
        <f t="shared" si="32"/>
        <v>0</v>
      </c>
      <c r="K40" s="178">
        <f t="shared" si="32"/>
        <v>0</v>
      </c>
      <c r="L40" s="178">
        <f t="shared" si="32"/>
        <v>0</v>
      </c>
      <c r="M40" s="178">
        <f t="shared" si="32"/>
        <v>0</v>
      </c>
      <c r="N40" s="178">
        <f t="shared" si="32"/>
        <v>0</v>
      </c>
      <c r="O40" s="178">
        <f t="shared" si="32"/>
        <v>0</v>
      </c>
      <c r="P40" s="178">
        <f t="shared" si="32"/>
        <v>0</v>
      </c>
      <c r="Q40" s="178">
        <f t="shared" si="32"/>
        <v>0</v>
      </c>
      <c r="R40" s="179">
        <f t="shared" si="32"/>
        <v>0</v>
      </c>
      <c r="S40" s="169">
        <f t="shared" si="58"/>
        <v>0</v>
      </c>
      <c r="T40" s="179">
        <f t="shared" si="33"/>
        <v>0</v>
      </c>
      <c r="U40" s="180">
        <f t="shared" ref="U40:AF50" si="59">IF(OR($F40&lt;=0,(U$9-$A40)&gt;(365*$E40)),0,IF($A40&lt;=U$9,$F40/12,0))</f>
        <v>0</v>
      </c>
      <c r="V40" s="178">
        <f t="shared" si="59"/>
        <v>0</v>
      </c>
      <c r="W40" s="178">
        <f t="shared" si="59"/>
        <v>0</v>
      </c>
      <c r="X40" s="178">
        <f t="shared" si="59"/>
        <v>0</v>
      </c>
      <c r="Y40" s="178">
        <f t="shared" si="59"/>
        <v>0</v>
      </c>
      <c r="Z40" s="178">
        <f t="shared" si="59"/>
        <v>0</v>
      </c>
      <c r="AA40" s="178">
        <f t="shared" si="59"/>
        <v>0</v>
      </c>
      <c r="AB40" s="178">
        <f t="shared" si="59"/>
        <v>0</v>
      </c>
      <c r="AC40" s="178">
        <f t="shared" si="59"/>
        <v>0</v>
      </c>
      <c r="AD40" s="178">
        <f t="shared" si="59"/>
        <v>0</v>
      </c>
      <c r="AE40" s="178">
        <f t="shared" si="59"/>
        <v>0</v>
      </c>
      <c r="AF40" s="168">
        <f t="shared" si="59"/>
        <v>0</v>
      </c>
      <c r="AG40" s="169">
        <f t="shared" si="35"/>
        <v>0</v>
      </c>
      <c r="AH40" s="179">
        <f t="shared" si="36"/>
        <v>0</v>
      </c>
      <c r="AI40" s="180">
        <f t="shared" ref="AI40:AT49" si="60">IF(OR($F40&lt;=0,(AI$9-$A40)&gt;(365*$E40)),0,IF($A40&lt;=AI$9,$F40/12,0))</f>
        <v>0</v>
      </c>
      <c r="AJ40" s="178">
        <f t="shared" si="60"/>
        <v>0</v>
      </c>
      <c r="AK40" s="178">
        <f t="shared" si="60"/>
        <v>0</v>
      </c>
      <c r="AL40" s="178">
        <f t="shared" si="60"/>
        <v>0</v>
      </c>
      <c r="AM40" s="178">
        <f t="shared" si="60"/>
        <v>0</v>
      </c>
      <c r="AN40" s="178">
        <f t="shared" si="60"/>
        <v>0</v>
      </c>
      <c r="AO40" s="178">
        <f t="shared" si="60"/>
        <v>0</v>
      </c>
      <c r="AP40" s="178">
        <f t="shared" si="60"/>
        <v>0</v>
      </c>
      <c r="AQ40" s="178">
        <f t="shared" si="60"/>
        <v>0</v>
      </c>
      <c r="AR40" s="178">
        <f t="shared" si="60"/>
        <v>0</v>
      </c>
      <c r="AS40" s="178">
        <f t="shared" si="60"/>
        <v>0</v>
      </c>
      <c r="AT40" s="168">
        <f t="shared" si="60"/>
        <v>0</v>
      </c>
      <c r="AU40" s="169">
        <f t="shared" si="38"/>
        <v>0</v>
      </c>
      <c r="AV40" s="179">
        <f t="shared" si="39"/>
        <v>0</v>
      </c>
      <c r="AW40" s="180">
        <f t="shared" ref="AW40:BH50" si="61">IF(OR($F40&lt;=0,(AW$9-$A40)&gt;(365*$E40)),0,IF($A40&lt;=AW$9,$F40/12,0))</f>
        <v>0</v>
      </c>
      <c r="AX40" s="178">
        <f t="shared" si="61"/>
        <v>0</v>
      </c>
      <c r="AY40" s="178">
        <f t="shared" si="61"/>
        <v>0</v>
      </c>
      <c r="AZ40" s="178">
        <f t="shared" si="61"/>
        <v>0</v>
      </c>
      <c r="BA40" s="178">
        <f t="shared" si="61"/>
        <v>0</v>
      </c>
      <c r="BB40" s="178">
        <f t="shared" si="61"/>
        <v>0</v>
      </c>
      <c r="BC40" s="178">
        <f t="shared" si="61"/>
        <v>0</v>
      </c>
      <c r="BD40" s="178">
        <f t="shared" si="61"/>
        <v>0</v>
      </c>
      <c r="BE40" s="178">
        <f t="shared" si="61"/>
        <v>0</v>
      </c>
      <c r="BF40" s="178">
        <f t="shared" si="61"/>
        <v>0</v>
      </c>
      <c r="BG40" s="178">
        <f t="shared" si="61"/>
        <v>0</v>
      </c>
      <c r="BH40" s="168">
        <f t="shared" si="61"/>
        <v>0</v>
      </c>
      <c r="BI40" s="169">
        <f t="shared" si="41"/>
        <v>0</v>
      </c>
      <c r="BJ40" s="179">
        <f t="shared" si="42"/>
        <v>0</v>
      </c>
      <c r="BK40" s="180">
        <f t="shared" ref="BK40:BV50" si="62">IF(OR($BJ40&lt;=0,(BK$9-$A40)&gt;($E40*365)),0,IF($A40&lt;=BK$9,$F40/12))</f>
        <v>0</v>
      </c>
      <c r="BL40" s="178">
        <f t="shared" si="62"/>
        <v>0</v>
      </c>
      <c r="BM40" s="178">
        <f t="shared" si="62"/>
        <v>0</v>
      </c>
      <c r="BN40" s="178">
        <f t="shared" si="62"/>
        <v>0</v>
      </c>
      <c r="BO40" s="178">
        <f t="shared" si="62"/>
        <v>0</v>
      </c>
      <c r="BP40" s="178">
        <f t="shared" si="62"/>
        <v>0</v>
      </c>
      <c r="BQ40" s="178">
        <f t="shared" si="62"/>
        <v>0</v>
      </c>
      <c r="BR40" s="178">
        <f t="shared" si="62"/>
        <v>0</v>
      </c>
      <c r="BS40" s="178">
        <f t="shared" si="62"/>
        <v>0</v>
      </c>
      <c r="BT40" s="178">
        <f t="shared" si="62"/>
        <v>0</v>
      </c>
      <c r="BU40" s="178">
        <f t="shared" si="62"/>
        <v>0</v>
      </c>
      <c r="BV40" s="168">
        <f t="shared" si="62"/>
        <v>0</v>
      </c>
      <c r="BW40" s="169">
        <f t="shared" si="44"/>
        <v>0</v>
      </c>
      <c r="BX40" s="179">
        <f t="shared" si="45"/>
        <v>0</v>
      </c>
      <c r="BY40" s="180">
        <f t="shared" ref="BY40:CJ50" si="63">IF(OR($BX40&lt;=0,(BY$9-$A40)&gt;($E40*365)),0,IF($A40&lt;=BY$9,$F40/12))</f>
        <v>0</v>
      </c>
      <c r="BZ40" s="178">
        <f t="shared" si="63"/>
        <v>0</v>
      </c>
      <c r="CA40" s="178">
        <f t="shared" si="63"/>
        <v>0</v>
      </c>
      <c r="CB40" s="178">
        <f t="shared" si="63"/>
        <v>0</v>
      </c>
      <c r="CC40" s="178">
        <f t="shared" si="63"/>
        <v>0</v>
      </c>
      <c r="CD40" s="178">
        <f t="shared" si="63"/>
        <v>0</v>
      </c>
      <c r="CE40" s="178">
        <f t="shared" si="63"/>
        <v>0</v>
      </c>
      <c r="CF40" s="178">
        <f t="shared" si="63"/>
        <v>0</v>
      </c>
      <c r="CG40" s="178">
        <f t="shared" si="63"/>
        <v>0</v>
      </c>
      <c r="CH40" s="178">
        <f t="shared" si="63"/>
        <v>0</v>
      </c>
      <c r="CI40" s="178">
        <f t="shared" si="63"/>
        <v>0</v>
      </c>
      <c r="CJ40" s="168">
        <f t="shared" si="63"/>
        <v>0</v>
      </c>
      <c r="CK40" s="169">
        <f t="shared" si="47"/>
        <v>0</v>
      </c>
      <c r="CL40" s="179">
        <f t="shared" si="48"/>
        <v>0</v>
      </c>
      <c r="CM40" s="180">
        <f t="shared" ref="CM40:CX50" si="64">IF(OR($CL40&lt;=0,(CM$9-$A40)&gt;($E40*365)),0,IF($A40&lt;=CM$9,$F40/12))</f>
        <v>0</v>
      </c>
      <c r="CN40" s="178">
        <f t="shared" si="64"/>
        <v>0</v>
      </c>
      <c r="CO40" s="178">
        <f t="shared" si="64"/>
        <v>0</v>
      </c>
      <c r="CP40" s="178">
        <f t="shared" si="64"/>
        <v>0</v>
      </c>
      <c r="CQ40" s="178">
        <f t="shared" si="64"/>
        <v>0</v>
      </c>
      <c r="CR40" s="178">
        <f t="shared" si="64"/>
        <v>0</v>
      </c>
      <c r="CS40" s="178">
        <f t="shared" si="64"/>
        <v>0</v>
      </c>
      <c r="CT40" s="178">
        <f t="shared" si="64"/>
        <v>0</v>
      </c>
      <c r="CU40" s="178">
        <f t="shared" si="64"/>
        <v>0</v>
      </c>
      <c r="CV40" s="178">
        <f t="shared" si="64"/>
        <v>0</v>
      </c>
      <c r="CW40" s="178">
        <f t="shared" si="64"/>
        <v>0</v>
      </c>
      <c r="CX40" s="168">
        <f t="shared" si="64"/>
        <v>0</v>
      </c>
      <c r="CY40" s="169">
        <f t="shared" si="50"/>
        <v>0</v>
      </c>
      <c r="CZ40" s="179">
        <f t="shared" si="51"/>
        <v>0</v>
      </c>
      <c r="DA40" s="180">
        <f t="shared" ref="DA40:DL50" si="65">IF(OR($CZ40&lt;=0,(DA$9-$A40)&gt;($E40*365)),0,IF($A40&lt;=DA$9,$F40/12))</f>
        <v>0</v>
      </c>
      <c r="DB40" s="178">
        <f t="shared" si="65"/>
        <v>0</v>
      </c>
      <c r="DC40" s="178">
        <f t="shared" si="65"/>
        <v>0</v>
      </c>
      <c r="DD40" s="178">
        <f t="shared" si="65"/>
        <v>0</v>
      </c>
      <c r="DE40" s="178">
        <f t="shared" si="65"/>
        <v>0</v>
      </c>
      <c r="DF40" s="178">
        <f t="shared" si="65"/>
        <v>0</v>
      </c>
      <c r="DG40" s="178">
        <f t="shared" si="65"/>
        <v>0</v>
      </c>
      <c r="DH40" s="178">
        <f t="shared" si="65"/>
        <v>0</v>
      </c>
      <c r="DI40" s="178">
        <f t="shared" si="65"/>
        <v>0</v>
      </c>
      <c r="DJ40" s="178">
        <f t="shared" si="65"/>
        <v>0</v>
      </c>
      <c r="DK40" s="178">
        <f t="shared" si="65"/>
        <v>0</v>
      </c>
      <c r="DL40" s="168">
        <f t="shared" si="65"/>
        <v>0</v>
      </c>
      <c r="DM40" s="169">
        <f t="shared" si="53"/>
        <v>0</v>
      </c>
      <c r="DN40" s="171">
        <f t="shared" si="54"/>
        <v>0</v>
      </c>
      <c r="DO40" s="180">
        <f t="shared" ref="DO40:DZ50" si="66">IF(OR($DN40&lt;=0,(DO$9-$A40)&gt;($E40*365)),0,IF($A40&lt;=DO$9,$F40/12))</f>
        <v>0</v>
      </c>
      <c r="DP40" s="178">
        <f t="shared" si="66"/>
        <v>0</v>
      </c>
      <c r="DQ40" s="178">
        <f t="shared" si="66"/>
        <v>0</v>
      </c>
      <c r="DR40" s="178">
        <f t="shared" si="66"/>
        <v>0</v>
      </c>
      <c r="DS40" s="178">
        <f t="shared" si="66"/>
        <v>0</v>
      </c>
      <c r="DT40" s="178">
        <f t="shared" si="66"/>
        <v>0</v>
      </c>
      <c r="DU40" s="178">
        <f t="shared" si="66"/>
        <v>0</v>
      </c>
      <c r="DV40" s="178">
        <f t="shared" si="66"/>
        <v>0</v>
      </c>
      <c r="DW40" s="178">
        <f t="shared" si="66"/>
        <v>0</v>
      </c>
      <c r="DX40" s="178">
        <f t="shared" si="66"/>
        <v>0</v>
      </c>
      <c r="DY40" s="178">
        <f t="shared" si="66"/>
        <v>0</v>
      </c>
      <c r="DZ40" s="168">
        <f t="shared" si="66"/>
        <v>0</v>
      </c>
      <c r="EA40" s="169">
        <f t="shared" si="56"/>
        <v>0</v>
      </c>
      <c r="EB40" s="171">
        <f t="shared" si="57"/>
        <v>0</v>
      </c>
    </row>
    <row r="41" spans="1:132" s="177" customFormat="1" ht="15.75">
      <c r="A41" s="163">
        <v>43834</v>
      </c>
      <c r="B41" s="164" t="s">
        <v>91</v>
      </c>
      <c r="C41" s="165" t="s">
        <v>178</v>
      </c>
      <c r="D41" s="166">
        <v>10500</v>
      </c>
      <c r="E41" s="167">
        <v>5</v>
      </c>
      <c r="F41" s="168">
        <f t="shared" si="22"/>
        <v>2100</v>
      </c>
      <c r="G41" s="169">
        <f t="shared" si="32"/>
        <v>0</v>
      </c>
      <c r="H41" s="178">
        <f t="shared" si="32"/>
        <v>0</v>
      </c>
      <c r="I41" s="178">
        <f t="shared" si="32"/>
        <v>0</v>
      </c>
      <c r="J41" s="178">
        <f t="shared" si="32"/>
        <v>0</v>
      </c>
      <c r="K41" s="178">
        <f t="shared" si="32"/>
        <v>0</v>
      </c>
      <c r="L41" s="178">
        <f t="shared" si="32"/>
        <v>0</v>
      </c>
      <c r="M41" s="178">
        <f t="shared" si="32"/>
        <v>0</v>
      </c>
      <c r="N41" s="178">
        <f t="shared" si="32"/>
        <v>0</v>
      </c>
      <c r="O41" s="178">
        <f t="shared" si="32"/>
        <v>0</v>
      </c>
      <c r="P41" s="178">
        <f t="shared" si="32"/>
        <v>0</v>
      </c>
      <c r="Q41" s="178">
        <f t="shared" si="32"/>
        <v>0</v>
      </c>
      <c r="R41" s="179">
        <f t="shared" si="32"/>
        <v>0</v>
      </c>
      <c r="S41" s="169">
        <f t="shared" si="58"/>
        <v>0</v>
      </c>
      <c r="T41" s="179">
        <f t="shared" si="33"/>
        <v>0</v>
      </c>
      <c r="U41" s="180">
        <f t="shared" si="59"/>
        <v>0</v>
      </c>
      <c r="V41" s="178">
        <f t="shared" si="59"/>
        <v>0</v>
      </c>
      <c r="W41" s="178">
        <f t="shared" si="59"/>
        <v>0</v>
      </c>
      <c r="X41" s="178">
        <f t="shared" si="59"/>
        <v>0</v>
      </c>
      <c r="Y41" s="178">
        <f t="shared" si="59"/>
        <v>0</v>
      </c>
      <c r="Z41" s="178">
        <f t="shared" si="59"/>
        <v>0</v>
      </c>
      <c r="AA41" s="178">
        <f t="shared" si="59"/>
        <v>0</v>
      </c>
      <c r="AB41" s="178">
        <f t="shared" si="59"/>
        <v>0</v>
      </c>
      <c r="AC41" s="178">
        <f t="shared" si="59"/>
        <v>0</v>
      </c>
      <c r="AD41" s="178">
        <f t="shared" si="59"/>
        <v>0</v>
      </c>
      <c r="AE41" s="178">
        <f t="shared" si="59"/>
        <v>0</v>
      </c>
      <c r="AF41" s="168">
        <f t="shared" si="59"/>
        <v>0</v>
      </c>
      <c r="AG41" s="169">
        <f t="shared" si="35"/>
        <v>0</v>
      </c>
      <c r="AH41" s="179">
        <f t="shared" si="36"/>
        <v>0</v>
      </c>
      <c r="AI41" s="180">
        <f t="shared" si="60"/>
        <v>0</v>
      </c>
      <c r="AJ41" s="178">
        <f t="shared" si="60"/>
        <v>0</v>
      </c>
      <c r="AK41" s="178">
        <f t="shared" si="60"/>
        <v>0</v>
      </c>
      <c r="AL41" s="178">
        <f t="shared" si="60"/>
        <v>0</v>
      </c>
      <c r="AM41" s="178">
        <f t="shared" si="60"/>
        <v>0</v>
      </c>
      <c r="AN41" s="178">
        <f t="shared" si="60"/>
        <v>0</v>
      </c>
      <c r="AO41" s="178">
        <f t="shared" si="60"/>
        <v>0</v>
      </c>
      <c r="AP41" s="178">
        <f t="shared" si="60"/>
        <v>0</v>
      </c>
      <c r="AQ41" s="178">
        <f t="shared" si="60"/>
        <v>0</v>
      </c>
      <c r="AR41" s="178">
        <f t="shared" si="60"/>
        <v>0</v>
      </c>
      <c r="AS41" s="178">
        <f t="shared" si="60"/>
        <v>0</v>
      </c>
      <c r="AT41" s="168">
        <f t="shared" si="60"/>
        <v>0</v>
      </c>
      <c r="AU41" s="169">
        <f t="shared" si="38"/>
        <v>0</v>
      </c>
      <c r="AV41" s="179">
        <f t="shared" si="39"/>
        <v>0</v>
      </c>
      <c r="AW41" s="180">
        <f t="shared" si="61"/>
        <v>0</v>
      </c>
      <c r="AX41" s="178">
        <f t="shared" si="61"/>
        <v>0</v>
      </c>
      <c r="AY41" s="178">
        <f t="shared" si="61"/>
        <v>0</v>
      </c>
      <c r="AZ41" s="178">
        <f t="shared" si="61"/>
        <v>0</v>
      </c>
      <c r="BA41" s="178">
        <f t="shared" si="61"/>
        <v>0</v>
      </c>
      <c r="BB41" s="178">
        <f t="shared" si="61"/>
        <v>0</v>
      </c>
      <c r="BC41" s="178">
        <f t="shared" si="61"/>
        <v>0</v>
      </c>
      <c r="BD41" s="178">
        <f t="shared" si="61"/>
        <v>0</v>
      </c>
      <c r="BE41" s="178">
        <f t="shared" si="61"/>
        <v>0</v>
      </c>
      <c r="BF41" s="178">
        <f t="shared" si="61"/>
        <v>0</v>
      </c>
      <c r="BG41" s="178">
        <f t="shared" si="61"/>
        <v>0</v>
      </c>
      <c r="BH41" s="168">
        <f t="shared" si="61"/>
        <v>0</v>
      </c>
      <c r="BI41" s="169">
        <f t="shared" si="41"/>
        <v>0</v>
      </c>
      <c r="BJ41" s="179">
        <f t="shared" si="42"/>
        <v>0</v>
      </c>
      <c r="BK41" s="180">
        <f t="shared" si="62"/>
        <v>0</v>
      </c>
      <c r="BL41" s="178">
        <f t="shared" si="62"/>
        <v>0</v>
      </c>
      <c r="BM41" s="178">
        <f t="shared" si="62"/>
        <v>0</v>
      </c>
      <c r="BN41" s="178">
        <f t="shared" si="62"/>
        <v>0</v>
      </c>
      <c r="BO41" s="178">
        <f t="shared" si="62"/>
        <v>0</v>
      </c>
      <c r="BP41" s="178">
        <f t="shared" si="62"/>
        <v>0</v>
      </c>
      <c r="BQ41" s="178">
        <f t="shared" si="62"/>
        <v>0</v>
      </c>
      <c r="BR41" s="178">
        <f t="shared" si="62"/>
        <v>0</v>
      </c>
      <c r="BS41" s="178">
        <f t="shared" si="62"/>
        <v>0</v>
      </c>
      <c r="BT41" s="178">
        <f t="shared" si="62"/>
        <v>0</v>
      </c>
      <c r="BU41" s="178">
        <f t="shared" si="62"/>
        <v>0</v>
      </c>
      <c r="BV41" s="168">
        <f t="shared" si="62"/>
        <v>0</v>
      </c>
      <c r="BW41" s="169">
        <f t="shared" si="44"/>
        <v>0</v>
      </c>
      <c r="BX41" s="179">
        <f t="shared" si="45"/>
        <v>0</v>
      </c>
      <c r="BY41" s="180">
        <f t="shared" si="63"/>
        <v>0</v>
      </c>
      <c r="BZ41" s="178">
        <f t="shared" si="63"/>
        <v>0</v>
      </c>
      <c r="CA41" s="178">
        <f t="shared" si="63"/>
        <v>0</v>
      </c>
      <c r="CB41" s="178">
        <f t="shared" si="63"/>
        <v>0</v>
      </c>
      <c r="CC41" s="178">
        <f t="shared" si="63"/>
        <v>0</v>
      </c>
      <c r="CD41" s="178">
        <f t="shared" si="63"/>
        <v>0</v>
      </c>
      <c r="CE41" s="178">
        <f t="shared" si="63"/>
        <v>0</v>
      </c>
      <c r="CF41" s="178">
        <f t="shared" si="63"/>
        <v>0</v>
      </c>
      <c r="CG41" s="178">
        <f t="shared" si="63"/>
        <v>0</v>
      </c>
      <c r="CH41" s="178">
        <f t="shared" si="63"/>
        <v>0</v>
      </c>
      <c r="CI41" s="178">
        <f t="shared" si="63"/>
        <v>0</v>
      </c>
      <c r="CJ41" s="168">
        <f t="shared" si="63"/>
        <v>0</v>
      </c>
      <c r="CK41" s="169">
        <f t="shared" si="47"/>
        <v>0</v>
      </c>
      <c r="CL41" s="179">
        <f t="shared" si="48"/>
        <v>0</v>
      </c>
      <c r="CM41" s="180">
        <f t="shared" si="64"/>
        <v>0</v>
      </c>
      <c r="CN41" s="178">
        <f t="shared" si="64"/>
        <v>0</v>
      </c>
      <c r="CO41" s="178">
        <f t="shared" si="64"/>
        <v>0</v>
      </c>
      <c r="CP41" s="178">
        <f t="shared" si="64"/>
        <v>0</v>
      </c>
      <c r="CQ41" s="178">
        <f t="shared" si="64"/>
        <v>0</v>
      </c>
      <c r="CR41" s="178">
        <f t="shared" si="64"/>
        <v>0</v>
      </c>
      <c r="CS41" s="178">
        <f t="shared" si="64"/>
        <v>0</v>
      </c>
      <c r="CT41" s="178">
        <f t="shared" si="64"/>
        <v>0</v>
      </c>
      <c r="CU41" s="178">
        <f t="shared" si="64"/>
        <v>0</v>
      </c>
      <c r="CV41" s="178">
        <f t="shared" si="64"/>
        <v>0</v>
      </c>
      <c r="CW41" s="178">
        <f t="shared" si="64"/>
        <v>0</v>
      </c>
      <c r="CX41" s="168">
        <f t="shared" si="64"/>
        <v>0</v>
      </c>
      <c r="CY41" s="169">
        <f t="shared" si="50"/>
        <v>0</v>
      </c>
      <c r="CZ41" s="179">
        <f t="shared" si="51"/>
        <v>0</v>
      </c>
      <c r="DA41" s="180">
        <f t="shared" si="65"/>
        <v>0</v>
      </c>
      <c r="DB41" s="178">
        <f t="shared" si="65"/>
        <v>0</v>
      </c>
      <c r="DC41" s="178">
        <f t="shared" si="65"/>
        <v>0</v>
      </c>
      <c r="DD41" s="178">
        <f t="shared" si="65"/>
        <v>0</v>
      </c>
      <c r="DE41" s="178">
        <f t="shared" si="65"/>
        <v>0</v>
      </c>
      <c r="DF41" s="178">
        <f t="shared" si="65"/>
        <v>0</v>
      </c>
      <c r="DG41" s="178">
        <f t="shared" si="65"/>
        <v>0</v>
      </c>
      <c r="DH41" s="178">
        <f t="shared" si="65"/>
        <v>0</v>
      </c>
      <c r="DI41" s="178">
        <f t="shared" si="65"/>
        <v>0</v>
      </c>
      <c r="DJ41" s="178">
        <f t="shared" si="65"/>
        <v>0</v>
      </c>
      <c r="DK41" s="178">
        <f t="shared" si="65"/>
        <v>0</v>
      </c>
      <c r="DL41" s="168">
        <f t="shared" si="65"/>
        <v>0</v>
      </c>
      <c r="DM41" s="169">
        <f t="shared" si="53"/>
        <v>0</v>
      </c>
      <c r="DN41" s="171">
        <f t="shared" si="54"/>
        <v>0</v>
      </c>
      <c r="DO41" s="180">
        <f t="shared" si="66"/>
        <v>0</v>
      </c>
      <c r="DP41" s="178">
        <f t="shared" si="66"/>
        <v>0</v>
      </c>
      <c r="DQ41" s="178">
        <f t="shared" si="66"/>
        <v>0</v>
      </c>
      <c r="DR41" s="178">
        <f t="shared" si="66"/>
        <v>0</v>
      </c>
      <c r="DS41" s="178">
        <f t="shared" si="66"/>
        <v>0</v>
      </c>
      <c r="DT41" s="178">
        <f t="shared" si="66"/>
        <v>0</v>
      </c>
      <c r="DU41" s="178">
        <f t="shared" si="66"/>
        <v>0</v>
      </c>
      <c r="DV41" s="178">
        <f t="shared" si="66"/>
        <v>0</v>
      </c>
      <c r="DW41" s="178">
        <f t="shared" si="66"/>
        <v>0</v>
      </c>
      <c r="DX41" s="178">
        <f t="shared" si="66"/>
        <v>0</v>
      </c>
      <c r="DY41" s="178">
        <f t="shared" si="66"/>
        <v>0</v>
      </c>
      <c r="DZ41" s="168">
        <f t="shared" si="66"/>
        <v>0</v>
      </c>
      <c r="EA41" s="169">
        <f t="shared" si="56"/>
        <v>0</v>
      </c>
      <c r="EB41" s="171">
        <f t="shared" si="57"/>
        <v>0</v>
      </c>
    </row>
    <row r="42" spans="1:132" s="177" customFormat="1" ht="15.75">
      <c r="A42" s="163">
        <v>43902</v>
      </c>
      <c r="B42" s="164" t="s">
        <v>90</v>
      </c>
      <c r="C42" s="165" t="s">
        <v>179</v>
      </c>
      <c r="D42" s="166">
        <v>25000</v>
      </c>
      <c r="E42" s="167">
        <v>5</v>
      </c>
      <c r="F42" s="168">
        <f t="shared" si="22"/>
        <v>5000</v>
      </c>
      <c r="G42" s="169">
        <f t="shared" ref="G42:R50" si="67">IF(OR($F42&lt;=0,(G$9-$A42)&gt;(365*$E42)),0,IF($A42&lt;=G$9,$F42/12,0))</f>
        <v>0</v>
      </c>
      <c r="H42" s="178">
        <f t="shared" si="67"/>
        <v>0</v>
      </c>
      <c r="I42" s="178">
        <f t="shared" si="67"/>
        <v>0</v>
      </c>
      <c r="J42" s="178">
        <f t="shared" si="67"/>
        <v>0</v>
      </c>
      <c r="K42" s="178">
        <f t="shared" si="67"/>
        <v>0</v>
      </c>
      <c r="L42" s="178">
        <f t="shared" si="67"/>
        <v>0</v>
      </c>
      <c r="M42" s="178">
        <f t="shared" si="67"/>
        <v>0</v>
      </c>
      <c r="N42" s="178">
        <f t="shared" si="67"/>
        <v>0</v>
      </c>
      <c r="O42" s="178">
        <f t="shared" si="67"/>
        <v>0</v>
      </c>
      <c r="P42" s="178">
        <f t="shared" si="67"/>
        <v>0</v>
      </c>
      <c r="Q42" s="178">
        <f t="shared" si="67"/>
        <v>0</v>
      </c>
      <c r="R42" s="179">
        <f t="shared" si="67"/>
        <v>0</v>
      </c>
      <c r="S42" s="169">
        <f t="shared" si="58"/>
        <v>0</v>
      </c>
      <c r="T42" s="179">
        <f t="shared" si="33"/>
        <v>0</v>
      </c>
      <c r="U42" s="180">
        <f t="shared" si="59"/>
        <v>0</v>
      </c>
      <c r="V42" s="178">
        <f t="shared" si="59"/>
        <v>0</v>
      </c>
      <c r="W42" s="178">
        <f t="shared" si="59"/>
        <v>0</v>
      </c>
      <c r="X42" s="178">
        <f t="shared" si="59"/>
        <v>0</v>
      </c>
      <c r="Y42" s="178">
        <f t="shared" si="59"/>
        <v>0</v>
      </c>
      <c r="Z42" s="178">
        <f t="shared" si="59"/>
        <v>0</v>
      </c>
      <c r="AA42" s="178">
        <f t="shared" si="59"/>
        <v>0</v>
      </c>
      <c r="AB42" s="178">
        <f t="shared" si="59"/>
        <v>0</v>
      </c>
      <c r="AC42" s="178">
        <f t="shared" si="59"/>
        <v>0</v>
      </c>
      <c r="AD42" s="178">
        <f t="shared" si="59"/>
        <v>0</v>
      </c>
      <c r="AE42" s="178">
        <f t="shared" si="59"/>
        <v>0</v>
      </c>
      <c r="AF42" s="168">
        <f t="shared" si="59"/>
        <v>0</v>
      </c>
      <c r="AG42" s="169">
        <f t="shared" si="35"/>
        <v>0</v>
      </c>
      <c r="AH42" s="179">
        <f t="shared" si="36"/>
        <v>0</v>
      </c>
      <c r="AI42" s="180">
        <f t="shared" si="60"/>
        <v>0</v>
      </c>
      <c r="AJ42" s="178">
        <f t="shared" si="60"/>
        <v>0</v>
      </c>
      <c r="AK42" s="178">
        <f t="shared" si="60"/>
        <v>0</v>
      </c>
      <c r="AL42" s="178">
        <f t="shared" si="60"/>
        <v>0</v>
      </c>
      <c r="AM42" s="178">
        <f t="shared" si="60"/>
        <v>0</v>
      </c>
      <c r="AN42" s="178">
        <f t="shared" si="60"/>
        <v>0</v>
      </c>
      <c r="AO42" s="178">
        <f t="shared" si="60"/>
        <v>0</v>
      </c>
      <c r="AP42" s="178">
        <f t="shared" si="60"/>
        <v>0</v>
      </c>
      <c r="AQ42" s="178">
        <f t="shared" si="60"/>
        <v>0</v>
      </c>
      <c r="AR42" s="178">
        <f t="shared" si="60"/>
        <v>0</v>
      </c>
      <c r="AS42" s="178">
        <f t="shared" si="60"/>
        <v>0</v>
      </c>
      <c r="AT42" s="168">
        <f t="shared" si="60"/>
        <v>0</v>
      </c>
      <c r="AU42" s="169">
        <f t="shared" si="38"/>
        <v>0</v>
      </c>
      <c r="AV42" s="179">
        <f t="shared" si="39"/>
        <v>0</v>
      </c>
      <c r="AW42" s="180">
        <f t="shared" si="61"/>
        <v>0</v>
      </c>
      <c r="AX42" s="178">
        <f t="shared" si="61"/>
        <v>0</v>
      </c>
      <c r="AY42" s="178">
        <f t="shared" si="61"/>
        <v>0</v>
      </c>
      <c r="AZ42" s="178">
        <f t="shared" si="61"/>
        <v>0</v>
      </c>
      <c r="BA42" s="178">
        <f t="shared" si="61"/>
        <v>0</v>
      </c>
      <c r="BB42" s="178">
        <f t="shared" si="61"/>
        <v>0</v>
      </c>
      <c r="BC42" s="178">
        <f t="shared" si="61"/>
        <v>0</v>
      </c>
      <c r="BD42" s="178">
        <f t="shared" si="61"/>
        <v>0</v>
      </c>
      <c r="BE42" s="178">
        <f t="shared" si="61"/>
        <v>0</v>
      </c>
      <c r="BF42" s="178">
        <f t="shared" si="61"/>
        <v>0</v>
      </c>
      <c r="BG42" s="178">
        <f t="shared" si="61"/>
        <v>0</v>
      </c>
      <c r="BH42" s="168">
        <f t="shared" si="61"/>
        <v>0</v>
      </c>
      <c r="BI42" s="169">
        <f t="shared" si="41"/>
        <v>0</v>
      </c>
      <c r="BJ42" s="179">
        <f t="shared" si="42"/>
        <v>0</v>
      </c>
      <c r="BK42" s="180">
        <f t="shared" si="62"/>
        <v>0</v>
      </c>
      <c r="BL42" s="178">
        <f t="shared" si="62"/>
        <v>0</v>
      </c>
      <c r="BM42" s="178">
        <f t="shared" si="62"/>
        <v>0</v>
      </c>
      <c r="BN42" s="178">
        <f t="shared" si="62"/>
        <v>0</v>
      </c>
      <c r="BO42" s="178">
        <f t="shared" si="62"/>
        <v>0</v>
      </c>
      <c r="BP42" s="178">
        <f t="shared" si="62"/>
        <v>0</v>
      </c>
      <c r="BQ42" s="178">
        <f t="shared" si="62"/>
        <v>0</v>
      </c>
      <c r="BR42" s="178">
        <f t="shared" si="62"/>
        <v>0</v>
      </c>
      <c r="BS42" s="178">
        <f t="shared" si="62"/>
        <v>0</v>
      </c>
      <c r="BT42" s="178">
        <f t="shared" si="62"/>
        <v>0</v>
      </c>
      <c r="BU42" s="178">
        <f t="shared" si="62"/>
        <v>0</v>
      </c>
      <c r="BV42" s="168">
        <f t="shared" si="62"/>
        <v>0</v>
      </c>
      <c r="BW42" s="169">
        <f t="shared" si="44"/>
        <v>0</v>
      </c>
      <c r="BX42" s="179">
        <f t="shared" si="45"/>
        <v>0</v>
      </c>
      <c r="BY42" s="180">
        <f t="shared" si="63"/>
        <v>0</v>
      </c>
      <c r="BZ42" s="178">
        <f t="shared" si="63"/>
        <v>0</v>
      </c>
      <c r="CA42" s="178">
        <f t="shared" si="63"/>
        <v>0</v>
      </c>
      <c r="CB42" s="178">
        <f t="shared" si="63"/>
        <v>0</v>
      </c>
      <c r="CC42" s="178">
        <f t="shared" si="63"/>
        <v>0</v>
      </c>
      <c r="CD42" s="178">
        <f t="shared" si="63"/>
        <v>0</v>
      </c>
      <c r="CE42" s="178">
        <f t="shared" si="63"/>
        <v>0</v>
      </c>
      <c r="CF42" s="178">
        <f t="shared" si="63"/>
        <v>0</v>
      </c>
      <c r="CG42" s="178">
        <f t="shared" si="63"/>
        <v>0</v>
      </c>
      <c r="CH42" s="178">
        <f t="shared" si="63"/>
        <v>0</v>
      </c>
      <c r="CI42" s="178">
        <f t="shared" si="63"/>
        <v>0</v>
      </c>
      <c r="CJ42" s="168">
        <f t="shared" si="63"/>
        <v>0</v>
      </c>
      <c r="CK42" s="169">
        <f t="shared" si="47"/>
        <v>0</v>
      </c>
      <c r="CL42" s="179">
        <f t="shared" si="48"/>
        <v>0</v>
      </c>
      <c r="CM42" s="180">
        <f t="shared" si="64"/>
        <v>0</v>
      </c>
      <c r="CN42" s="178">
        <f t="shared" si="64"/>
        <v>0</v>
      </c>
      <c r="CO42" s="178">
        <f t="shared" si="64"/>
        <v>0</v>
      </c>
      <c r="CP42" s="178">
        <f t="shared" si="64"/>
        <v>0</v>
      </c>
      <c r="CQ42" s="178">
        <f t="shared" si="64"/>
        <v>0</v>
      </c>
      <c r="CR42" s="178">
        <f t="shared" si="64"/>
        <v>0</v>
      </c>
      <c r="CS42" s="178">
        <f t="shared" si="64"/>
        <v>0</v>
      </c>
      <c r="CT42" s="178">
        <f t="shared" si="64"/>
        <v>0</v>
      </c>
      <c r="CU42" s="178">
        <f t="shared" si="64"/>
        <v>0</v>
      </c>
      <c r="CV42" s="178">
        <f t="shared" si="64"/>
        <v>0</v>
      </c>
      <c r="CW42" s="178">
        <f t="shared" si="64"/>
        <v>0</v>
      </c>
      <c r="CX42" s="168">
        <f t="shared" si="64"/>
        <v>0</v>
      </c>
      <c r="CY42" s="169">
        <f t="shared" si="50"/>
        <v>0</v>
      </c>
      <c r="CZ42" s="179">
        <f t="shared" si="51"/>
        <v>0</v>
      </c>
      <c r="DA42" s="180">
        <f t="shared" si="65"/>
        <v>0</v>
      </c>
      <c r="DB42" s="178">
        <f t="shared" si="65"/>
        <v>0</v>
      </c>
      <c r="DC42" s="178">
        <f t="shared" si="65"/>
        <v>0</v>
      </c>
      <c r="DD42" s="178">
        <f t="shared" si="65"/>
        <v>0</v>
      </c>
      <c r="DE42" s="178">
        <f t="shared" si="65"/>
        <v>0</v>
      </c>
      <c r="DF42" s="178">
        <f t="shared" si="65"/>
        <v>0</v>
      </c>
      <c r="DG42" s="178">
        <f t="shared" si="65"/>
        <v>0</v>
      </c>
      <c r="DH42" s="178">
        <f t="shared" si="65"/>
        <v>0</v>
      </c>
      <c r="DI42" s="178">
        <f t="shared" si="65"/>
        <v>0</v>
      </c>
      <c r="DJ42" s="178">
        <f t="shared" si="65"/>
        <v>0</v>
      </c>
      <c r="DK42" s="178">
        <f t="shared" si="65"/>
        <v>0</v>
      </c>
      <c r="DL42" s="168">
        <f t="shared" si="65"/>
        <v>0</v>
      </c>
      <c r="DM42" s="169">
        <f t="shared" si="53"/>
        <v>0</v>
      </c>
      <c r="DN42" s="171">
        <f t="shared" si="54"/>
        <v>0</v>
      </c>
      <c r="DO42" s="180">
        <f t="shared" si="66"/>
        <v>0</v>
      </c>
      <c r="DP42" s="178">
        <f t="shared" si="66"/>
        <v>0</v>
      </c>
      <c r="DQ42" s="178">
        <f t="shared" si="66"/>
        <v>0</v>
      </c>
      <c r="DR42" s="178">
        <f t="shared" si="66"/>
        <v>0</v>
      </c>
      <c r="DS42" s="178">
        <f t="shared" si="66"/>
        <v>0</v>
      </c>
      <c r="DT42" s="178">
        <f t="shared" si="66"/>
        <v>0</v>
      </c>
      <c r="DU42" s="178">
        <f t="shared" si="66"/>
        <v>0</v>
      </c>
      <c r="DV42" s="178">
        <f t="shared" si="66"/>
        <v>0</v>
      </c>
      <c r="DW42" s="178">
        <f t="shared" si="66"/>
        <v>0</v>
      </c>
      <c r="DX42" s="178">
        <f t="shared" si="66"/>
        <v>0</v>
      </c>
      <c r="DY42" s="178">
        <f t="shared" si="66"/>
        <v>0</v>
      </c>
      <c r="DZ42" s="168">
        <f t="shared" si="66"/>
        <v>0</v>
      </c>
      <c r="EA42" s="169">
        <f t="shared" si="56"/>
        <v>0</v>
      </c>
      <c r="EB42" s="171">
        <f t="shared" si="57"/>
        <v>0</v>
      </c>
    </row>
    <row r="43" spans="1:132" s="177" customFormat="1" ht="15.75">
      <c r="A43" s="163">
        <v>43968</v>
      </c>
      <c r="B43" s="164" t="s">
        <v>90</v>
      </c>
      <c r="C43" s="165" t="s">
        <v>180</v>
      </c>
      <c r="D43" s="166">
        <v>14000</v>
      </c>
      <c r="E43" s="167">
        <v>2</v>
      </c>
      <c r="F43" s="168">
        <f t="shared" si="22"/>
        <v>7000</v>
      </c>
      <c r="G43" s="169">
        <f t="shared" si="67"/>
        <v>0</v>
      </c>
      <c r="H43" s="178">
        <f t="shared" si="67"/>
        <v>0</v>
      </c>
      <c r="I43" s="178">
        <f t="shared" si="67"/>
        <v>0</v>
      </c>
      <c r="J43" s="178">
        <f t="shared" si="67"/>
        <v>0</v>
      </c>
      <c r="K43" s="178">
        <f t="shared" si="67"/>
        <v>0</v>
      </c>
      <c r="L43" s="178">
        <f t="shared" si="67"/>
        <v>0</v>
      </c>
      <c r="M43" s="178">
        <f t="shared" si="67"/>
        <v>0</v>
      </c>
      <c r="N43" s="178">
        <f t="shared" si="67"/>
        <v>0</v>
      </c>
      <c r="O43" s="178">
        <f t="shared" si="67"/>
        <v>0</v>
      </c>
      <c r="P43" s="178">
        <f t="shared" si="67"/>
        <v>0</v>
      </c>
      <c r="Q43" s="178">
        <f t="shared" si="67"/>
        <v>0</v>
      </c>
      <c r="R43" s="179">
        <f t="shared" si="67"/>
        <v>0</v>
      </c>
      <c r="S43" s="169">
        <f t="shared" si="58"/>
        <v>0</v>
      </c>
      <c r="T43" s="179">
        <f t="shared" si="33"/>
        <v>0</v>
      </c>
      <c r="U43" s="180">
        <f t="shared" si="59"/>
        <v>0</v>
      </c>
      <c r="V43" s="178">
        <f t="shared" si="59"/>
        <v>0</v>
      </c>
      <c r="W43" s="178">
        <f t="shared" si="59"/>
        <v>0</v>
      </c>
      <c r="X43" s="178">
        <f t="shared" si="59"/>
        <v>0</v>
      </c>
      <c r="Y43" s="178">
        <f t="shared" si="59"/>
        <v>0</v>
      </c>
      <c r="Z43" s="178">
        <f t="shared" si="59"/>
        <v>0</v>
      </c>
      <c r="AA43" s="178">
        <f t="shared" si="59"/>
        <v>0</v>
      </c>
      <c r="AB43" s="178">
        <f t="shared" si="59"/>
        <v>0</v>
      </c>
      <c r="AC43" s="178">
        <f t="shared" si="59"/>
        <v>0</v>
      </c>
      <c r="AD43" s="178">
        <f t="shared" si="59"/>
        <v>0</v>
      </c>
      <c r="AE43" s="178">
        <f t="shared" si="59"/>
        <v>0</v>
      </c>
      <c r="AF43" s="168">
        <f t="shared" si="59"/>
        <v>0</v>
      </c>
      <c r="AG43" s="169">
        <f t="shared" si="35"/>
        <v>0</v>
      </c>
      <c r="AH43" s="179">
        <f t="shared" si="36"/>
        <v>0</v>
      </c>
      <c r="AI43" s="180">
        <f t="shared" si="60"/>
        <v>0</v>
      </c>
      <c r="AJ43" s="178">
        <f t="shared" si="60"/>
        <v>0</v>
      </c>
      <c r="AK43" s="178">
        <f t="shared" si="60"/>
        <v>0</v>
      </c>
      <c r="AL43" s="178">
        <f t="shared" si="60"/>
        <v>0</v>
      </c>
      <c r="AM43" s="178">
        <f t="shared" si="60"/>
        <v>0</v>
      </c>
      <c r="AN43" s="178">
        <f t="shared" si="60"/>
        <v>0</v>
      </c>
      <c r="AO43" s="178">
        <f t="shared" si="60"/>
        <v>0</v>
      </c>
      <c r="AP43" s="178">
        <f t="shared" si="60"/>
        <v>0</v>
      </c>
      <c r="AQ43" s="178">
        <f t="shared" si="60"/>
        <v>0</v>
      </c>
      <c r="AR43" s="178">
        <f t="shared" si="60"/>
        <v>0</v>
      </c>
      <c r="AS43" s="178">
        <f t="shared" si="60"/>
        <v>0</v>
      </c>
      <c r="AT43" s="168">
        <f t="shared" si="60"/>
        <v>0</v>
      </c>
      <c r="AU43" s="169">
        <f t="shared" si="38"/>
        <v>0</v>
      </c>
      <c r="AV43" s="179">
        <f t="shared" si="39"/>
        <v>0</v>
      </c>
      <c r="AW43" s="180">
        <f t="shared" si="61"/>
        <v>0</v>
      </c>
      <c r="AX43" s="178">
        <f t="shared" si="61"/>
        <v>0</v>
      </c>
      <c r="AY43" s="178">
        <f t="shared" si="61"/>
        <v>0</v>
      </c>
      <c r="AZ43" s="178">
        <f t="shared" si="61"/>
        <v>0</v>
      </c>
      <c r="BA43" s="178">
        <f t="shared" si="61"/>
        <v>0</v>
      </c>
      <c r="BB43" s="178">
        <f t="shared" si="61"/>
        <v>0</v>
      </c>
      <c r="BC43" s="178">
        <f t="shared" si="61"/>
        <v>0</v>
      </c>
      <c r="BD43" s="178">
        <f t="shared" si="61"/>
        <v>0</v>
      </c>
      <c r="BE43" s="178">
        <f t="shared" si="61"/>
        <v>0</v>
      </c>
      <c r="BF43" s="178">
        <f t="shared" si="61"/>
        <v>0</v>
      </c>
      <c r="BG43" s="178">
        <f t="shared" si="61"/>
        <v>0</v>
      </c>
      <c r="BH43" s="168">
        <f t="shared" si="61"/>
        <v>0</v>
      </c>
      <c r="BI43" s="169">
        <f t="shared" si="41"/>
        <v>0</v>
      </c>
      <c r="BJ43" s="179">
        <f t="shared" si="42"/>
        <v>0</v>
      </c>
      <c r="BK43" s="180">
        <f t="shared" si="62"/>
        <v>0</v>
      </c>
      <c r="BL43" s="178">
        <f t="shared" si="62"/>
        <v>0</v>
      </c>
      <c r="BM43" s="178">
        <f t="shared" si="62"/>
        <v>0</v>
      </c>
      <c r="BN43" s="178">
        <f t="shared" si="62"/>
        <v>0</v>
      </c>
      <c r="BO43" s="178">
        <f t="shared" si="62"/>
        <v>0</v>
      </c>
      <c r="BP43" s="178">
        <f t="shared" si="62"/>
        <v>0</v>
      </c>
      <c r="BQ43" s="178">
        <f t="shared" si="62"/>
        <v>0</v>
      </c>
      <c r="BR43" s="178">
        <f t="shared" si="62"/>
        <v>0</v>
      </c>
      <c r="BS43" s="178">
        <f t="shared" si="62"/>
        <v>0</v>
      </c>
      <c r="BT43" s="178">
        <f t="shared" si="62"/>
        <v>0</v>
      </c>
      <c r="BU43" s="178">
        <f t="shared" si="62"/>
        <v>0</v>
      </c>
      <c r="BV43" s="168">
        <f t="shared" si="62"/>
        <v>0</v>
      </c>
      <c r="BW43" s="169">
        <f t="shared" si="44"/>
        <v>0</v>
      </c>
      <c r="BX43" s="179">
        <f t="shared" si="45"/>
        <v>0</v>
      </c>
      <c r="BY43" s="180">
        <f t="shared" si="63"/>
        <v>0</v>
      </c>
      <c r="BZ43" s="178">
        <f t="shared" si="63"/>
        <v>0</v>
      </c>
      <c r="CA43" s="178">
        <f t="shared" si="63"/>
        <v>0</v>
      </c>
      <c r="CB43" s="178">
        <f t="shared" si="63"/>
        <v>0</v>
      </c>
      <c r="CC43" s="178">
        <f t="shared" si="63"/>
        <v>0</v>
      </c>
      <c r="CD43" s="178">
        <f t="shared" si="63"/>
        <v>0</v>
      </c>
      <c r="CE43" s="178">
        <f t="shared" si="63"/>
        <v>0</v>
      </c>
      <c r="CF43" s="178">
        <f t="shared" si="63"/>
        <v>0</v>
      </c>
      <c r="CG43" s="178">
        <f t="shared" si="63"/>
        <v>0</v>
      </c>
      <c r="CH43" s="178">
        <f t="shared" si="63"/>
        <v>0</v>
      </c>
      <c r="CI43" s="178">
        <f t="shared" si="63"/>
        <v>0</v>
      </c>
      <c r="CJ43" s="168">
        <f t="shared" si="63"/>
        <v>0</v>
      </c>
      <c r="CK43" s="169">
        <f t="shared" si="47"/>
        <v>0</v>
      </c>
      <c r="CL43" s="179">
        <f t="shared" si="48"/>
        <v>0</v>
      </c>
      <c r="CM43" s="180">
        <f t="shared" si="64"/>
        <v>0</v>
      </c>
      <c r="CN43" s="178">
        <f t="shared" si="64"/>
        <v>0</v>
      </c>
      <c r="CO43" s="178">
        <f t="shared" si="64"/>
        <v>0</v>
      </c>
      <c r="CP43" s="178">
        <f t="shared" si="64"/>
        <v>0</v>
      </c>
      <c r="CQ43" s="178">
        <f t="shared" si="64"/>
        <v>0</v>
      </c>
      <c r="CR43" s="178">
        <f t="shared" si="64"/>
        <v>0</v>
      </c>
      <c r="CS43" s="178">
        <f t="shared" si="64"/>
        <v>0</v>
      </c>
      <c r="CT43" s="178">
        <f t="shared" si="64"/>
        <v>0</v>
      </c>
      <c r="CU43" s="178">
        <f t="shared" si="64"/>
        <v>0</v>
      </c>
      <c r="CV43" s="178">
        <f t="shared" si="64"/>
        <v>0</v>
      </c>
      <c r="CW43" s="178">
        <f t="shared" si="64"/>
        <v>0</v>
      </c>
      <c r="CX43" s="168">
        <f t="shared" si="64"/>
        <v>0</v>
      </c>
      <c r="CY43" s="169">
        <f t="shared" si="50"/>
        <v>0</v>
      </c>
      <c r="CZ43" s="179">
        <f t="shared" si="51"/>
        <v>0</v>
      </c>
      <c r="DA43" s="180">
        <f t="shared" si="65"/>
        <v>0</v>
      </c>
      <c r="DB43" s="178">
        <f t="shared" si="65"/>
        <v>0</v>
      </c>
      <c r="DC43" s="178">
        <f t="shared" si="65"/>
        <v>0</v>
      </c>
      <c r="DD43" s="178">
        <f t="shared" si="65"/>
        <v>0</v>
      </c>
      <c r="DE43" s="178">
        <f t="shared" si="65"/>
        <v>0</v>
      </c>
      <c r="DF43" s="178">
        <f t="shared" si="65"/>
        <v>0</v>
      </c>
      <c r="DG43" s="178">
        <f t="shared" si="65"/>
        <v>0</v>
      </c>
      <c r="DH43" s="178">
        <f t="shared" si="65"/>
        <v>0</v>
      </c>
      <c r="DI43" s="178">
        <f t="shared" si="65"/>
        <v>0</v>
      </c>
      <c r="DJ43" s="178">
        <f t="shared" si="65"/>
        <v>0</v>
      </c>
      <c r="DK43" s="178">
        <f t="shared" si="65"/>
        <v>0</v>
      </c>
      <c r="DL43" s="168">
        <f t="shared" si="65"/>
        <v>0</v>
      </c>
      <c r="DM43" s="169">
        <f t="shared" si="53"/>
        <v>0</v>
      </c>
      <c r="DN43" s="171">
        <f t="shared" si="54"/>
        <v>0</v>
      </c>
      <c r="DO43" s="180">
        <f t="shared" si="66"/>
        <v>0</v>
      </c>
      <c r="DP43" s="178">
        <f t="shared" si="66"/>
        <v>0</v>
      </c>
      <c r="DQ43" s="178">
        <f t="shared" si="66"/>
        <v>0</v>
      </c>
      <c r="DR43" s="178">
        <f t="shared" si="66"/>
        <v>0</v>
      </c>
      <c r="DS43" s="178">
        <f t="shared" si="66"/>
        <v>0</v>
      </c>
      <c r="DT43" s="178">
        <f t="shared" si="66"/>
        <v>0</v>
      </c>
      <c r="DU43" s="178">
        <f t="shared" si="66"/>
        <v>0</v>
      </c>
      <c r="DV43" s="178">
        <f t="shared" si="66"/>
        <v>0</v>
      </c>
      <c r="DW43" s="178">
        <f t="shared" si="66"/>
        <v>0</v>
      </c>
      <c r="DX43" s="178">
        <f t="shared" si="66"/>
        <v>0</v>
      </c>
      <c r="DY43" s="178">
        <f t="shared" si="66"/>
        <v>0</v>
      </c>
      <c r="DZ43" s="168">
        <f t="shared" si="66"/>
        <v>0</v>
      </c>
      <c r="EA43" s="169">
        <f t="shared" si="56"/>
        <v>0</v>
      </c>
      <c r="EB43" s="171">
        <f t="shared" si="57"/>
        <v>0</v>
      </c>
    </row>
    <row r="44" spans="1:132" s="177" customFormat="1" ht="15.75">
      <c r="A44" s="163">
        <v>44049</v>
      </c>
      <c r="B44" s="164" t="s">
        <v>90</v>
      </c>
      <c r="C44" s="165" t="s">
        <v>181</v>
      </c>
      <c r="D44" s="166">
        <v>2000</v>
      </c>
      <c r="E44" s="167">
        <v>2</v>
      </c>
      <c r="F44" s="168">
        <f t="shared" si="22"/>
        <v>1000</v>
      </c>
      <c r="G44" s="169">
        <f t="shared" si="67"/>
        <v>0</v>
      </c>
      <c r="H44" s="178">
        <f t="shared" si="67"/>
        <v>0</v>
      </c>
      <c r="I44" s="178">
        <f t="shared" si="67"/>
        <v>0</v>
      </c>
      <c r="J44" s="178">
        <f t="shared" si="67"/>
        <v>0</v>
      </c>
      <c r="K44" s="178">
        <f t="shared" si="67"/>
        <v>0</v>
      </c>
      <c r="L44" s="178">
        <f t="shared" si="67"/>
        <v>0</v>
      </c>
      <c r="M44" s="178">
        <f t="shared" si="67"/>
        <v>0</v>
      </c>
      <c r="N44" s="178">
        <f t="shared" si="67"/>
        <v>0</v>
      </c>
      <c r="O44" s="178">
        <f t="shared" si="67"/>
        <v>0</v>
      </c>
      <c r="P44" s="178">
        <f t="shared" si="67"/>
        <v>0</v>
      </c>
      <c r="Q44" s="178">
        <f t="shared" si="67"/>
        <v>0</v>
      </c>
      <c r="R44" s="179">
        <f t="shared" si="67"/>
        <v>0</v>
      </c>
      <c r="S44" s="169">
        <f t="shared" si="58"/>
        <v>0</v>
      </c>
      <c r="T44" s="179">
        <f t="shared" si="33"/>
        <v>0</v>
      </c>
      <c r="U44" s="180">
        <f t="shared" si="59"/>
        <v>0</v>
      </c>
      <c r="V44" s="178">
        <f t="shared" si="59"/>
        <v>0</v>
      </c>
      <c r="W44" s="178">
        <f t="shared" si="59"/>
        <v>0</v>
      </c>
      <c r="X44" s="178">
        <f t="shared" si="59"/>
        <v>0</v>
      </c>
      <c r="Y44" s="178">
        <f t="shared" si="59"/>
        <v>0</v>
      </c>
      <c r="Z44" s="178">
        <f t="shared" si="59"/>
        <v>0</v>
      </c>
      <c r="AA44" s="178">
        <f t="shared" si="59"/>
        <v>0</v>
      </c>
      <c r="AB44" s="178">
        <f t="shared" si="59"/>
        <v>0</v>
      </c>
      <c r="AC44" s="178">
        <f t="shared" si="59"/>
        <v>0</v>
      </c>
      <c r="AD44" s="178">
        <f t="shared" si="59"/>
        <v>0</v>
      </c>
      <c r="AE44" s="178">
        <f t="shared" si="59"/>
        <v>0</v>
      </c>
      <c r="AF44" s="168">
        <f t="shared" si="59"/>
        <v>0</v>
      </c>
      <c r="AG44" s="169">
        <f t="shared" si="35"/>
        <v>0</v>
      </c>
      <c r="AH44" s="179">
        <f t="shared" si="36"/>
        <v>0</v>
      </c>
      <c r="AI44" s="180">
        <f t="shared" si="60"/>
        <v>0</v>
      </c>
      <c r="AJ44" s="178">
        <f t="shared" si="60"/>
        <v>0</v>
      </c>
      <c r="AK44" s="178">
        <f t="shared" si="60"/>
        <v>0</v>
      </c>
      <c r="AL44" s="178">
        <f t="shared" si="60"/>
        <v>0</v>
      </c>
      <c r="AM44" s="178">
        <f t="shared" si="60"/>
        <v>0</v>
      </c>
      <c r="AN44" s="178">
        <f t="shared" si="60"/>
        <v>0</v>
      </c>
      <c r="AO44" s="178">
        <f t="shared" si="60"/>
        <v>0</v>
      </c>
      <c r="AP44" s="178">
        <f t="shared" si="60"/>
        <v>0</v>
      </c>
      <c r="AQ44" s="178">
        <f t="shared" si="60"/>
        <v>0</v>
      </c>
      <c r="AR44" s="178">
        <f t="shared" si="60"/>
        <v>0</v>
      </c>
      <c r="AS44" s="178">
        <f t="shared" si="60"/>
        <v>0</v>
      </c>
      <c r="AT44" s="168">
        <f t="shared" si="60"/>
        <v>0</v>
      </c>
      <c r="AU44" s="169">
        <f t="shared" si="38"/>
        <v>0</v>
      </c>
      <c r="AV44" s="179">
        <f t="shared" si="39"/>
        <v>0</v>
      </c>
      <c r="AW44" s="180">
        <f t="shared" si="61"/>
        <v>0</v>
      </c>
      <c r="AX44" s="178">
        <f t="shared" si="61"/>
        <v>0</v>
      </c>
      <c r="AY44" s="178">
        <f t="shared" si="61"/>
        <v>0</v>
      </c>
      <c r="AZ44" s="178">
        <f t="shared" si="61"/>
        <v>0</v>
      </c>
      <c r="BA44" s="178">
        <f t="shared" si="61"/>
        <v>0</v>
      </c>
      <c r="BB44" s="178">
        <f t="shared" si="61"/>
        <v>0</v>
      </c>
      <c r="BC44" s="178">
        <f t="shared" si="61"/>
        <v>0</v>
      </c>
      <c r="BD44" s="178">
        <f t="shared" si="61"/>
        <v>0</v>
      </c>
      <c r="BE44" s="178">
        <f t="shared" si="61"/>
        <v>0</v>
      </c>
      <c r="BF44" s="178">
        <f t="shared" si="61"/>
        <v>0</v>
      </c>
      <c r="BG44" s="178">
        <f t="shared" si="61"/>
        <v>0</v>
      </c>
      <c r="BH44" s="168">
        <f t="shared" si="61"/>
        <v>0</v>
      </c>
      <c r="BI44" s="169">
        <f t="shared" si="41"/>
        <v>0</v>
      </c>
      <c r="BJ44" s="179">
        <f t="shared" si="42"/>
        <v>0</v>
      </c>
      <c r="BK44" s="180">
        <f t="shared" si="62"/>
        <v>0</v>
      </c>
      <c r="BL44" s="178">
        <f t="shared" si="62"/>
        <v>0</v>
      </c>
      <c r="BM44" s="178">
        <f t="shared" si="62"/>
        <v>0</v>
      </c>
      <c r="BN44" s="178">
        <f t="shared" si="62"/>
        <v>0</v>
      </c>
      <c r="BO44" s="178">
        <f t="shared" si="62"/>
        <v>0</v>
      </c>
      <c r="BP44" s="178">
        <f t="shared" si="62"/>
        <v>0</v>
      </c>
      <c r="BQ44" s="178">
        <f t="shared" si="62"/>
        <v>0</v>
      </c>
      <c r="BR44" s="178">
        <f t="shared" si="62"/>
        <v>0</v>
      </c>
      <c r="BS44" s="178">
        <f t="shared" si="62"/>
        <v>0</v>
      </c>
      <c r="BT44" s="178">
        <f t="shared" si="62"/>
        <v>0</v>
      </c>
      <c r="BU44" s="178">
        <f t="shared" si="62"/>
        <v>0</v>
      </c>
      <c r="BV44" s="168">
        <f t="shared" si="62"/>
        <v>0</v>
      </c>
      <c r="BW44" s="169">
        <f t="shared" si="44"/>
        <v>0</v>
      </c>
      <c r="BX44" s="179">
        <f t="shared" si="45"/>
        <v>0</v>
      </c>
      <c r="BY44" s="180">
        <f t="shared" si="63"/>
        <v>0</v>
      </c>
      <c r="BZ44" s="178">
        <f t="shared" si="63"/>
        <v>0</v>
      </c>
      <c r="CA44" s="178">
        <f t="shared" si="63"/>
        <v>0</v>
      </c>
      <c r="CB44" s="178">
        <f t="shared" si="63"/>
        <v>0</v>
      </c>
      <c r="CC44" s="178">
        <f t="shared" si="63"/>
        <v>0</v>
      </c>
      <c r="CD44" s="178">
        <f t="shared" si="63"/>
        <v>0</v>
      </c>
      <c r="CE44" s="178">
        <f t="shared" si="63"/>
        <v>0</v>
      </c>
      <c r="CF44" s="178">
        <f t="shared" si="63"/>
        <v>0</v>
      </c>
      <c r="CG44" s="178">
        <f t="shared" si="63"/>
        <v>0</v>
      </c>
      <c r="CH44" s="178">
        <f t="shared" si="63"/>
        <v>0</v>
      </c>
      <c r="CI44" s="178">
        <f t="shared" si="63"/>
        <v>0</v>
      </c>
      <c r="CJ44" s="168">
        <f t="shared" si="63"/>
        <v>0</v>
      </c>
      <c r="CK44" s="169">
        <f t="shared" si="47"/>
        <v>0</v>
      </c>
      <c r="CL44" s="179">
        <f t="shared" si="48"/>
        <v>0</v>
      </c>
      <c r="CM44" s="180">
        <f t="shared" si="64"/>
        <v>0</v>
      </c>
      <c r="CN44" s="178">
        <f t="shared" si="64"/>
        <v>0</v>
      </c>
      <c r="CO44" s="178">
        <f t="shared" si="64"/>
        <v>0</v>
      </c>
      <c r="CP44" s="178">
        <f t="shared" si="64"/>
        <v>0</v>
      </c>
      <c r="CQ44" s="178">
        <f t="shared" si="64"/>
        <v>0</v>
      </c>
      <c r="CR44" s="178">
        <f t="shared" si="64"/>
        <v>0</v>
      </c>
      <c r="CS44" s="178">
        <f t="shared" si="64"/>
        <v>0</v>
      </c>
      <c r="CT44" s="178">
        <f t="shared" si="64"/>
        <v>0</v>
      </c>
      <c r="CU44" s="178">
        <f t="shared" si="64"/>
        <v>0</v>
      </c>
      <c r="CV44" s="178">
        <f t="shared" si="64"/>
        <v>0</v>
      </c>
      <c r="CW44" s="178">
        <f t="shared" si="64"/>
        <v>0</v>
      </c>
      <c r="CX44" s="168">
        <f t="shared" si="64"/>
        <v>0</v>
      </c>
      <c r="CY44" s="169">
        <f t="shared" si="50"/>
        <v>0</v>
      </c>
      <c r="CZ44" s="179">
        <f t="shared" si="51"/>
        <v>0</v>
      </c>
      <c r="DA44" s="180">
        <f t="shared" si="65"/>
        <v>0</v>
      </c>
      <c r="DB44" s="178">
        <f t="shared" si="65"/>
        <v>0</v>
      </c>
      <c r="DC44" s="178">
        <f t="shared" si="65"/>
        <v>0</v>
      </c>
      <c r="DD44" s="178">
        <f t="shared" si="65"/>
        <v>0</v>
      </c>
      <c r="DE44" s="178">
        <f t="shared" si="65"/>
        <v>0</v>
      </c>
      <c r="DF44" s="178">
        <f t="shared" si="65"/>
        <v>0</v>
      </c>
      <c r="DG44" s="178">
        <f t="shared" si="65"/>
        <v>0</v>
      </c>
      <c r="DH44" s="178">
        <f t="shared" si="65"/>
        <v>0</v>
      </c>
      <c r="DI44" s="178">
        <f t="shared" si="65"/>
        <v>0</v>
      </c>
      <c r="DJ44" s="178">
        <f t="shared" si="65"/>
        <v>0</v>
      </c>
      <c r="DK44" s="178">
        <f t="shared" si="65"/>
        <v>0</v>
      </c>
      <c r="DL44" s="168">
        <f t="shared" si="65"/>
        <v>0</v>
      </c>
      <c r="DM44" s="169">
        <f t="shared" si="53"/>
        <v>0</v>
      </c>
      <c r="DN44" s="171">
        <f t="shared" si="54"/>
        <v>0</v>
      </c>
      <c r="DO44" s="180">
        <f t="shared" si="66"/>
        <v>0</v>
      </c>
      <c r="DP44" s="178">
        <f t="shared" si="66"/>
        <v>0</v>
      </c>
      <c r="DQ44" s="178">
        <f t="shared" si="66"/>
        <v>0</v>
      </c>
      <c r="DR44" s="178">
        <f t="shared" si="66"/>
        <v>0</v>
      </c>
      <c r="DS44" s="178">
        <f t="shared" si="66"/>
        <v>0</v>
      </c>
      <c r="DT44" s="178">
        <f t="shared" si="66"/>
        <v>0</v>
      </c>
      <c r="DU44" s="178">
        <f t="shared" si="66"/>
        <v>0</v>
      </c>
      <c r="DV44" s="178">
        <f t="shared" si="66"/>
        <v>0</v>
      </c>
      <c r="DW44" s="178">
        <f t="shared" si="66"/>
        <v>0</v>
      </c>
      <c r="DX44" s="178">
        <f t="shared" si="66"/>
        <v>0</v>
      </c>
      <c r="DY44" s="178">
        <f t="shared" si="66"/>
        <v>0</v>
      </c>
      <c r="DZ44" s="168">
        <f t="shared" si="66"/>
        <v>0</v>
      </c>
      <c r="EA44" s="169">
        <f t="shared" si="56"/>
        <v>0</v>
      </c>
      <c r="EB44" s="171">
        <f t="shared" si="57"/>
        <v>0</v>
      </c>
    </row>
    <row r="45" spans="1:132" s="177" customFormat="1" ht="15.75">
      <c r="A45" s="163">
        <v>44049</v>
      </c>
      <c r="B45" s="164" t="s">
        <v>90</v>
      </c>
      <c r="C45" s="165" t="s">
        <v>182</v>
      </c>
      <c r="D45" s="166">
        <v>1000</v>
      </c>
      <c r="E45" s="167">
        <v>3</v>
      </c>
      <c r="F45" s="168">
        <f t="shared" si="22"/>
        <v>333.33333333333331</v>
      </c>
      <c r="G45" s="169">
        <f t="shared" si="67"/>
        <v>0</v>
      </c>
      <c r="H45" s="178">
        <f t="shared" si="67"/>
        <v>0</v>
      </c>
      <c r="I45" s="178">
        <f t="shared" si="67"/>
        <v>0</v>
      </c>
      <c r="J45" s="178">
        <f t="shared" si="67"/>
        <v>0</v>
      </c>
      <c r="K45" s="178">
        <f t="shared" si="67"/>
        <v>0</v>
      </c>
      <c r="L45" s="178">
        <f t="shared" si="67"/>
        <v>0</v>
      </c>
      <c r="M45" s="178">
        <f t="shared" si="67"/>
        <v>0</v>
      </c>
      <c r="N45" s="178">
        <f t="shared" si="67"/>
        <v>0</v>
      </c>
      <c r="O45" s="178">
        <f t="shared" si="67"/>
        <v>0</v>
      </c>
      <c r="P45" s="178">
        <f t="shared" si="67"/>
        <v>0</v>
      </c>
      <c r="Q45" s="178">
        <f t="shared" si="67"/>
        <v>0</v>
      </c>
      <c r="R45" s="179">
        <f t="shared" si="67"/>
        <v>0</v>
      </c>
      <c r="S45" s="169">
        <f t="shared" si="58"/>
        <v>0</v>
      </c>
      <c r="T45" s="179">
        <f t="shared" si="33"/>
        <v>0</v>
      </c>
      <c r="U45" s="180">
        <f t="shared" si="59"/>
        <v>0</v>
      </c>
      <c r="V45" s="178">
        <f t="shared" si="59"/>
        <v>0</v>
      </c>
      <c r="W45" s="178">
        <f t="shared" si="59"/>
        <v>0</v>
      </c>
      <c r="X45" s="178">
        <f t="shared" si="59"/>
        <v>0</v>
      </c>
      <c r="Y45" s="178">
        <f t="shared" si="59"/>
        <v>0</v>
      </c>
      <c r="Z45" s="178">
        <f t="shared" si="59"/>
        <v>0</v>
      </c>
      <c r="AA45" s="178">
        <f t="shared" si="59"/>
        <v>0</v>
      </c>
      <c r="AB45" s="178">
        <f t="shared" si="59"/>
        <v>0</v>
      </c>
      <c r="AC45" s="178">
        <f t="shared" si="59"/>
        <v>0</v>
      </c>
      <c r="AD45" s="178">
        <f t="shared" si="59"/>
        <v>0</v>
      </c>
      <c r="AE45" s="178">
        <f t="shared" si="59"/>
        <v>0</v>
      </c>
      <c r="AF45" s="168">
        <f t="shared" si="59"/>
        <v>0</v>
      </c>
      <c r="AG45" s="169">
        <f t="shared" si="35"/>
        <v>0</v>
      </c>
      <c r="AH45" s="179">
        <f t="shared" si="36"/>
        <v>0</v>
      </c>
      <c r="AI45" s="180">
        <f t="shared" si="60"/>
        <v>0</v>
      </c>
      <c r="AJ45" s="178">
        <f t="shared" si="60"/>
        <v>0</v>
      </c>
      <c r="AK45" s="178">
        <f t="shared" si="60"/>
        <v>0</v>
      </c>
      <c r="AL45" s="178">
        <f t="shared" si="60"/>
        <v>0</v>
      </c>
      <c r="AM45" s="178">
        <f t="shared" si="60"/>
        <v>0</v>
      </c>
      <c r="AN45" s="178">
        <f t="shared" si="60"/>
        <v>0</v>
      </c>
      <c r="AO45" s="178">
        <f t="shared" si="60"/>
        <v>0</v>
      </c>
      <c r="AP45" s="178">
        <f t="shared" si="60"/>
        <v>0</v>
      </c>
      <c r="AQ45" s="178">
        <f t="shared" si="60"/>
        <v>0</v>
      </c>
      <c r="AR45" s="178">
        <f t="shared" si="60"/>
        <v>0</v>
      </c>
      <c r="AS45" s="178">
        <f t="shared" si="60"/>
        <v>0</v>
      </c>
      <c r="AT45" s="168">
        <f t="shared" si="60"/>
        <v>0</v>
      </c>
      <c r="AU45" s="169">
        <f t="shared" si="38"/>
        <v>0</v>
      </c>
      <c r="AV45" s="179">
        <f t="shared" si="39"/>
        <v>0</v>
      </c>
      <c r="AW45" s="180">
        <f t="shared" si="61"/>
        <v>0</v>
      </c>
      <c r="AX45" s="178">
        <f t="shared" si="61"/>
        <v>0</v>
      </c>
      <c r="AY45" s="178">
        <f t="shared" si="61"/>
        <v>0</v>
      </c>
      <c r="AZ45" s="178">
        <f t="shared" si="61"/>
        <v>0</v>
      </c>
      <c r="BA45" s="178">
        <f t="shared" si="61"/>
        <v>0</v>
      </c>
      <c r="BB45" s="178">
        <f t="shared" si="61"/>
        <v>0</v>
      </c>
      <c r="BC45" s="178">
        <f t="shared" si="61"/>
        <v>0</v>
      </c>
      <c r="BD45" s="178">
        <f t="shared" si="61"/>
        <v>0</v>
      </c>
      <c r="BE45" s="178">
        <f t="shared" si="61"/>
        <v>0</v>
      </c>
      <c r="BF45" s="178">
        <f t="shared" si="61"/>
        <v>0</v>
      </c>
      <c r="BG45" s="178">
        <f t="shared" si="61"/>
        <v>0</v>
      </c>
      <c r="BH45" s="168">
        <f t="shared" si="61"/>
        <v>0</v>
      </c>
      <c r="BI45" s="169">
        <f t="shared" si="41"/>
        <v>0</v>
      </c>
      <c r="BJ45" s="179">
        <f t="shared" si="42"/>
        <v>0</v>
      </c>
      <c r="BK45" s="180">
        <f t="shared" si="62"/>
        <v>0</v>
      </c>
      <c r="BL45" s="178">
        <f t="shared" si="62"/>
        <v>0</v>
      </c>
      <c r="BM45" s="178">
        <f t="shared" si="62"/>
        <v>0</v>
      </c>
      <c r="BN45" s="178">
        <f t="shared" si="62"/>
        <v>0</v>
      </c>
      <c r="BO45" s="178">
        <f t="shared" si="62"/>
        <v>0</v>
      </c>
      <c r="BP45" s="178">
        <f t="shared" si="62"/>
        <v>0</v>
      </c>
      <c r="BQ45" s="178">
        <f t="shared" si="62"/>
        <v>0</v>
      </c>
      <c r="BR45" s="178">
        <f t="shared" si="62"/>
        <v>0</v>
      </c>
      <c r="BS45" s="178">
        <f t="shared" si="62"/>
        <v>0</v>
      </c>
      <c r="BT45" s="178">
        <f t="shared" si="62"/>
        <v>0</v>
      </c>
      <c r="BU45" s="178">
        <f t="shared" si="62"/>
        <v>0</v>
      </c>
      <c r="BV45" s="168">
        <f t="shared" si="62"/>
        <v>0</v>
      </c>
      <c r="BW45" s="169">
        <f t="shared" si="44"/>
        <v>0</v>
      </c>
      <c r="BX45" s="179">
        <f t="shared" si="45"/>
        <v>0</v>
      </c>
      <c r="BY45" s="180">
        <f t="shared" si="63"/>
        <v>0</v>
      </c>
      <c r="BZ45" s="178">
        <f t="shared" si="63"/>
        <v>0</v>
      </c>
      <c r="CA45" s="178">
        <f t="shared" si="63"/>
        <v>0</v>
      </c>
      <c r="CB45" s="178">
        <f t="shared" si="63"/>
        <v>0</v>
      </c>
      <c r="CC45" s="178">
        <f t="shared" si="63"/>
        <v>0</v>
      </c>
      <c r="CD45" s="178">
        <f t="shared" si="63"/>
        <v>0</v>
      </c>
      <c r="CE45" s="178">
        <f t="shared" si="63"/>
        <v>0</v>
      </c>
      <c r="CF45" s="178">
        <f t="shared" si="63"/>
        <v>0</v>
      </c>
      <c r="CG45" s="178">
        <f t="shared" si="63"/>
        <v>0</v>
      </c>
      <c r="CH45" s="178">
        <f t="shared" si="63"/>
        <v>0</v>
      </c>
      <c r="CI45" s="178">
        <f t="shared" si="63"/>
        <v>0</v>
      </c>
      <c r="CJ45" s="168">
        <f t="shared" si="63"/>
        <v>0</v>
      </c>
      <c r="CK45" s="169">
        <f t="shared" si="47"/>
        <v>0</v>
      </c>
      <c r="CL45" s="179">
        <f t="shared" si="48"/>
        <v>0</v>
      </c>
      <c r="CM45" s="180">
        <f t="shared" si="64"/>
        <v>0</v>
      </c>
      <c r="CN45" s="178">
        <f t="shared" si="64"/>
        <v>0</v>
      </c>
      <c r="CO45" s="178">
        <f t="shared" si="64"/>
        <v>0</v>
      </c>
      <c r="CP45" s="178">
        <f t="shared" si="64"/>
        <v>0</v>
      </c>
      <c r="CQ45" s="178">
        <f t="shared" si="64"/>
        <v>0</v>
      </c>
      <c r="CR45" s="178">
        <f t="shared" si="64"/>
        <v>0</v>
      </c>
      <c r="CS45" s="178">
        <f t="shared" si="64"/>
        <v>0</v>
      </c>
      <c r="CT45" s="178">
        <f t="shared" si="64"/>
        <v>0</v>
      </c>
      <c r="CU45" s="178">
        <f t="shared" si="64"/>
        <v>0</v>
      </c>
      <c r="CV45" s="178">
        <f t="shared" si="64"/>
        <v>0</v>
      </c>
      <c r="CW45" s="178">
        <f t="shared" si="64"/>
        <v>0</v>
      </c>
      <c r="CX45" s="168">
        <f t="shared" si="64"/>
        <v>0</v>
      </c>
      <c r="CY45" s="169">
        <f t="shared" si="50"/>
        <v>0</v>
      </c>
      <c r="CZ45" s="179">
        <f t="shared" si="51"/>
        <v>0</v>
      </c>
      <c r="DA45" s="180">
        <f t="shared" si="65"/>
        <v>0</v>
      </c>
      <c r="DB45" s="178">
        <f t="shared" si="65"/>
        <v>0</v>
      </c>
      <c r="DC45" s="178">
        <f t="shared" si="65"/>
        <v>0</v>
      </c>
      <c r="DD45" s="178">
        <f t="shared" si="65"/>
        <v>0</v>
      </c>
      <c r="DE45" s="178">
        <f t="shared" si="65"/>
        <v>0</v>
      </c>
      <c r="DF45" s="178">
        <f t="shared" si="65"/>
        <v>0</v>
      </c>
      <c r="DG45" s="178">
        <f t="shared" si="65"/>
        <v>0</v>
      </c>
      <c r="DH45" s="178">
        <f t="shared" si="65"/>
        <v>0</v>
      </c>
      <c r="DI45" s="178">
        <f t="shared" si="65"/>
        <v>0</v>
      </c>
      <c r="DJ45" s="178">
        <f t="shared" si="65"/>
        <v>0</v>
      </c>
      <c r="DK45" s="178">
        <f t="shared" si="65"/>
        <v>0</v>
      </c>
      <c r="DL45" s="168">
        <f t="shared" si="65"/>
        <v>0</v>
      </c>
      <c r="DM45" s="169">
        <f t="shared" si="53"/>
        <v>0</v>
      </c>
      <c r="DN45" s="171">
        <f t="shared" si="54"/>
        <v>0</v>
      </c>
      <c r="DO45" s="180">
        <f t="shared" si="66"/>
        <v>0</v>
      </c>
      <c r="DP45" s="178">
        <f t="shared" si="66"/>
        <v>0</v>
      </c>
      <c r="DQ45" s="178">
        <f t="shared" si="66"/>
        <v>0</v>
      </c>
      <c r="DR45" s="178">
        <f t="shared" si="66"/>
        <v>0</v>
      </c>
      <c r="DS45" s="178">
        <f t="shared" si="66"/>
        <v>0</v>
      </c>
      <c r="DT45" s="178">
        <f t="shared" si="66"/>
        <v>0</v>
      </c>
      <c r="DU45" s="178">
        <f t="shared" si="66"/>
        <v>0</v>
      </c>
      <c r="DV45" s="178">
        <f t="shared" si="66"/>
        <v>0</v>
      </c>
      <c r="DW45" s="178">
        <f t="shared" si="66"/>
        <v>0</v>
      </c>
      <c r="DX45" s="178">
        <f t="shared" si="66"/>
        <v>0</v>
      </c>
      <c r="DY45" s="178">
        <f t="shared" si="66"/>
        <v>0</v>
      </c>
      <c r="DZ45" s="168">
        <f t="shared" si="66"/>
        <v>0</v>
      </c>
      <c r="EA45" s="169">
        <f t="shared" si="56"/>
        <v>0</v>
      </c>
      <c r="EB45" s="171">
        <f t="shared" si="57"/>
        <v>0</v>
      </c>
    </row>
    <row r="46" spans="1:132" s="177" customFormat="1" ht="15.75">
      <c r="A46" s="163">
        <v>44049</v>
      </c>
      <c r="B46" s="164" t="s">
        <v>90</v>
      </c>
      <c r="C46" s="165" t="s">
        <v>183</v>
      </c>
      <c r="D46" s="166">
        <v>500</v>
      </c>
      <c r="E46" s="167">
        <v>3</v>
      </c>
      <c r="F46" s="168">
        <f t="shared" si="22"/>
        <v>166.66666666666666</v>
      </c>
      <c r="G46" s="169">
        <f t="shared" si="67"/>
        <v>0</v>
      </c>
      <c r="H46" s="178">
        <f t="shared" si="67"/>
        <v>0</v>
      </c>
      <c r="I46" s="178">
        <f t="shared" si="67"/>
        <v>0</v>
      </c>
      <c r="J46" s="178">
        <f t="shared" si="67"/>
        <v>0</v>
      </c>
      <c r="K46" s="178">
        <f t="shared" si="67"/>
        <v>0</v>
      </c>
      <c r="L46" s="178">
        <f t="shared" si="67"/>
        <v>0</v>
      </c>
      <c r="M46" s="178">
        <f t="shared" si="67"/>
        <v>0</v>
      </c>
      <c r="N46" s="178">
        <f t="shared" si="67"/>
        <v>0</v>
      </c>
      <c r="O46" s="178">
        <f t="shared" si="67"/>
        <v>0</v>
      </c>
      <c r="P46" s="178">
        <f t="shared" si="67"/>
        <v>0</v>
      </c>
      <c r="Q46" s="178">
        <f t="shared" si="67"/>
        <v>0</v>
      </c>
      <c r="R46" s="179">
        <f t="shared" si="67"/>
        <v>0</v>
      </c>
      <c r="S46" s="169">
        <f t="shared" si="58"/>
        <v>0</v>
      </c>
      <c r="T46" s="179">
        <f t="shared" si="33"/>
        <v>0</v>
      </c>
      <c r="U46" s="180">
        <f t="shared" si="59"/>
        <v>0</v>
      </c>
      <c r="V46" s="178">
        <f t="shared" si="59"/>
        <v>0</v>
      </c>
      <c r="W46" s="178">
        <f t="shared" si="59"/>
        <v>0</v>
      </c>
      <c r="X46" s="178">
        <f t="shared" si="59"/>
        <v>0</v>
      </c>
      <c r="Y46" s="178">
        <f t="shared" si="59"/>
        <v>0</v>
      </c>
      <c r="Z46" s="178">
        <f t="shared" si="59"/>
        <v>0</v>
      </c>
      <c r="AA46" s="178">
        <f t="shared" si="59"/>
        <v>0</v>
      </c>
      <c r="AB46" s="178">
        <f t="shared" si="59"/>
        <v>0</v>
      </c>
      <c r="AC46" s="178">
        <f t="shared" si="59"/>
        <v>0</v>
      </c>
      <c r="AD46" s="178">
        <f t="shared" si="59"/>
        <v>0</v>
      </c>
      <c r="AE46" s="178">
        <f t="shared" si="59"/>
        <v>0</v>
      </c>
      <c r="AF46" s="168">
        <f t="shared" si="59"/>
        <v>0</v>
      </c>
      <c r="AG46" s="169">
        <f t="shared" si="35"/>
        <v>0</v>
      </c>
      <c r="AH46" s="179">
        <f t="shared" si="36"/>
        <v>0</v>
      </c>
      <c r="AI46" s="180">
        <v>0</v>
      </c>
      <c r="AJ46" s="178">
        <v>0</v>
      </c>
      <c r="AK46" s="178">
        <v>0</v>
      </c>
      <c r="AL46" s="178">
        <v>0</v>
      </c>
      <c r="AM46" s="178">
        <v>0</v>
      </c>
      <c r="AN46" s="178">
        <v>0</v>
      </c>
      <c r="AO46" s="178">
        <v>0</v>
      </c>
      <c r="AP46" s="178">
        <v>0</v>
      </c>
      <c r="AQ46" s="178">
        <v>0</v>
      </c>
      <c r="AR46" s="178">
        <v>0</v>
      </c>
      <c r="AS46" s="178">
        <v>0</v>
      </c>
      <c r="AT46" s="168">
        <v>0</v>
      </c>
      <c r="AU46" s="169">
        <f t="shared" si="38"/>
        <v>0</v>
      </c>
      <c r="AV46" s="179">
        <f t="shared" si="39"/>
        <v>0</v>
      </c>
      <c r="AW46" s="180">
        <f t="shared" si="61"/>
        <v>0</v>
      </c>
      <c r="AX46" s="178">
        <f t="shared" si="61"/>
        <v>0</v>
      </c>
      <c r="AY46" s="178">
        <f t="shared" si="61"/>
        <v>0</v>
      </c>
      <c r="AZ46" s="178">
        <f t="shared" si="61"/>
        <v>0</v>
      </c>
      <c r="BA46" s="178">
        <f t="shared" si="61"/>
        <v>0</v>
      </c>
      <c r="BB46" s="178">
        <f t="shared" si="61"/>
        <v>0</v>
      </c>
      <c r="BC46" s="178">
        <f t="shared" si="61"/>
        <v>0</v>
      </c>
      <c r="BD46" s="178">
        <f t="shared" si="61"/>
        <v>0</v>
      </c>
      <c r="BE46" s="178">
        <f t="shared" si="61"/>
        <v>0</v>
      </c>
      <c r="BF46" s="178">
        <f t="shared" si="61"/>
        <v>0</v>
      </c>
      <c r="BG46" s="178">
        <f t="shared" si="61"/>
        <v>0</v>
      </c>
      <c r="BH46" s="168">
        <f t="shared" si="61"/>
        <v>0</v>
      </c>
      <c r="BI46" s="169">
        <v>0</v>
      </c>
      <c r="BJ46" s="179">
        <v>0</v>
      </c>
      <c r="BK46" s="180">
        <f t="shared" si="62"/>
        <v>0</v>
      </c>
      <c r="BL46" s="178">
        <f t="shared" si="62"/>
        <v>0</v>
      </c>
      <c r="BM46" s="178">
        <f t="shared" si="62"/>
        <v>0</v>
      </c>
      <c r="BN46" s="178">
        <f t="shared" si="62"/>
        <v>0</v>
      </c>
      <c r="BO46" s="178">
        <f t="shared" si="62"/>
        <v>0</v>
      </c>
      <c r="BP46" s="178">
        <f t="shared" si="62"/>
        <v>0</v>
      </c>
      <c r="BQ46" s="178">
        <f t="shared" si="62"/>
        <v>0</v>
      </c>
      <c r="BR46" s="178">
        <f t="shared" si="62"/>
        <v>0</v>
      </c>
      <c r="BS46" s="178">
        <f t="shared" si="62"/>
        <v>0</v>
      </c>
      <c r="BT46" s="178">
        <f t="shared" si="62"/>
        <v>0</v>
      </c>
      <c r="BU46" s="178">
        <f t="shared" si="62"/>
        <v>0</v>
      </c>
      <c r="BV46" s="168">
        <f t="shared" si="62"/>
        <v>0</v>
      </c>
      <c r="BW46" s="169">
        <f t="shared" si="44"/>
        <v>0</v>
      </c>
      <c r="BX46" s="179">
        <f t="shared" si="45"/>
        <v>0</v>
      </c>
      <c r="BY46" s="180">
        <f t="shared" si="63"/>
        <v>0</v>
      </c>
      <c r="BZ46" s="178">
        <f t="shared" si="63"/>
        <v>0</v>
      </c>
      <c r="CA46" s="178">
        <f t="shared" si="63"/>
        <v>0</v>
      </c>
      <c r="CB46" s="178">
        <f t="shared" si="63"/>
        <v>0</v>
      </c>
      <c r="CC46" s="178">
        <f t="shared" si="63"/>
        <v>0</v>
      </c>
      <c r="CD46" s="178">
        <f t="shared" si="63"/>
        <v>0</v>
      </c>
      <c r="CE46" s="178">
        <f t="shared" si="63"/>
        <v>0</v>
      </c>
      <c r="CF46" s="178">
        <f t="shared" si="63"/>
        <v>0</v>
      </c>
      <c r="CG46" s="178">
        <f t="shared" si="63"/>
        <v>0</v>
      </c>
      <c r="CH46" s="178">
        <f t="shared" si="63"/>
        <v>0</v>
      </c>
      <c r="CI46" s="178">
        <f t="shared" si="63"/>
        <v>0</v>
      </c>
      <c r="CJ46" s="168">
        <f t="shared" si="63"/>
        <v>0</v>
      </c>
      <c r="CK46" s="169">
        <f t="shared" si="47"/>
        <v>0</v>
      </c>
      <c r="CL46" s="179">
        <f t="shared" si="48"/>
        <v>0</v>
      </c>
      <c r="CM46" s="180">
        <f t="shared" si="64"/>
        <v>0</v>
      </c>
      <c r="CN46" s="178">
        <f t="shared" si="64"/>
        <v>0</v>
      </c>
      <c r="CO46" s="178">
        <f t="shared" si="64"/>
        <v>0</v>
      </c>
      <c r="CP46" s="178">
        <f t="shared" si="64"/>
        <v>0</v>
      </c>
      <c r="CQ46" s="178">
        <f t="shared" si="64"/>
        <v>0</v>
      </c>
      <c r="CR46" s="178">
        <f t="shared" si="64"/>
        <v>0</v>
      </c>
      <c r="CS46" s="178">
        <f t="shared" si="64"/>
        <v>0</v>
      </c>
      <c r="CT46" s="178">
        <f t="shared" si="64"/>
        <v>0</v>
      </c>
      <c r="CU46" s="178">
        <f t="shared" si="64"/>
        <v>0</v>
      </c>
      <c r="CV46" s="178">
        <f t="shared" si="64"/>
        <v>0</v>
      </c>
      <c r="CW46" s="178">
        <f t="shared" si="64"/>
        <v>0</v>
      </c>
      <c r="CX46" s="168">
        <f t="shared" si="64"/>
        <v>0</v>
      </c>
      <c r="CY46" s="169">
        <f t="shared" si="50"/>
        <v>0</v>
      </c>
      <c r="CZ46" s="179">
        <f t="shared" si="51"/>
        <v>0</v>
      </c>
      <c r="DA46" s="180">
        <f t="shared" si="65"/>
        <v>0</v>
      </c>
      <c r="DB46" s="178">
        <f t="shared" si="65"/>
        <v>0</v>
      </c>
      <c r="DC46" s="178">
        <f t="shared" si="65"/>
        <v>0</v>
      </c>
      <c r="DD46" s="178">
        <f t="shared" si="65"/>
        <v>0</v>
      </c>
      <c r="DE46" s="178">
        <f t="shared" si="65"/>
        <v>0</v>
      </c>
      <c r="DF46" s="178">
        <f t="shared" si="65"/>
        <v>0</v>
      </c>
      <c r="DG46" s="178">
        <f t="shared" si="65"/>
        <v>0</v>
      </c>
      <c r="DH46" s="178">
        <f t="shared" si="65"/>
        <v>0</v>
      </c>
      <c r="DI46" s="178">
        <f t="shared" si="65"/>
        <v>0</v>
      </c>
      <c r="DJ46" s="178">
        <f t="shared" si="65"/>
        <v>0</v>
      </c>
      <c r="DK46" s="178">
        <f t="shared" si="65"/>
        <v>0</v>
      </c>
      <c r="DL46" s="168">
        <f t="shared" si="65"/>
        <v>0</v>
      </c>
      <c r="DM46" s="169">
        <f t="shared" si="53"/>
        <v>0</v>
      </c>
      <c r="DN46" s="171">
        <f t="shared" si="54"/>
        <v>0</v>
      </c>
      <c r="DO46" s="180">
        <f t="shared" si="66"/>
        <v>0</v>
      </c>
      <c r="DP46" s="178">
        <f t="shared" si="66"/>
        <v>0</v>
      </c>
      <c r="DQ46" s="178">
        <f t="shared" si="66"/>
        <v>0</v>
      </c>
      <c r="DR46" s="178">
        <f t="shared" si="66"/>
        <v>0</v>
      </c>
      <c r="DS46" s="178">
        <f t="shared" si="66"/>
        <v>0</v>
      </c>
      <c r="DT46" s="178">
        <f t="shared" si="66"/>
        <v>0</v>
      </c>
      <c r="DU46" s="178">
        <f t="shared" si="66"/>
        <v>0</v>
      </c>
      <c r="DV46" s="178">
        <f t="shared" si="66"/>
        <v>0</v>
      </c>
      <c r="DW46" s="178">
        <f t="shared" si="66"/>
        <v>0</v>
      </c>
      <c r="DX46" s="178">
        <f t="shared" si="66"/>
        <v>0</v>
      </c>
      <c r="DY46" s="178">
        <f t="shared" si="66"/>
        <v>0</v>
      </c>
      <c r="DZ46" s="168">
        <f t="shared" si="66"/>
        <v>0</v>
      </c>
      <c r="EA46" s="169">
        <f t="shared" si="56"/>
        <v>0</v>
      </c>
      <c r="EB46" s="171">
        <f t="shared" si="57"/>
        <v>0</v>
      </c>
    </row>
    <row r="47" spans="1:132" s="177" customFormat="1" ht="15.75">
      <c r="A47" s="163">
        <v>44049</v>
      </c>
      <c r="B47" s="164" t="s">
        <v>90</v>
      </c>
      <c r="C47" s="165" t="s">
        <v>184</v>
      </c>
      <c r="D47" s="166">
        <v>1000</v>
      </c>
      <c r="E47" s="167">
        <v>3</v>
      </c>
      <c r="F47" s="168">
        <f t="shared" si="22"/>
        <v>333.33333333333331</v>
      </c>
      <c r="G47" s="169">
        <f t="shared" si="67"/>
        <v>0</v>
      </c>
      <c r="H47" s="178">
        <f t="shared" si="67"/>
        <v>0</v>
      </c>
      <c r="I47" s="178">
        <f t="shared" si="67"/>
        <v>0</v>
      </c>
      <c r="J47" s="178">
        <f t="shared" si="67"/>
        <v>0</v>
      </c>
      <c r="K47" s="178">
        <f t="shared" si="67"/>
        <v>0</v>
      </c>
      <c r="L47" s="178">
        <f t="shared" si="67"/>
        <v>0</v>
      </c>
      <c r="M47" s="178">
        <f t="shared" si="67"/>
        <v>0</v>
      </c>
      <c r="N47" s="178">
        <f t="shared" si="67"/>
        <v>0</v>
      </c>
      <c r="O47" s="178">
        <f t="shared" si="67"/>
        <v>0</v>
      </c>
      <c r="P47" s="178">
        <f t="shared" si="67"/>
        <v>0</v>
      </c>
      <c r="Q47" s="178">
        <f t="shared" si="67"/>
        <v>0</v>
      </c>
      <c r="R47" s="179">
        <f t="shared" si="67"/>
        <v>0</v>
      </c>
      <c r="S47" s="169">
        <f t="shared" si="58"/>
        <v>0</v>
      </c>
      <c r="T47" s="179">
        <f t="shared" si="33"/>
        <v>0</v>
      </c>
      <c r="U47" s="180">
        <f t="shared" si="59"/>
        <v>0</v>
      </c>
      <c r="V47" s="178">
        <f t="shared" si="59"/>
        <v>0</v>
      </c>
      <c r="W47" s="178">
        <f t="shared" si="59"/>
        <v>0</v>
      </c>
      <c r="X47" s="178">
        <f t="shared" si="59"/>
        <v>0</v>
      </c>
      <c r="Y47" s="178">
        <f t="shared" si="59"/>
        <v>0</v>
      </c>
      <c r="Z47" s="178">
        <f t="shared" si="59"/>
        <v>0</v>
      </c>
      <c r="AA47" s="178">
        <f t="shared" si="59"/>
        <v>0</v>
      </c>
      <c r="AB47" s="178">
        <f t="shared" si="59"/>
        <v>0</v>
      </c>
      <c r="AC47" s="178">
        <f t="shared" si="59"/>
        <v>0</v>
      </c>
      <c r="AD47" s="178">
        <f t="shared" si="59"/>
        <v>0</v>
      </c>
      <c r="AE47" s="178">
        <f t="shared" si="59"/>
        <v>0</v>
      </c>
      <c r="AF47" s="168">
        <f t="shared" si="59"/>
        <v>0</v>
      </c>
      <c r="AG47" s="169">
        <f t="shared" si="35"/>
        <v>0</v>
      </c>
      <c r="AH47" s="179">
        <f t="shared" si="36"/>
        <v>0</v>
      </c>
      <c r="AI47" s="180">
        <f t="shared" si="60"/>
        <v>0</v>
      </c>
      <c r="AJ47" s="178">
        <f t="shared" si="60"/>
        <v>0</v>
      </c>
      <c r="AK47" s="178">
        <f t="shared" si="60"/>
        <v>0</v>
      </c>
      <c r="AL47" s="178">
        <f t="shared" si="60"/>
        <v>0</v>
      </c>
      <c r="AM47" s="178">
        <f t="shared" si="60"/>
        <v>0</v>
      </c>
      <c r="AN47" s="178">
        <f t="shared" si="60"/>
        <v>0</v>
      </c>
      <c r="AO47" s="178">
        <f t="shared" si="60"/>
        <v>0</v>
      </c>
      <c r="AP47" s="178">
        <f t="shared" si="60"/>
        <v>0</v>
      </c>
      <c r="AQ47" s="178">
        <f t="shared" si="60"/>
        <v>0</v>
      </c>
      <c r="AR47" s="178">
        <f t="shared" si="60"/>
        <v>0</v>
      </c>
      <c r="AS47" s="178">
        <f t="shared" si="60"/>
        <v>0</v>
      </c>
      <c r="AT47" s="168">
        <f t="shared" si="60"/>
        <v>0</v>
      </c>
      <c r="AU47" s="169">
        <f t="shared" si="38"/>
        <v>0</v>
      </c>
      <c r="AV47" s="179">
        <f t="shared" si="39"/>
        <v>0</v>
      </c>
      <c r="AW47" s="180">
        <f t="shared" si="61"/>
        <v>0</v>
      </c>
      <c r="AX47" s="178">
        <f t="shared" si="61"/>
        <v>0</v>
      </c>
      <c r="AY47" s="178">
        <f t="shared" si="61"/>
        <v>0</v>
      </c>
      <c r="AZ47" s="178">
        <f t="shared" si="61"/>
        <v>0</v>
      </c>
      <c r="BA47" s="178">
        <f t="shared" si="61"/>
        <v>0</v>
      </c>
      <c r="BB47" s="178">
        <f t="shared" si="61"/>
        <v>0</v>
      </c>
      <c r="BC47" s="178">
        <f t="shared" si="61"/>
        <v>0</v>
      </c>
      <c r="BD47" s="178">
        <f t="shared" si="61"/>
        <v>0</v>
      </c>
      <c r="BE47" s="178">
        <f t="shared" si="61"/>
        <v>0</v>
      </c>
      <c r="BF47" s="178">
        <f t="shared" si="61"/>
        <v>0</v>
      </c>
      <c r="BG47" s="178">
        <f t="shared" si="61"/>
        <v>0</v>
      </c>
      <c r="BH47" s="168">
        <f t="shared" si="61"/>
        <v>0</v>
      </c>
      <c r="BI47" s="169">
        <f t="shared" si="41"/>
        <v>0</v>
      </c>
      <c r="BJ47" s="179">
        <f t="shared" si="42"/>
        <v>0</v>
      </c>
      <c r="BK47" s="180">
        <f t="shared" si="62"/>
        <v>0</v>
      </c>
      <c r="BL47" s="178">
        <f t="shared" si="62"/>
        <v>0</v>
      </c>
      <c r="BM47" s="178">
        <f t="shared" si="62"/>
        <v>0</v>
      </c>
      <c r="BN47" s="178">
        <f t="shared" si="62"/>
        <v>0</v>
      </c>
      <c r="BO47" s="178">
        <f t="shared" si="62"/>
        <v>0</v>
      </c>
      <c r="BP47" s="178">
        <f t="shared" si="62"/>
        <v>0</v>
      </c>
      <c r="BQ47" s="178">
        <f t="shared" si="62"/>
        <v>0</v>
      </c>
      <c r="BR47" s="178">
        <f t="shared" si="62"/>
        <v>0</v>
      </c>
      <c r="BS47" s="178">
        <f t="shared" si="62"/>
        <v>0</v>
      </c>
      <c r="BT47" s="178">
        <f t="shared" si="62"/>
        <v>0</v>
      </c>
      <c r="BU47" s="178">
        <f t="shared" si="62"/>
        <v>0</v>
      </c>
      <c r="BV47" s="168">
        <f t="shared" si="62"/>
        <v>0</v>
      </c>
      <c r="BW47" s="169">
        <f t="shared" si="44"/>
        <v>0</v>
      </c>
      <c r="BX47" s="179">
        <f t="shared" si="45"/>
        <v>0</v>
      </c>
      <c r="BY47" s="180">
        <f t="shared" si="63"/>
        <v>0</v>
      </c>
      <c r="BZ47" s="178">
        <f t="shared" si="63"/>
        <v>0</v>
      </c>
      <c r="CA47" s="178">
        <f t="shared" si="63"/>
        <v>0</v>
      </c>
      <c r="CB47" s="178">
        <f t="shared" si="63"/>
        <v>0</v>
      </c>
      <c r="CC47" s="178">
        <f t="shared" si="63"/>
        <v>0</v>
      </c>
      <c r="CD47" s="178">
        <f t="shared" si="63"/>
        <v>0</v>
      </c>
      <c r="CE47" s="178">
        <f t="shared" si="63"/>
        <v>0</v>
      </c>
      <c r="CF47" s="178">
        <f t="shared" si="63"/>
        <v>0</v>
      </c>
      <c r="CG47" s="178">
        <f t="shared" si="63"/>
        <v>0</v>
      </c>
      <c r="CH47" s="178">
        <f t="shared" si="63"/>
        <v>0</v>
      </c>
      <c r="CI47" s="178">
        <f t="shared" si="63"/>
        <v>0</v>
      </c>
      <c r="CJ47" s="168">
        <f t="shared" si="63"/>
        <v>0</v>
      </c>
      <c r="CK47" s="169">
        <f t="shared" si="47"/>
        <v>0</v>
      </c>
      <c r="CL47" s="179">
        <f t="shared" si="48"/>
        <v>0</v>
      </c>
      <c r="CM47" s="180">
        <f t="shared" si="64"/>
        <v>0</v>
      </c>
      <c r="CN47" s="178">
        <f t="shared" si="64"/>
        <v>0</v>
      </c>
      <c r="CO47" s="178">
        <f t="shared" si="64"/>
        <v>0</v>
      </c>
      <c r="CP47" s="178">
        <f t="shared" si="64"/>
        <v>0</v>
      </c>
      <c r="CQ47" s="178">
        <f t="shared" si="64"/>
        <v>0</v>
      </c>
      <c r="CR47" s="178">
        <f t="shared" si="64"/>
        <v>0</v>
      </c>
      <c r="CS47" s="178">
        <f t="shared" si="64"/>
        <v>0</v>
      </c>
      <c r="CT47" s="178">
        <f t="shared" si="64"/>
        <v>0</v>
      </c>
      <c r="CU47" s="178">
        <f t="shared" si="64"/>
        <v>0</v>
      </c>
      <c r="CV47" s="178">
        <f t="shared" si="64"/>
        <v>0</v>
      </c>
      <c r="CW47" s="178">
        <f t="shared" si="64"/>
        <v>0</v>
      </c>
      <c r="CX47" s="168">
        <f t="shared" si="64"/>
        <v>0</v>
      </c>
      <c r="CY47" s="169">
        <f t="shared" si="50"/>
        <v>0</v>
      </c>
      <c r="CZ47" s="179">
        <f t="shared" si="51"/>
        <v>0</v>
      </c>
      <c r="DA47" s="180">
        <f t="shared" si="65"/>
        <v>0</v>
      </c>
      <c r="DB47" s="178">
        <f t="shared" si="65"/>
        <v>0</v>
      </c>
      <c r="DC47" s="178">
        <f t="shared" si="65"/>
        <v>0</v>
      </c>
      <c r="DD47" s="178">
        <f t="shared" si="65"/>
        <v>0</v>
      </c>
      <c r="DE47" s="178">
        <f t="shared" si="65"/>
        <v>0</v>
      </c>
      <c r="DF47" s="178">
        <f t="shared" si="65"/>
        <v>0</v>
      </c>
      <c r="DG47" s="178">
        <f t="shared" si="65"/>
        <v>0</v>
      </c>
      <c r="DH47" s="178">
        <f t="shared" si="65"/>
        <v>0</v>
      </c>
      <c r="DI47" s="178">
        <f t="shared" si="65"/>
        <v>0</v>
      </c>
      <c r="DJ47" s="178">
        <f t="shared" si="65"/>
        <v>0</v>
      </c>
      <c r="DK47" s="178">
        <f t="shared" si="65"/>
        <v>0</v>
      </c>
      <c r="DL47" s="168">
        <f t="shared" si="65"/>
        <v>0</v>
      </c>
      <c r="DM47" s="169">
        <f t="shared" si="53"/>
        <v>0</v>
      </c>
      <c r="DN47" s="171">
        <f t="shared" si="54"/>
        <v>0</v>
      </c>
      <c r="DO47" s="180">
        <f t="shared" si="66"/>
        <v>0</v>
      </c>
      <c r="DP47" s="178">
        <f t="shared" si="66"/>
        <v>0</v>
      </c>
      <c r="DQ47" s="178">
        <f t="shared" si="66"/>
        <v>0</v>
      </c>
      <c r="DR47" s="178">
        <f t="shared" si="66"/>
        <v>0</v>
      </c>
      <c r="DS47" s="178">
        <f t="shared" si="66"/>
        <v>0</v>
      </c>
      <c r="DT47" s="178">
        <f t="shared" si="66"/>
        <v>0</v>
      </c>
      <c r="DU47" s="178">
        <f t="shared" si="66"/>
        <v>0</v>
      </c>
      <c r="DV47" s="178">
        <f t="shared" si="66"/>
        <v>0</v>
      </c>
      <c r="DW47" s="178">
        <f t="shared" si="66"/>
        <v>0</v>
      </c>
      <c r="DX47" s="178">
        <f t="shared" si="66"/>
        <v>0</v>
      </c>
      <c r="DY47" s="178">
        <f t="shared" si="66"/>
        <v>0</v>
      </c>
      <c r="DZ47" s="168">
        <f t="shared" si="66"/>
        <v>0</v>
      </c>
      <c r="EA47" s="169">
        <f t="shared" si="56"/>
        <v>0</v>
      </c>
      <c r="EB47" s="171">
        <f t="shared" si="57"/>
        <v>0</v>
      </c>
    </row>
    <row r="48" spans="1:132" s="177" customFormat="1" ht="15.75">
      <c r="A48" s="163">
        <v>44062</v>
      </c>
      <c r="B48" s="164" t="s">
        <v>91</v>
      </c>
      <c r="C48" s="165" t="s">
        <v>185</v>
      </c>
      <c r="D48" s="166">
        <v>4800</v>
      </c>
      <c r="E48" s="167">
        <v>5</v>
      </c>
      <c r="F48" s="168">
        <f t="shared" si="22"/>
        <v>960</v>
      </c>
      <c r="G48" s="169">
        <f t="shared" si="67"/>
        <v>0</v>
      </c>
      <c r="H48" s="178">
        <f t="shared" si="67"/>
        <v>0</v>
      </c>
      <c r="I48" s="178">
        <f t="shared" si="67"/>
        <v>0</v>
      </c>
      <c r="J48" s="178">
        <f t="shared" si="67"/>
        <v>0</v>
      </c>
      <c r="K48" s="178">
        <f t="shared" si="67"/>
        <v>0</v>
      </c>
      <c r="L48" s="178">
        <f t="shared" si="67"/>
        <v>0</v>
      </c>
      <c r="M48" s="178">
        <f t="shared" si="67"/>
        <v>0</v>
      </c>
      <c r="N48" s="178">
        <f t="shared" si="67"/>
        <v>0</v>
      </c>
      <c r="O48" s="178">
        <f t="shared" si="67"/>
        <v>0</v>
      </c>
      <c r="P48" s="178">
        <f t="shared" si="67"/>
        <v>0</v>
      </c>
      <c r="Q48" s="178">
        <f t="shared" si="67"/>
        <v>0</v>
      </c>
      <c r="R48" s="179">
        <f t="shared" si="67"/>
        <v>0</v>
      </c>
      <c r="S48" s="169">
        <f t="shared" si="58"/>
        <v>0</v>
      </c>
      <c r="T48" s="179">
        <f t="shared" si="33"/>
        <v>0</v>
      </c>
      <c r="U48" s="180">
        <f t="shared" si="59"/>
        <v>0</v>
      </c>
      <c r="V48" s="178">
        <f t="shared" si="59"/>
        <v>0</v>
      </c>
      <c r="W48" s="178">
        <f t="shared" si="59"/>
        <v>0</v>
      </c>
      <c r="X48" s="178">
        <f t="shared" si="59"/>
        <v>0</v>
      </c>
      <c r="Y48" s="178">
        <f t="shared" si="59"/>
        <v>0</v>
      </c>
      <c r="Z48" s="178">
        <f t="shared" si="59"/>
        <v>0</v>
      </c>
      <c r="AA48" s="178">
        <f t="shared" si="59"/>
        <v>0</v>
      </c>
      <c r="AB48" s="178">
        <f t="shared" si="59"/>
        <v>0</v>
      </c>
      <c r="AC48" s="178">
        <f t="shared" si="59"/>
        <v>0</v>
      </c>
      <c r="AD48" s="178">
        <f t="shared" si="59"/>
        <v>0</v>
      </c>
      <c r="AE48" s="178">
        <f t="shared" si="59"/>
        <v>0</v>
      </c>
      <c r="AF48" s="168">
        <f t="shared" si="59"/>
        <v>0</v>
      </c>
      <c r="AG48" s="169">
        <f t="shared" si="35"/>
        <v>0</v>
      </c>
      <c r="AH48" s="179">
        <f t="shared" si="36"/>
        <v>0</v>
      </c>
      <c r="AI48" s="180">
        <f t="shared" si="60"/>
        <v>0</v>
      </c>
      <c r="AJ48" s="178">
        <f t="shared" si="60"/>
        <v>0</v>
      </c>
      <c r="AK48" s="178">
        <f t="shared" si="60"/>
        <v>0</v>
      </c>
      <c r="AL48" s="178">
        <f t="shared" si="60"/>
        <v>0</v>
      </c>
      <c r="AM48" s="178">
        <f t="shared" si="60"/>
        <v>0</v>
      </c>
      <c r="AN48" s="178">
        <f t="shared" si="60"/>
        <v>0</v>
      </c>
      <c r="AO48" s="178">
        <f t="shared" si="60"/>
        <v>0</v>
      </c>
      <c r="AP48" s="178">
        <f t="shared" si="60"/>
        <v>0</v>
      </c>
      <c r="AQ48" s="178">
        <f t="shared" si="60"/>
        <v>0</v>
      </c>
      <c r="AR48" s="178">
        <f t="shared" si="60"/>
        <v>0</v>
      </c>
      <c r="AS48" s="178">
        <f t="shared" si="60"/>
        <v>0</v>
      </c>
      <c r="AT48" s="168">
        <f t="shared" si="60"/>
        <v>0</v>
      </c>
      <c r="AU48" s="169">
        <f t="shared" si="38"/>
        <v>0</v>
      </c>
      <c r="AV48" s="179">
        <f t="shared" si="39"/>
        <v>0</v>
      </c>
      <c r="AW48" s="180">
        <f t="shared" si="61"/>
        <v>0</v>
      </c>
      <c r="AX48" s="178">
        <f t="shared" si="61"/>
        <v>0</v>
      </c>
      <c r="AY48" s="178">
        <f t="shared" si="61"/>
        <v>0</v>
      </c>
      <c r="AZ48" s="178">
        <f t="shared" si="61"/>
        <v>0</v>
      </c>
      <c r="BA48" s="178">
        <f t="shared" si="61"/>
        <v>0</v>
      </c>
      <c r="BB48" s="178">
        <f t="shared" si="61"/>
        <v>0</v>
      </c>
      <c r="BC48" s="178">
        <f t="shared" si="61"/>
        <v>0</v>
      </c>
      <c r="BD48" s="178">
        <f t="shared" si="61"/>
        <v>0</v>
      </c>
      <c r="BE48" s="178">
        <f t="shared" si="61"/>
        <v>0</v>
      </c>
      <c r="BF48" s="178">
        <f t="shared" si="61"/>
        <v>0</v>
      </c>
      <c r="BG48" s="178">
        <f t="shared" si="61"/>
        <v>0</v>
      </c>
      <c r="BH48" s="168">
        <f t="shared" si="61"/>
        <v>0</v>
      </c>
      <c r="BI48" s="169">
        <f t="shared" si="41"/>
        <v>0</v>
      </c>
      <c r="BJ48" s="179">
        <f t="shared" si="42"/>
        <v>0</v>
      </c>
      <c r="BK48" s="180">
        <f t="shared" si="62"/>
        <v>0</v>
      </c>
      <c r="BL48" s="178">
        <f t="shared" si="62"/>
        <v>0</v>
      </c>
      <c r="BM48" s="178">
        <f t="shared" si="62"/>
        <v>0</v>
      </c>
      <c r="BN48" s="178">
        <f t="shared" si="62"/>
        <v>0</v>
      </c>
      <c r="BO48" s="178">
        <f t="shared" si="62"/>
        <v>0</v>
      </c>
      <c r="BP48" s="178">
        <f t="shared" si="62"/>
        <v>0</v>
      </c>
      <c r="BQ48" s="178">
        <f t="shared" si="62"/>
        <v>0</v>
      </c>
      <c r="BR48" s="178">
        <f t="shared" si="62"/>
        <v>0</v>
      </c>
      <c r="BS48" s="178">
        <f t="shared" si="62"/>
        <v>0</v>
      </c>
      <c r="BT48" s="178">
        <f t="shared" si="62"/>
        <v>0</v>
      </c>
      <c r="BU48" s="178">
        <f t="shared" si="62"/>
        <v>0</v>
      </c>
      <c r="BV48" s="168">
        <f t="shared" si="62"/>
        <v>0</v>
      </c>
      <c r="BW48" s="169">
        <f t="shared" si="44"/>
        <v>0</v>
      </c>
      <c r="BX48" s="179">
        <f t="shared" si="45"/>
        <v>0</v>
      </c>
      <c r="BY48" s="180">
        <f t="shared" si="63"/>
        <v>0</v>
      </c>
      <c r="BZ48" s="178">
        <f t="shared" si="63"/>
        <v>0</v>
      </c>
      <c r="CA48" s="178">
        <f t="shared" si="63"/>
        <v>0</v>
      </c>
      <c r="CB48" s="178">
        <f t="shared" si="63"/>
        <v>0</v>
      </c>
      <c r="CC48" s="178">
        <f t="shared" si="63"/>
        <v>0</v>
      </c>
      <c r="CD48" s="178">
        <f t="shared" si="63"/>
        <v>0</v>
      </c>
      <c r="CE48" s="178">
        <f t="shared" si="63"/>
        <v>0</v>
      </c>
      <c r="CF48" s="178">
        <f t="shared" si="63"/>
        <v>0</v>
      </c>
      <c r="CG48" s="178">
        <f t="shared" si="63"/>
        <v>0</v>
      </c>
      <c r="CH48" s="178">
        <f t="shared" si="63"/>
        <v>0</v>
      </c>
      <c r="CI48" s="178">
        <f t="shared" si="63"/>
        <v>0</v>
      </c>
      <c r="CJ48" s="168">
        <f t="shared" si="63"/>
        <v>0</v>
      </c>
      <c r="CK48" s="169">
        <f t="shared" si="47"/>
        <v>0</v>
      </c>
      <c r="CL48" s="179">
        <f t="shared" si="48"/>
        <v>0</v>
      </c>
      <c r="CM48" s="180">
        <f t="shared" si="64"/>
        <v>0</v>
      </c>
      <c r="CN48" s="178">
        <f t="shared" si="64"/>
        <v>0</v>
      </c>
      <c r="CO48" s="178">
        <f t="shared" si="64"/>
        <v>0</v>
      </c>
      <c r="CP48" s="178">
        <f t="shared" si="64"/>
        <v>0</v>
      </c>
      <c r="CQ48" s="178">
        <f t="shared" si="64"/>
        <v>0</v>
      </c>
      <c r="CR48" s="178">
        <f t="shared" si="64"/>
        <v>0</v>
      </c>
      <c r="CS48" s="178">
        <f t="shared" si="64"/>
        <v>0</v>
      </c>
      <c r="CT48" s="178">
        <f t="shared" si="64"/>
        <v>0</v>
      </c>
      <c r="CU48" s="178">
        <f t="shared" si="64"/>
        <v>0</v>
      </c>
      <c r="CV48" s="178">
        <f t="shared" si="64"/>
        <v>0</v>
      </c>
      <c r="CW48" s="178">
        <f t="shared" si="64"/>
        <v>0</v>
      </c>
      <c r="CX48" s="168">
        <f t="shared" si="64"/>
        <v>0</v>
      </c>
      <c r="CY48" s="169">
        <f t="shared" si="50"/>
        <v>0</v>
      </c>
      <c r="CZ48" s="179">
        <f t="shared" si="51"/>
        <v>0</v>
      </c>
      <c r="DA48" s="180">
        <f t="shared" si="65"/>
        <v>0</v>
      </c>
      <c r="DB48" s="178">
        <f t="shared" si="65"/>
        <v>0</v>
      </c>
      <c r="DC48" s="178">
        <f t="shared" si="65"/>
        <v>0</v>
      </c>
      <c r="DD48" s="178">
        <f t="shared" si="65"/>
        <v>0</v>
      </c>
      <c r="DE48" s="178">
        <f t="shared" si="65"/>
        <v>0</v>
      </c>
      <c r="DF48" s="178">
        <f t="shared" si="65"/>
        <v>0</v>
      </c>
      <c r="DG48" s="178">
        <f t="shared" si="65"/>
        <v>0</v>
      </c>
      <c r="DH48" s="178">
        <f t="shared" si="65"/>
        <v>0</v>
      </c>
      <c r="DI48" s="178">
        <f t="shared" si="65"/>
        <v>0</v>
      </c>
      <c r="DJ48" s="178">
        <f t="shared" si="65"/>
        <v>0</v>
      </c>
      <c r="DK48" s="178">
        <f t="shared" si="65"/>
        <v>0</v>
      </c>
      <c r="DL48" s="168">
        <f t="shared" si="65"/>
        <v>0</v>
      </c>
      <c r="DM48" s="169">
        <f t="shared" si="53"/>
        <v>0</v>
      </c>
      <c r="DN48" s="171">
        <f t="shared" si="54"/>
        <v>0</v>
      </c>
      <c r="DO48" s="180">
        <f t="shared" si="66"/>
        <v>0</v>
      </c>
      <c r="DP48" s="178">
        <f t="shared" si="66"/>
        <v>0</v>
      </c>
      <c r="DQ48" s="178">
        <f t="shared" si="66"/>
        <v>0</v>
      </c>
      <c r="DR48" s="178">
        <f t="shared" si="66"/>
        <v>0</v>
      </c>
      <c r="DS48" s="178">
        <f t="shared" si="66"/>
        <v>0</v>
      </c>
      <c r="DT48" s="178">
        <f t="shared" si="66"/>
        <v>0</v>
      </c>
      <c r="DU48" s="178">
        <f t="shared" si="66"/>
        <v>0</v>
      </c>
      <c r="DV48" s="178">
        <f t="shared" si="66"/>
        <v>0</v>
      </c>
      <c r="DW48" s="178">
        <f t="shared" si="66"/>
        <v>0</v>
      </c>
      <c r="DX48" s="178">
        <f t="shared" si="66"/>
        <v>0</v>
      </c>
      <c r="DY48" s="178">
        <f t="shared" si="66"/>
        <v>0</v>
      </c>
      <c r="DZ48" s="168">
        <f t="shared" si="66"/>
        <v>0</v>
      </c>
      <c r="EA48" s="169">
        <f t="shared" si="56"/>
        <v>0</v>
      </c>
      <c r="EB48" s="171">
        <f t="shared" si="57"/>
        <v>0</v>
      </c>
    </row>
    <row r="49" spans="1:132" s="177" customFormat="1" ht="15.75">
      <c r="A49" s="163">
        <v>44227</v>
      </c>
      <c r="B49" s="164" t="s">
        <v>91</v>
      </c>
      <c r="C49" s="165" t="s">
        <v>193</v>
      </c>
      <c r="D49" s="166">
        <v>4950</v>
      </c>
      <c r="E49" s="167">
        <v>3</v>
      </c>
      <c r="F49" s="168">
        <f t="shared" si="22"/>
        <v>1650</v>
      </c>
      <c r="G49" s="169">
        <f t="shared" si="67"/>
        <v>0</v>
      </c>
      <c r="H49" s="178">
        <f t="shared" si="67"/>
        <v>0</v>
      </c>
      <c r="I49" s="178">
        <f t="shared" si="67"/>
        <v>0</v>
      </c>
      <c r="J49" s="178">
        <f t="shared" si="67"/>
        <v>0</v>
      </c>
      <c r="K49" s="178">
        <f t="shared" si="67"/>
        <v>0</v>
      </c>
      <c r="L49" s="178">
        <f t="shared" si="67"/>
        <v>0</v>
      </c>
      <c r="M49" s="178">
        <f t="shared" si="67"/>
        <v>0</v>
      </c>
      <c r="N49" s="178">
        <f t="shared" si="67"/>
        <v>0</v>
      </c>
      <c r="O49" s="178">
        <f t="shared" si="67"/>
        <v>0</v>
      </c>
      <c r="P49" s="178">
        <f t="shared" si="67"/>
        <v>0</v>
      </c>
      <c r="Q49" s="178">
        <f t="shared" si="67"/>
        <v>0</v>
      </c>
      <c r="R49" s="179">
        <f t="shared" si="67"/>
        <v>0</v>
      </c>
      <c r="S49" s="169">
        <f t="shared" si="58"/>
        <v>0</v>
      </c>
      <c r="T49" s="179">
        <f t="shared" si="33"/>
        <v>0</v>
      </c>
      <c r="U49" s="180">
        <f t="shared" si="59"/>
        <v>0</v>
      </c>
      <c r="V49" s="178">
        <f t="shared" si="59"/>
        <v>0</v>
      </c>
      <c r="W49" s="178">
        <f t="shared" si="59"/>
        <v>0</v>
      </c>
      <c r="X49" s="178">
        <f t="shared" si="59"/>
        <v>0</v>
      </c>
      <c r="Y49" s="178">
        <f t="shared" si="59"/>
        <v>0</v>
      </c>
      <c r="Z49" s="178">
        <f t="shared" si="59"/>
        <v>0</v>
      </c>
      <c r="AA49" s="178">
        <f t="shared" si="59"/>
        <v>0</v>
      </c>
      <c r="AB49" s="178">
        <f t="shared" si="59"/>
        <v>0</v>
      </c>
      <c r="AC49" s="178">
        <f t="shared" si="59"/>
        <v>0</v>
      </c>
      <c r="AD49" s="178">
        <f t="shared" si="59"/>
        <v>0</v>
      </c>
      <c r="AE49" s="178">
        <f t="shared" si="59"/>
        <v>0</v>
      </c>
      <c r="AF49" s="168">
        <f t="shared" si="59"/>
        <v>0</v>
      </c>
      <c r="AG49" s="169">
        <f t="shared" si="35"/>
        <v>0</v>
      </c>
      <c r="AH49" s="179">
        <f t="shared" si="36"/>
        <v>0</v>
      </c>
      <c r="AI49" s="180">
        <f t="shared" si="60"/>
        <v>0</v>
      </c>
      <c r="AJ49" s="178">
        <f t="shared" si="60"/>
        <v>0</v>
      </c>
      <c r="AK49" s="178">
        <f t="shared" si="60"/>
        <v>0</v>
      </c>
      <c r="AL49" s="178">
        <f t="shared" si="60"/>
        <v>0</v>
      </c>
      <c r="AM49" s="178">
        <f t="shared" si="60"/>
        <v>0</v>
      </c>
      <c r="AN49" s="178">
        <f t="shared" si="60"/>
        <v>0</v>
      </c>
      <c r="AO49" s="178">
        <f t="shared" si="60"/>
        <v>0</v>
      </c>
      <c r="AP49" s="178">
        <f t="shared" si="60"/>
        <v>0</v>
      </c>
      <c r="AQ49" s="178">
        <f t="shared" si="60"/>
        <v>0</v>
      </c>
      <c r="AR49" s="178">
        <f t="shared" si="60"/>
        <v>0</v>
      </c>
      <c r="AS49" s="178">
        <f t="shared" si="60"/>
        <v>0</v>
      </c>
      <c r="AT49" s="168">
        <f t="shared" si="60"/>
        <v>0</v>
      </c>
      <c r="AU49" s="169">
        <f t="shared" si="38"/>
        <v>0</v>
      </c>
      <c r="AV49" s="179">
        <f t="shared" si="39"/>
        <v>0</v>
      </c>
      <c r="AW49" s="180">
        <f t="shared" si="61"/>
        <v>0</v>
      </c>
      <c r="AX49" s="178">
        <f t="shared" si="61"/>
        <v>0</v>
      </c>
      <c r="AY49" s="178">
        <f t="shared" si="61"/>
        <v>0</v>
      </c>
      <c r="AZ49" s="178">
        <f t="shared" si="61"/>
        <v>0</v>
      </c>
      <c r="BA49" s="178">
        <f t="shared" si="61"/>
        <v>0</v>
      </c>
      <c r="BB49" s="178">
        <f t="shared" si="61"/>
        <v>0</v>
      </c>
      <c r="BC49" s="178">
        <f t="shared" si="61"/>
        <v>0</v>
      </c>
      <c r="BD49" s="178">
        <f t="shared" si="61"/>
        <v>0</v>
      </c>
      <c r="BE49" s="178">
        <f t="shared" si="61"/>
        <v>0</v>
      </c>
      <c r="BF49" s="178">
        <f t="shared" si="61"/>
        <v>0</v>
      </c>
      <c r="BG49" s="178">
        <f t="shared" si="61"/>
        <v>0</v>
      </c>
      <c r="BH49" s="168">
        <f t="shared" si="61"/>
        <v>0</v>
      </c>
      <c r="BI49" s="169">
        <f t="shared" si="41"/>
        <v>0</v>
      </c>
      <c r="BJ49" s="179">
        <f t="shared" si="42"/>
        <v>0</v>
      </c>
      <c r="BK49" s="180">
        <f t="shared" si="62"/>
        <v>0</v>
      </c>
      <c r="BL49" s="178">
        <f t="shared" si="62"/>
        <v>0</v>
      </c>
      <c r="BM49" s="178">
        <f t="shared" si="62"/>
        <v>0</v>
      </c>
      <c r="BN49" s="178">
        <f t="shared" si="62"/>
        <v>0</v>
      </c>
      <c r="BO49" s="178">
        <f t="shared" si="62"/>
        <v>0</v>
      </c>
      <c r="BP49" s="178">
        <f t="shared" si="62"/>
        <v>0</v>
      </c>
      <c r="BQ49" s="178">
        <f t="shared" si="62"/>
        <v>0</v>
      </c>
      <c r="BR49" s="178">
        <f t="shared" si="62"/>
        <v>0</v>
      </c>
      <c r="BS49" s="178">
        <f t="shared" si="62"/>
        <v>0</v>
      </c>
      <c r="BT49" s="178">
        <f t="shared" si="62"/>
        <v>0</v>
      </c>
      <c r="BU49" s="178">
        <f t="shared" si="62"/>
        <v>0</v>
      </c>
      <c r="BV49" s="168">
        <f t="shared" si="62"/>
        <v>0</v>
      </c>
      <c r="BW49" s="169">
        <f t="shared" si="44"/>
        <v>0</v>
      </c>
      <c r="BX49" s="179">
        <f t="shared" si="45"/>
        <v>0</v>
      </c>
      <c r="BY49" s="180">
        <f t="shared" si="63"/>
        <v>0</v>
      </c>
      <c r="BZ49" s="178">
        <f t="shared" si="63"/>
        <v>0</v>
      </c>
      <c r="CA49" s="178">
        <f t="shared" si="63"/>
        <v>0</v>
      </c>
      <c r="CB49" s="178">
        <f t="shared" si="63"/>
        <v>0</v>
      </c>
      <c r="CC49" s="178">
        <f t="shared" si="63"/>
        <v>0</v>
      </c>
      <c r="CD49" s="178">
        <f t="shared" si="63"/>
        <v>0</v>
      </c>
      <c r="CE49" s="178">
        <f t="shared" si="63"/>
        <v>0</v>
      </c>
      <c r="CF49" s="178">
        <f t="shared" si="63"/>
        <v>0</v>
      </c>
      <c r="CG49" s="178">
        <f t="shared" si="63"/>
        <v>0</v>
      </c>
      <c r="CH49" s="178">
        <f t="shared" si="63"/>
        <v>0</v>
      </c>
      <c r="CI49" s="178">
        <f t="shared" si="63"/>
        <v>0</v>
      </c>
      <c r="CJ49" s="168">
        <f t="shared" si="63"/>
        <v>0</v>
      </c>
      <c r="CK49" s="169">
        <f t="shared" si="47"/>
        <v>0</v>
      </c>
      <c r="CL49" s="179">
        <f t="shared" si="48"/>
        <v>0</v>
      </c>
      <c r="CM49" s="180">
        <f t="shared" si="64"/>
        <v>0</v>
      </c>
      <c r="CN49" s="178">
        <f t="shared" si="64"/>
        <v>0</v>
      </c>
      <c r="CO49" s="178">
        <f t="shared" si="64"/>
        <v>0</v>
      </c>
      <c r="CP49" s="178">
        <f t="shared" si="64"/>
        <v>0</v>
      </c>
      <c r="CQ49" s="178">
        <f t="shared" si="64"/>
        <v>0</v>
      </c>
      <c r="CR49" s="178">
        <f t="shared" si="64"/>
        <v>0</v>
      </c>
      <c r="CS49" s="178">
        <f t="shared" si="64"/>
        <v>0</v>
      </c>
      <c r="CT49" s="178">
        <f t="shared" si="64"/>
        <v>0</v>
      </c>
      <c r="CU49" s="178">
        <f t="shared" si="64"/>
        <v>0</v>
      </c>
      <c r="CV49" s="178">
        <f t="shared" si="64"/>
        <v>0</v>
      </c>
      <c r="CW49" s="178">
        <f t="shared" si="64"/>
        <v>0</v>
      </c>
      <c r="CX49" s="168">
        <f t="shared" si="64"/>
        <v>0</v>
      </c>
      <c r="CY49" s="169">
        <f t="shared" si="50"/>
        <v>0</v>
      </c>
      <c r="CZ49" s="179">
        <f t="shared" si="51"/>
        <v>0</v>
      </c>
      <c r="DA49" s="180">
        <f t="shared" si="65"/>
        <v>0</v>
      </c>
      <c r="DB49" s="178">
        <f t="shared" si="65"/>
        <v>0</v>
      </c>
      <c r="DC49" s="178">
        <f t="shared" si="65"/>
        <v>0</v>
      </c>
      <c r="DD49" s="178">
        <f t="shared" si="65"/>
        <v>0</v>
      </c>
      <c r="DE49" s="178">
        <f t="shared" si="65"/>
        <v>0</v>
      </c>
      <c r="DF49" s="178">
        <f t="shared" si="65"/>
        <v>0</v>
      </c>
      <c r="DG49" s="178">
        <f t="shared" si="65"/>
        <v>0</v>
      </c>
      <c r="DH49" s="178">
        <f t="shared" si="65"/>
        <v>0</v>
      </c>
      <c r="DI49" s="178">
        <f t="shared" si="65"/>
        <v>0</v>
      </c>
      <c r="DJ49" s="178">
        <f t="shared" si="65"/>
        <v>0</v>
      </c>
      <c r="DK49" s="178">
        <f t="shared" si="65"/>
        <v>0</v>
      </c>
      <c r="DL49" s="168">
        <f t="shared" si="65"/>
        <v>0</v>
      </c>
      <c r="DM49" s="169">
        <f t="shared" si="53"/>
        <v>0</v>
      </c>
      <c r="DN49" s="171">
        <f t="shared" si="54"/>
        <v>0</v>
      </c>
      <c r="DO49" s="180">
        <f t="shared" si="66"/>
        <v>0</v>
      </c>
      <c r="DP49" s="178">
        <f t="shared" si="66"/>
        <v>0</v>
      </c>
      <c r="DQ49" s="178">
        <f t="shared" si="66"/>
        <v>0</v>
      </c>
      <c r="DR49" s="178">
        <f t="shared" si="66"/>
        <v>0</v>
      </c>
      <c r="DS49" s="178">
        <f t="shared" si="66"/>
        <v>0</v>
      </c>
      <c r="DT49" s="178">
        <f t="shared" si="66"/>
        <v>0</v>
      </c>
      <c r="DU49" s="178">
        <f t="shared" si="66"/>
        <v>0</v>
      </c>
      <c r="DV49" s="178">
        <f t="shared" si="66"/>
        <v>0</v>
      </c>
      <c r="DW49" s="178">
        <f t="shared" si="66"/>
        <v>0</v>
      </c>
      <c r="DX49" s="178">
        <f t="shared" si="66"/>
        <v>0</v>
      </c>
      <c r="DY49" s="178">
        <f t="shared" si="66"/>
        <v>0</v>
      </c>
      <c r="DZ49" s="168">
        <f t="shared" si="66"/>
        <v>0</v>
      </c>
      <c r="EA49" s="169">
        <f t="shared" si="56"/>
        <v>0</v>
      </c>
      <c r="EB49" s="171">
        <f t="shared" si="57"/>
        <v>0</v>
      </c>
    </row>
    <row r="50" spans="1:132" s="177" customFormat="1" ht="15.75">
      <c r="A50" s="163">
        <v>44368</v>
      </c>
      <c r="B50" s="164" t="s">
        <v>91</v>
      </c>
      <c r="C50" s="165" t="s">
        <v>194</v>
      </c>
      <c r="D50" s="166">
        <v>4000</v>
      </c>
      <c r="E50" s="167">
        <v>3</v>
      </c>
      <c r="F50" s="168">
        <f t="shared" si="22"/>
        <v>1333.3333333333333</v>
      </c>
      <c r="G50" s="169">
        <f t="shared" si="67"/>
        <v>0</v>
      </c>
      <c r="H50" s="178">
        <f t="shared" si="67"/>
        <v>0</v>
      </c>
      <c r="I50" s="178">
        <f t="shared" si="67"/>
        <v>0</v>
      </c>
      <c r="J50" s="178">
        <f t="shared" si="67"/>
        <v>0</v>
      </c>
      <c r="K50" s="178">
        <f t="shared" si="67"/>
        <v>0</v>
      </c>
      <c r="L50" s="178">
        <f t="shared" si="67"/>
        <v>0</v>
      </c>
      <c r="M50" s="178">
        <f t="shared" si="67"/>
        <v>0</v>
      </c>
      <c r="N50" s="178">
        <f t="shared" si="67"/>
        <v>0</v>
      </c>
      <c r="O50" s="178">
        <f t="shared" si="67"/>
        <v>0</v>
      </c>
      <c r="P50" s="178">
        <f t="shared" si="67"/>
        <v>0</v>
      </c>
      <c r="Q50" s="178">
        <f t="shared" si="67"/>
        <v>0</v>
      </c>
      <c r="R50" s="179">
        <f t="shared" si="67"/>
        <v>0</v>
      </c>
      <c r="S50" s="169">
        <f t="shared" si="58"/>
        <v>0</v>
      </c>
      <c r="T50" s="179">
        <f t="shared" si="33"/>
        <v>0</v>
      </c>
      <c r="U50" s="180">
        <f t="shared" si="59"/>
        <v>0</v>
      </c>
      <c r="V50" s="178">
        <f t="shared" si="59"/>
        <v>0</v>
      </c>
      <c r="W50" s="178">
        <f t="shared" si="59"/>
        <v>0</v>
      </c>
      <c r="X50" s="178">
        <f t="shared" si="59"/>
        <v>0</v>
      </c>
      <c r="Y50" s="178">
        <f t="shared" si="59"/>
        <v>0</v>
      </c>
      <c r="Z50" s="178">
        <f t="shared" si="59"/>
        <v>0</v>
      </c>
      <c r="AA50" s="178">
        <f t="shared" si="59"/>
        <v>0</v>
      </c>
      <c r="AB50" s="178">
        <f t="shared" si="59"/>
        <v>0</v>
      </c>
      <c r="AC50" s="178">
        <f t="shared" si="59"/>
        <v>0</v>
      </c>
      <c r="AD50" s="178">
        <f t="shared" si="59"/>
        <v>0</v>
      </c>
      <c r="AE50" s="178">
        <f t="shared" si="59"/>
        <v>0</v>
      </c>
      <c r="AF50" s="168">
        <f t="shared" si="59"/>
        <v>0</v>
      </c>
      <c r="AG50" s="169">
        <f t="shared" si="35"/>
        <v>0</v>
      </c>
      <c r="AH50" s="179">
        <f t="shared" si="36"/>
        <v>0</v>
      </c>
      <c r="AI50" s="180">
        <v>0</v>
      </c>
      <c r="AJ50" s="178">
        <v>0</v>
      </c>
      <c r="AK50" s="178">
        <v>0</v>
      </c>
      <c r="AL50" s="178">
        <v>0</v>
      </c>
      <c r="AM50" s="178">
        <v>0</v>
      </c>
      <c r="AN50" s="178">
        <v>0</v>
      </c>
      <c r="AO50" s="178">
        <v>0</v>
      </c>
      <c r="AP50" s="178">
        <v>0</v>
      </c>
      <c r="AQ50" s="178">
        <v>0</v>
      </c>
      <c r="AR50" s="178">
        <v>0</v>
      </c>
      <c r="AS50" s="178">
        <v>0</v>
      </c>
      <c r="AT50" s="168">
        <v>0</v>
      </c>
      <c r="AU50" s="169">
        <f t="shared" si="38"/>
        <v>0</v>
      </c>
      <c r="AV50" s="179">
        <f t="shared" si="39"/>
        <v>0</v>
      </c>
      <c r="AW50" s="180">
        <f t="shared" si="61"/>
        <v>0</v>
      </c>
      <c r="AX50" s="178">
        <f t="shared" si="61"/>
        <v>0</v>
      </c>
      <c r="AY50" s="178">
        <f t="shared" si="61"/>
        <v>0</v>
      </c>
      <c r="AZ50" s="178">
        <f t="shared" si="61"/>
        <v>0</v>
      </c>
      <c r="BA50" s="178">
        <f t="shared" si="61"/>
        <v>0</v>
      </c>
      <c r="BB50" s="178">
        <f t="shared" si="61"/>
        <v>0</v>
      </c>
      <c r="BC50" s="178">
        <f t="shared" si="61"/>
        <v>0</v>
      </c>
      <c r="BD50" s="178">
        <f t="shared" si="61"/>
        <v>0</v>
      </c>
      <c r="BE50" s="178">
        <f t="shared" si="61"/>
        <v>0</v>
      </c>
      <c r="BF50" s="178">
        <f t="shared" si="61"/>
        <v>0</v>
      </c>
      <c r="BG50" s="178">
        <f t="shared" si="61"/>
        <v>0</v>
      </c>
      <c r="BH50" s="168">
        <f t="shared" si="61"/>
        <v>0</v>
      </c>
      <c r="BI50" s="169">
        <v>0</v>
      </c>
      <c r="BJ50" s="179">
        <v>0</v>
      </c>
      <c r="BK50" s="180">
        <f t="shared" si="62"/>
        <v>0</v>
      </c>
      <c r="BL50" s="178">
        <f t="shared" si="62"/>
        <v>0</v>
      </c>
      <c r="BM50" s="178">
        <f t="shared" si="62"/>
        <v>0</v>
      </c>
      <c r="BN50" s="178">
        <f t="shared" si="62"/>
        <v>0</v>
      </c>
      <c r="BO50" s="178">
        <f t="shared" si="62"/>
        <v>0</v>
      </c>
      <c r="BP50" s="178">
        <f t="shared" si="62"/>
        <v>0</v>
      </c>
      <c r="BQ50" s="178">
        <f t="shared" si="62"/>
        <v>0</v>
      </c>
      <c r="BR50" s="178">
        <f t="shared" si="62"/>
        <v>0</v>
      </c>
      <c r="BS50" s="178">
        <f t="shared" si="62"/>
        <v>0</v>
      </c>
      <c r="BT50" s="178">
        <f t="shared" si="62"/>
        <v>0</v>
      </c>
      <c r="BU50" s="178">
        <f t="shared" si="62"/>
        <v>0</v>
      </c>
      <c r="BV50" s="168">
        <f t="shared" si="62"/>
        <v>0</v>
      </c>
      <c r="BW50" s="169">
        <f t="shared" si="44"/>
        <v>0</v>
      </c>
      <c r="BX50" s="179">
        <f t="shared" si="45"/>
        <v>0</v>
      </c>
      <c r="BY50" s="180">
        <f t="shared" si="63"/>
        <v>0</v>
      </c>
      <c r="BZ50" s="178">
        <f t="shared" si="63"/>
        <v>0</v>
      </c>
      <c r="CA50" s="178">
        <f t="shared" si="63"/>
        <v>0</v>
      </c>
      <c r="CB50" s="178">
        <f t="shared" si="63"/>
        <v>0</v>
      </c>
      <c r="CC50" s="178">
        <f t="shared" si="63"/>
        <v>0</v>
      </c>
      <c r="CD50" s="178">
        <f t="shared" si="63"/>
        <v>0</v>
      </c>
      <c r="CE50" s="178">
        <f t="shared" si="63"/>
        <v>0</v>
      </c>
      <c r="CF50" s="178">
        <f t="shared" si="63"/>
        <v>0</v>
      </c>
      <c r="CG50" s="178">
        <f t="shared" si="63"/>
        <v>0</v>
      </c>
      <c r="CH50" s="178">
        <f t="shared" si="63"/>
        <v>0</v>
      </c>
      <c r="CI50" s="178">
        <f t="shared" si="63"/>
        <v>0</v>
      </c>
      <c r="CJ50" s="168">
        <f t="shared" si="63"/>
        <v>0</v>
      </c>
      <c r="CK50" s="169">
        <f t="shared" si="47"/>
        <v>0</v>
      </c>
      <c r="CL50" s="179">
        <f t="shared" si="48"/>
        <v>0</v>
      </c>
      <c r="CM50" s="180">
        <f t="shared" si="64"/>
        <v>0</v>
      </c>
      <c r="CN50" s="178">
        <f t="shared" si="64"/>
        <v>0</v>
      </c>
      <c r="CO50" s="178">
        <f t="shared" si="64"/>
        <v>0</v>
      </c>
      <c r="CP50" s="178">
        <f t="shared" si="64"/>
        <v>0</v>
      </c>
      <c r="CQ50" s="178">
        <f t="shared" si="64"/>
        <v>0</v>
      </c>
      <c r="CR50" s="178">
        <f t="shared" si="64"/>
        <v>0</v>
      </c>
      <c r="CS50" s="178">
        <f t="shared" si="64"/>
        <v>0</v>
      </c>
      <c r="CT50" s="178">
        <f t="shared" si="64"/>
        <v>0</v>
      </c>
      <c r="CU50" s="178">
        <f t="shared" si="64"/>
        <v>0</v>
      </c>
      <c r="CV50" s="178">
        <f t="shared" si="64"/>
        <v>0</v>
      </c>
      <c r="CW50" s="178">
        <f t="shared" si="64"/>
        <v>0</v>
      </c>
      <c r="CX50" s="168">
        <f t="shared" si="64"/>
        <v>0</v>
      </c>
      <c r="CY50" s="169">
        <f t="shared" si="50"/>
        <v>0</v>
      </c>
      <c r="CZ50" s="179">
        <f t="shared" si="51"/>
        <v>0</v>
      </c>
      <c r="DA50" s="180">
        <f t="shared" si="65"/>
        <v>0</v>
      </c>
      <c r="DB50" s="178">
        <f t="shared" si="65"/>
        <v>0</v>
      </c>
      <c r="DC50" s="178">
        <f t="shared" si="65"/>
        <v>0</v>
      </c>
      <c r="DD50" s="178">
        <f t="shared" si="65"/>
        <v>0</v>
      </c>
      <c r="DE50" s="178">
        <f t="shared" si="65"/>
        <v>0</v>
      </c>
      <c r="DF50" s="178">
        <f t="shared" si="65"/>
        <v>0</v>
      </c>
      <c r="DG50" s="178">
        <f t="shared" si="65"/>
        <v>0</v>
      </c>
      <c r="DH50" s="178">
        <f t="shared" si="65"/>
        <v>0</v>
      </c>
      <c r="DI50" s="178">
        <f t="shared" si="65"/>
        <v>0</v>
      </c>
      <c r="DJ50" s="178">
        <f t="shared" si="65"/>
        <v>0</v>
      </c>
      <c r="DK50" s="178">
        <f t="shared" si="65"/>
        <v>0</v>
      </c>
      <c r="DL50" s="168">
        <f t="shared" si="65"/>
        <v>0</v>
      </c>
      <c r="DM50" s="169">
        <f t="shared" si="53"/>
        <v>0</v>
      </c>
      <c r="DN50" s="171">
        <f t="shared" si="54"/>
        <v>0</v>
      </c>
      <c r="DO50" s="180">
        <f t="shared" si="66"/>
        <v>0</v>
      </c>
      <c r="DP50" s="178">
        <f t="shared" si="66"/>
        <v>0</v>
      </c>
      <c r="DQ50" s="178">
        <f t="shared" si="66"/>
        <v>0</v>
      </c>
      <c r="DR50" s="178">
        <f t="shared" si="66"/>
        <v>0</v>
      </c>
      <c r="DS50" s="178">
        <f t="shared" si="66"/>
        <v>0</v>
      </c>
      <c r="DT50" s="178">
        <f t="shared" si="66"/>
        <v>0</v>
      </c>
      <c r="DU50" s="178">
        <f t="shared" si="66"/>
        <v>0</v>
      </c>
      <c r="DV50" s="178">
        <f t="shared" si="66"/>
        <v>0</v>
      </c>
      <c r="DW50" s="178">
        <f t="shared" si="66"/>
        <v>0</v>
      </c>
      <c r="DX50" s="178">
        <f t="shared" si="66"/>
        <v>0</v>
      </c>
      <c r="DY50" s="178">
        <f t="shared" si="66"/>
        <v>0</v>
      </c>
      <c r="DZ50" s="168">
        <f t="shared" si="66"/>
        <v>0</v>
      </c>
      <c r="EA50" s="169">
        <f t="shared" si="56"/>
        <v>0</v>
      </c>
      <c r="EB50" s="171">
        <f t="shared" si="57"/>
        <v>0</v>
      </c>
    </row>
    <row r="51" spans="1:132" s="177" customFormat="1" ht="15.75">
      <c r="A51" s="163">
        <v>44402</v>
      </c>
      <c r="B51" s="164" t="s">
        <v>91</v>
      </c>
      <c r="C51" s="165" t="s">
        <v>238</v>
      </c>
      <c r="D51" s="182">
        <v>25500</v>
      </c>
      <c r="E51" s="167">
        <v>3</v>
      </c>
      <c r="F51" s="168">
        <f t="shared" ref="F51:F87" si="68">D51/E51</f>
        <v>8500</v>
      </c>
      <c r="G51" s="169">
        <f t="shared" ref="G51:R60" si="69">IF(OR($F51&lt;=0,(G$9-$A51)&gt;(365*$E51)),0,IF($A51&lt;=G$9,$F51/12,0))</f>
        <v>0</v>
      </c>
      <c r="H51" s="178">
        <f t="shared" si="69"/>
        <v>0</v>
      </c>
      <c r="I51" s="178">
        <f t="shared" si="69"/>
        <v>0</v>
      </c>
      <c r="J51" s="178">
        <f t="shared" si="69"/>
        <v>0</v>
      </c>
      <c r="K51" s="178">
        <f t="shared" si="69"/>
        <v>0</v>
      </c>
      <c r="L51" s="178">
        <f t="shared" si="69"/>
        <v>0</v>
      </c>
      <c r="M51" s="178">
        <f t="shared" si="69"/>
        <v>0</v>
      </c>
      <c r="N51" s="178">
        <f t="shared" si="69"/>
        <v>0</v>
      </c>
      <c r="O51" s="178">
        <f t="shared" si="69"/>
        <v>0</v>
      </c>
      <c r="P51" s="178">
        <f t="shared" si="69"/>
        <v>0</v>
      </c>
      <c r="Q51" s="178">
        <f t="shared" si="69"/>
        <v>0</v>
      </c>
      <c r="R51" s="179">
        <f t="shared" si="69"/>
        <v>0</v>
      </c>
      <c r="S51" s="169">
        <f t="shared" ref="S51:S88" si="70">SUM(G51:R51)</f>
        <v>0</v>
      </c>
      <c r="T51" s="179">
        <f t="shared" ref="T51:T88" si="71">IF(AND($R$9&gt;A51,$S51&lt;&gt;0),$D51-$S51,0)</f>
        <v>0</v>
      </c>
      <c r="U51" s="180">
        <f t="shared" ref="U51:AF57" si="72">IF(OR($F51&lt;=0,(U$9-$A51)&gt;(365*$E51)),0,IF($A51&lt;=U$9,$F51/12,0))</f>
        <v>0</v>
      </c>
      <c r="V51" s="178">
        <f t="shared" si="72"/>
        <v>0</v>
      </c>
      <c r="W51" s="178">
        <f t="shared" si="72"/>
        <v>0</v>
      </c>
      <c r="X51" s="178">
        <f t="shared" si="72"/>
        <v>0</v>
      </c>
      <c r="Y51" s="178">
        <f t="shared" si="72"/>
        <v>0</v>
      </c>
      <c r="Z51" s="178">
        <f t="shared" si="72"/>
        <v>0</v>
      </c>
      <c r="AA51" s="178">
        <f t="shared" si="72"/>
        <v>0</v>
      </c>
      <c r="AB51" s="178">
        <f t="shared" si="72"/>
        <v>0</v>
      </c>
      <c r="AC51" s="178">
        <f t="shared" si="72"/>
        <v>0</v>
      </c>
      <c r="AD51" s="178">
        <f t="shared" si="72"/>
        <v>0</v>
      </c>
      <c r="AE51" s="178">
        <f t="shared" si="72"/>
        <v>0</v>
      </c>
      <c r="AF51" s="168">
        <f t="shared" si="72"/>
        <v>0</v>
      </c>
      <c r="AG51" s="169">
        <f t="shared" ref="AG51:AG88" si="73">SUM(U51:AF51)</f>
        <v>0</v>
      </c>
      <c r="AH51" s="179">
        <f t="shared" ref="AH51:AH88" si="74">IF(AND($AF$9&gt;$A51,$AG51&lt;&gt;0),$D51-$S51-$AG51,0)</f>
        <v>0</v>
      </c>
      <c r="AI51" s="180">
        <f t="shared" ref="AI51:AT79" si="75">IF(OR($F51&lt;=0,(AI$9-$A51)&gt;(365*$E51)),0,IF($A51&lt;=AI$9,$F51/12,0))</f>
        <v>0</v>
      </c>
      <c r="AJ51" s="178">
        <f t="shared" ref="AJ51:AT59" si="76">IF(OR($F51&lt;=0,(AJ$9-$A51)&gt;(365*$E51)),0,IF($A51&lt;=AJ$9,$F51/12,0))</f>
        <v>0</v>
      </c>
      <c r="AK51" s="178">
        <f t="shared" si="76"/>
        <v>0</v>
      </c>
      <c r="AL51" s="178">
        <f t="shared" si="76"/>
        <v>0</v>
      </c>
      <c r="AM51" s="178">
        <f t="shared" si="76"/>
        <v>0</v>
      </c>
      <c r="AN51" s="178">
        <f t="shared" si="76"/>
        <v>0</v>
      </c>
      <c r="AO51" s="178">
        <f t="shared" si="76"/>
        <v>0</v>
      </c>
      <c r="AP51" s="178">
        <f t="shared" si="76"/>
        <v>0</v>
      </c>
      <c r="AQ51" s="178">
        <f t="shared" si="76"/>
        <v>0</v>
      </c>
      <c r="AR51" s="178">
        <f t="shared" si="76"/>
        <v>0</v>
      </c>
      <c r="AS51" s="178">
        <f t="shared" si="76"/>
        <v>0</v>
      </c>
      <c r="AT51" s="168">
        <f t="shared" si="76"/>
        <v>0</v>
      </c>
      <c r="AU51" s="169">
        <f t="shared" ref="AU51:AU88" si="77">SUM(AI51:AT51)</f>
        <v>0</v>
      </c>
      <c r="AV51" s="179">
        <f t="shared" ref="AV51:AV88" si="78">IF(AND($AT$9&gt;$A51,$AU51&lt;&gt;0),$D51-$S51-$AG51-$AU51,0)</f>
        <v>0</v>
      </c>
      <c r="AW51" s="180">
        <f t="shared" ref="AW51:BH57" si="79">IF(OR($F51&lt;=0,(AW$9-$A51)&gt;(365*$E51)),0,IF($A51&lt;=AW$9,$F51/12,0))</f>
        <v>0</v>
      </c>
      <c r="AX51" s="178">
        <f t="shared" si="79"/>
        <v>0</v>
      </c>
      <c r="AY51" s="178">
        <f t="shared" si="79"/>
        <v>0</v>
      </c>
      <c r="AZ51" s="178">
        <f t="shared" si="79"/>
        <v>0</v>
      </c>
      <c r="BA51" s="178">
        <f t="shared" si="79"/>
        <v>0</v>
      </c>
      <c r="BB51" s="178">
        <f t="shared" si="79"/>
        <v>0</v>
      </c>
      <c r="BC51" s="178">
        <f t="shared" si="79"/>
        <v>0</v>
      </c>
      <c r="BD51" s="178">
        <f t="shared" si="79"/>
        <v>0</v>
      </c>
      <c r="BE51" s="178">
        <f t="shared" si="79"/>
        <v>0</v>
      </c>
      <c r="BF51" s="178">
        <f t="shared" si="79"/>
        <v>0</v>
      </c>
      <c r="BG51" s="178">
        <f t="shared" si="79"/>
        <v>0</v>
      </c>
      <c r="BH51" s="168">
        <f t="shared" si="79"/>
        <v>0</v>
      </c>
      <c r="BI51" s="169">
        <f t="shared" ref="BI51:BI88" si="80">SUM(AW51:BH51)</f>
        <v>0</v>
      </c>
      <c r="BJ51" s="179">
        <f t="shared" ref="BJ51:BJ88" si="81">IF(AND($BH$9&gt;$A51,$BI51&lt;&gt;0),$D51-$S51-$AG51-$AU51-$BI51,0)</f>
        <v>0</v>
      </c>
      <c r="BK51" s="180">
        <f t="shared" ref="BK51:BV57" si="82">IF(OR($BJ51&lt;=0,(BK$9-$A51)&gt;($E51*365)),0,IF($A51&lt;=BK$9,$F51/12))</f>
        <v>0</v>
      </c>
      <c r="BL51" s="178">
        <f t="shared" si="82"/>
        <v>0</v>
      </c>
      <c r="BM51" s="178">
        <f t="shared" si="82"/>
        <v>0</v>
      </c>
      <c r="BN51" s="178">
        <f t="shared" si="82"/>
        <v>0</v>
      </c>
      <c r="BO51" s="178">
        <f t="shared" si="82"/>
        <v>0</v>
      </c>
      <c r="BP51" s="178">
        <f t="shared" si="82"/>
        <v>0</v>
      </c>
      <c r="BQ51" s="178">
        <f t="shared" si="82"/>
        <v>0</v>
      </c>
      <c r="BR51" s="178">
        <f t="shared" si="82"/>
        <v>0</v>
      </c>
      <c r="BS51" s="178">
        <f t="shared" si="82"/>
        <v>0</v>
      </c>
      <c r="BT51" s="178">
        <f t="shared" si="82"/>
        <v>0</v>
      </c>
      <c r="BU51" s="178">
        <f t="shared" si="82"/>
        <v>0</v>
      </c>
      <c r="BV51" s="168">
        <f t="shared" si="82"/>
        <v>0</v>
      </c>
      <c r="BW51" s="169">
        <f t="shared" ref="BW51:BW88" si="83">SUM(BK51:BV51)</f>
        <v>0</v>
      </c>
      <c r="BX51" s="179">
        <f t="shared" ref="BX51:BX88" si="84">IF(AND($BV$9&gt;$A51,$BW51&lt;&gt;0),$D51-$S51-$AG51-$AU51-$BI51-$BW51,0)</f>
        <v>0</v>
      </c>
      <c r="BY51" s="180">
        <f t="shared" ref="BY51:CJ57" si="85">IF(OR($BX51&lt;=0,(BY$9-$A51)&gt;($E51*365)),0,IF($A51&lt;=BY$9,$F51/12))</f>
        <v>0</v>
      </c>
      <c r="BZ51" s="178">
        <f t="shared" si="85"/>
        <v>0</v>
      </c>
      <c r="CA51" s="178">
        <f t="shared" si="85"/>
        <v>0</v>
      </c>
      <c r="CB51" s="178">
        <f t="shared" si="85"/>
        <v>0</v>
      </c>
      <c r="CC51" s="178">
        <f t="shared" si="85"/>
        <v>0</v>
      </c>
      <c r="CD51" s="178">
        <f t="shared" si="85"/>
        <v>0</v>
      </c>
      <c r="CE51" s="178">
        <f t="shared" si="85"/>
        <v>0</v>
      </c>
      <c r="CF51" s="178">
        <f t="shared" si="85"/>
        <v>0</v>
      </c>
      <c r="CG51" s="178">
        <f t="shared" si="85"/>
        <v>0</v>
      </c>
      <c r="CH51" s="178">
        <f t="shared" si="85"/>
        <v>0</v>
      </c>
      <c r="CI51" s="178">
        <f t="shared" si="85"/>
        <v>0</v>
      </c>
      <c r="CJ51" s="168">
        <f t="shared" si="85"/>
        <v>0</v>
      </c>
      <c r="CK51" s="169">
        <f t="shared" ref="CK51:CK88" si="86">SUM(BY51:CJ51)</f>
        <v>0</v>
      </c>
      <c r="CL51" s="179">
        <f t="shared" ref="CL51:CL88" si="87">IF(AND($CJ$9&gt;$A51,$CK51&lt;&gt;0),$D51-$S51-$AG51-$AU51-$BI51-$BW51-$CK$10,0)</f>
        <v>0</v>
      </c>
      <c r="CM51" s="180">
        <f t="shared" ref="CM51:CX57" si="88">IF(OR($CL51&lt;=0,(CM$9-$A51)&gt;($E51*365)),0,IF($A51&lt;=CM$9,$F51/12))</f>
        <v>0</v>
      </c>
      <c r="CN51" s="178">
        <f t="shared" si="88"/>
        <v>0</v>
      </c>
      <c r="CO51" s="178">
        <f t="shared" si="88"/>
        <v>0</v>
      </c>
      <c r="CP51" s="178">
        <f t="shared" si="88"/>
        <v>0</v>
      </c>
      <c r="CQ51" s="178">
        <f t="shared" si="88"/>
        <v>0</v>
      </c>
      <c r="CR51" s="178">
        <f t="shared" si="88"/>
        <v>0</v>
      </c>
      <c r="CS51" s="178">
        <f t="shared" si="88"/>
        <v>0</v>
      </c>
      <c r="CT51" s="178">
        <f t="shared" si="88"/>
        <v>0</v>
      </c>
      <c r="CU51" s="178">
        <f t="shared" si="88"/>
        <v>0</v>
      </c>
      <c r="CV51" s="178">
        <f t="shared" si="88"/>
        <v>0</v>
      </c>
      <c r="CW51" s="178">
        <f t="shared" si="88"/>
        <v>0</v>
      </c>
      <c r="CX51" s="168">
        <f t="shared" si="88"/>
        <v>0</v>
      </c>
      <c r="CY51" s="169">
        <f t="shared" ref="CY51:CY88" si="89">SUM(CM51:CX51)</f>
        <v>0</v>
      </c>
      <c r="CZ51" s="179">
        <f t="shared" ref="CZ51:CZ88" si="90">IF(AND($CX$9&gt;$A51,$CY51&lt;&gt;0),$D51-$S51-$AG51-$AU51-$BI51-$BW51-$CK51-$CY51,0)</f>
        <v>0</v>
      </c>
      <c r="DA51" s="180">
        <f t="shared" ref="DA51:DL57" si="91">IF(OR($CZ51&lt;=0,(DA$9-$A51)&gt;($E51*365)),0,IF($A51&lt;=DA$9,$F51/12))</f>
        <v>0</v>
      </c>
      <c r="DB51" s="178">
        <f t="shared" si="91"/>
        <v>0</v>
      </c>
      <c r="DC51" s="178">
        <f t="shared" si="91"/>
        <v>0</v>
      </c>
      <c r="DD51" s="178">
        <f t="shared" si="91"/>
        <v>0</v>
      </c>
      <c r="DE51" s="178">
        <f t="shared" si="91"/>
        <v>0</v>
      </c>
      <c r="DF51" s="178">
        <f t="shared" si="91"/>
        <v>0</v>
      </c>
      <c r="DG51" s="178">
        <f t="shared" si="91"/>
        <v>0</v>
      </c>
      <c r="DH51" s="178">
        <f t="shared" si="91"/>
        <v>0</v>
      </c>
      <c r="DI51" s="178">
        <f t="shared" si="91"/>
        <v>0</v>
      </c>
      <c r="DJ51" s="178">
        <f t="shared" si="91"/>
        <v>0</v>
      </c>
      <c r="DK51" s="178">
        <f t="shared" si="91"/>
        <v>0</v>
      </c>
      <c r="DL51" s="168">
        <f t="shared" si="91"/>
        <v>0</v>
      </c>
      <c r="DM51" s="169">
        <f t="shared" ref="DM51:DM88" si="92">SUM(DA51:DL51)</f>
        <v>0</v>
      </c>
      <c r="DN51" s="171">
        <f t="shared" ref="DN51:DN87" si="93">IF(AND($DL$9&gt;$A51,$DM51&lt;&gt;0),$D51-$S51-$AG51-$AU51-$BI51-$BW51-$CK$10-$CY51-$DM51,0)</f>
        <v>0</v>
      </c>
      <c r="DO51" s="180">
        <f t="shared" ref="DO51:DZ57" si="94">IF(OR($DN51&lt;=0,(DO$9-$A51)&gt;($E51*365)),0,IF($A51&lt;=DO$9,$F51/12))</f>
        <v>0</v>
      </c>
      <c r="DP51" s="178">
        <f t="shared" si="94"/>
        <v>0</v>
      </c>
      <c r="DQ51" s="178">
        <f t="shared" si="94"/>
        <v>0</v>
      </c>
      <c r="DR51" s="178">
        <f t="shared" si="94"/>
        <v>0</v>
      </c>
      <c r="DS51" s="178">
        <f t="shared" si="94"/>
        <v>0</v>
      </c>
      <c r="DT51" s="178">
        <f t="shared" si="94"/>
        <v>0</v>
      </c>
      <c r="DU51" s="178">
        <f t="shared" si="94"/>
        <v>0</v>
      </c>
      <c r="DV51" s="178">
        <f t="shared" si="94"/>
        <v>0</v>
      </c>
      <c r="DW51" s="178">
        <f t="shared" si="94"/>
        <v>0</v>
      </c>
      <c r="DX51" s="178">
        <f t="shared" si="94"/>
        <v>0</v>
      </c>
      <c r="DY51" s="178">
        <f t="shared" si="94"/>
        <v>0</v>
      </c>
      <c r="DZ51" s="168">
        <f t="shared" si="94"/>
        <v>0</v>
      </c>
      <c r="EA51" s="169">
        <f t="shared" ref="EA51:EA88" si="95">SUM(DO51:DZ51)</f>
        <v>0</v>
      </c>
      <c r="EB51" s="171">
        <f t="shared" ref="EB51:EB88" si="96">IF(AND($DZ$9&gt;$A51,$EA51&lt;&gt;0),$D51-$S51-$AG51-$AU51-$BI51-$BW51--CY51-$DM51-$CK51-$EA51,0)</f>
        <v>0</v>
      </c>
    </row>
    <row r="52" spans="1:132" s="177" customFormat="1" ht="15.75">
      <c r="A52" s="163">
        <v>44620</v>
      </c>
      <c r="B52" s="164" t="s">
        <v>90</v>
      </c>
      <c r="C52" s="375" t="s">
        <v>242</v>
      </c>
      <c r="D52" s="375">
        <v>8000</v>
      </c>
      <c r="E52" s="167">
        <v>3</v>
      </c>
      <c r="F52" s="168">
        <f t="shared" si="68"/>
        <v>2666.6666666666665</v>
      </c>
      <c r="G52" s="169">
        <f t="shared" si="69"/>
        <v>0</v>
      </c>
      <c r="H52" s="178">
        <f t="shared" si="69"/>
        <v>0</v>
      </c>
      <c r="I52" s="178">
        <f t="shared" si="69"/>
        <v>0</v>
      </c>
      <c r="J52" s="178">
        <f t="shared" si="69"/>
        <v>0</v>
      </c>
      <c r="K52" s="178">
        <f t="shared" si="69"/>
        <v>0</v>
      </c>
      <c r="L52" s="178">
        <f t="shared" si="69"/>
        <v>0</v>
      </c>
      <c r="M52" s="178">
        <f t="shared" si="69"/>
        <v>0</v>
      </c>
      <c r="N52" s="178">
        <f t="shared" si="69"/>
        <v>0</v>
      </c>
      <c r="O52" s="178">
        <f t="shared" si="69"/>
        <v>0</v>
      </c>
      <c r="P52" s="178">
        <f t="shared" si="69"/>
        <v>0</v>
      </c>
      <c r="Q52" s="178">
        <f t="shared" si="69"/>
        <v>0</v>
      </c>
      <c r="R52" s="179">
        <f t="shared" si="69"/>
        <v>0</v>
      </c>
      <c r="S52" s="169">
        <f t="shared" si="70"/>
        <v>0</v>
      </c>
      <c r="T52" s="179">
        <f t="shared" si="71"/>
        <v>0</v>
      </c>
      <c r="U52" s="180">
        <f t="shared" si="72"/>
        <v>0</v>
      </c>
      <c r="V52" s="178">
        <f t="shared" si="72"/>
        <v>0</v>
      </c>
      <c r="W52" s="178">
        <f t="shared" si="72"/>
        <v>0</v>
      </c>
      <c r="X52" s="178">
        <f t="shared" si="72"/>
        <v>0</v>
      </c>
      <c r="Y52" s="178">
        <f t="shared" si="72"/>
        <v>0</v>
      </c>
      <c r="Z52" s="178">
        <f t="shared" si="72"/>
        <v>0</v>
      </c>
      <c r="AA52" s="178">
        <f t="shared" si="72"/>
        <v>0</v>
      </c>
      <c r="AB52" s="178">
        <f t="shared" si="72"/>
        <v>0</v>
      </c>
      <c r="AC52" s="178">
        <f t="shared" si="72"/>
        <v>0</v>
      </c>
      <c r="AD52" s="178">
        <f t="shared" si="72"/>
        <v>0</v>
      </c>
      <c r="AE52" s="178">
        <f t="shared" si="72"/>
        <v>0</v>
      </c>
      <c r="AF52" s="168">
        <f t="shared" si="72"/>
        <v>0</v>
      </c>
      <c r="AG52" s="169">
        <f t="shared" si="73"/>
        <v>0</v>
      </c>
      <c r="AH52" s="179">
        <f t="shared" si="74"/>
        <v>0</v>
      </c>
      <c r="AI52" s="180">
        <f t="shared" si="75"/>
        <v>0</v>
      </c>
      <c r="AJ52" s="178">
        <f t="shared" si="76"/>
        <v>0</v>
      </c>
      <c r="AK52" s="178">
        <f t="shared" si="76"/>
        <v>0</v>
      </c>
      <c r="AL52" s="178">
        <f t="shared" si="76"/>
        <v>0</v>
      </c>
      <c r="AM52" s="178">
        <f t="shared" si="76"/>
        <v>0</v>
      </c>
      <c r="AN52" s="178">
        <f t="shared" si="76"/>
        <v>0</v>
      </c>
      <c r="AO52" s="178">
        <f t="shared" si="76"/>
        <v>0</v>
      </c>
      <c r="AP52" s="178">
        <f t="shared" si="76"/>
        <v>0</v>
      </c>
      <c r="AQ52" s="178">
        <f t="shared" si="76"/>
        <v>0</v>
      </c>
      <c r="AR52" s="178">
        <f t="shared" si="76"/>
        <v>0</v>
      </c>
      <c r="AS52" s="178">
        <f t="shared" si="76"/>
        <v>0</v>
      </c>
      <c r="AT52" s="168">
        <f t="shared" si="76"/>
        <v>0</v>
      </c>
      <c r="AU52" s="169">
        <f t="shared" si="77"/>
        <v>0</v>
      </c>
      <c r="AV52" s="179">
        <f t="shared" si="78"/>
        <v>0</v>
      </c>
      <c r="AW52" s="180">
        <f t="shared" si="79"/>
        <v>0</v>
      </c>
      <c r="AX52" s="178">
        <f t="shared" si="79"/>
        <v>0</v>
      </c>
      <c r="AY52" s="178">
        <f t="shared" si="79"/>
        <v>0</v>
      </c>
      <c r="AZ52" s="178">
        <f t="shared" si="79"/>
        <v>0</v>
      </c>
      <c r="BA52" s="178">
        <f t="shared" si="79"/>
        <v>0</v>
      </c>
      <c r="BB52" s="178">
        <f t="shared" si="79"/>
        <v>0</v>
      </c>
      <c r="BC52" s="178">
        <f t="shared" si="79"/>
        <v>0</v>
      </c>
      <c r="BD52" s="178">
        <f t="shared" si="79"/>
        <v>0</v>
      </c>
      <c r="BE52" s="178">
        <f t="shared" si="79"/>
        <v>0</v>
      </c>
      <c r="BF52" s="178">
        <f t="shared" si="79"/>
        <v>0</v>
      </c>
      <c r="BG52" s="178">
        <f t="shared" si="79"/>
        <v>0</v>
      </c>
      <c r="BH52" s="168">
        <f t="shared" si="79"/>
        <v>0</v>
      </c>
      <c r="BI52" s="169">
        <f t="shared" si="80"/>
        <v>0</v>
      </c>
      <c r="BJ52" s="179">
        <f t="shared" si="81"/>
        <v>0</v>
      </c>
      <c r="BK52" s="180">
        <f t="shared" si="82"/>
        <v>0</v>
      </c>
      <c r="BL52" s="178">
        <f t="shared" si="82"/>
        <v>0</v>
      </c>
      <c r="BM52" s="178">
        <f t="shared" si="82"/>
        <v>0</v>
      </c>
      <c r="BN52" s="178">
        <f t="shared" si="82"/>
        <v>0</v>
      </c>
      <c r="BO52" s="178">
        <f t="shared" si="82"/>
        <v>0</v>
      </c>
      <c r="BP52" s="178">
        <f t="shared" si="82"/>
        <v>0</v>
      </c>
      <c r="BQ52" s="178">
        <f t="shared" si="82"/>
        <v>0</v>
      </c>
      <c r="BR52" s="178">
        <f t="shared" si="82"/>
        <v>0</v>
      </c>
      <c r="BS52" s="178">
        <f t="shared" si="82"/>
        <v>0</v>
      </c>
      <c r="BT52" s="178">
        <f t="shared" si="82"/>
        <v>0</v>
      </c>
      <c r="BU52" s="178">
        <f t="shared" si="82"/>
        <v>0</v>
      </c>
      <c r="BV52" s="168">
        <f t="shared" si="82"/>
        <v>0</v>
      </c>
      <c r="BW52" s="169">
        <f t="shared" si="83"/>
        <v>0</v>
      </c>
      <c r="BX52" s="179">
        <f t="shared" si="84"/>
        <v>0</v>
      </c>
      <c r="BY52" s="180">
        <f t="shared" si="85"/>
        <v>0</v>
      </c>
      <c r="BZ52" s="178">
        <f t="shared" si="85"/>
        <v>0</v>
      </c>
      <c r="CA52" s="178">
        <f t="shared" si="85"/>
        <v>0</v>
      </c>
      <c r="CB52" s="178">
        <f t="shared" si="85"/>
        <v>0</v>
      </c>
      <c r="CC52" s="178">
        <f t="shared" si="85"/>
        <v>0</v>
      </c>
      <c r="CD52" s="178">
        <f t="shared" si="85"/>
        <v>0</v>
      </c>
      <c r="CE52" s="178">
        <f t="shared" si="85"/>
        <v>0</v>
      </c>
      <c r="CF52" s="178">
        <f t="shared" si="85"/>
        <v>0</v>
      </c>
      <c r="CG52" s="178">
        <f t="shared" si="85"/>
        <v>0</v>
      </c>
      <c r="CH52" s="178">
        <f t="shared" si="85"/>
        <v>0</v>
      </c>
      <c r="CI52" s="178">
        <f t="shared" si="85"/>
        <v>0</v>
      </c>
      <c r="CJ52" s="168">
        <f t="shared" si="85"/>
        <v>0</v>
      </c>
      <c r="CK52" s="169">
        <f t="shared" si="86"/>
        <v>0</v>
      </c>
      <c r="CL52" s="179">
        <f t="shared" si="87"/>
        <v>0</v>
      </c>
      <c r="CM52" s="180">
        <f t="shared" si="88"/>
        <v>0</v>
      </c>
      <c r="CN52" s="178">
        <f t="shared" si="88"/>
        <v>0</v>
      </c>
      <c r="CO52" s="178">
        <f t="shared" si="88"/>
        <v>0</v>
      </c>
      <c r="CP52" s="178">
        <f t="shared" si="88"/>
        <v>0</v>
      </c>
      <c r="CQ52" s="178">
        <f t="shared" si="88"/>
        <v>0</v>
      </c>
      <c r="CR52" s="178">
        <f t="shared" si="88"/>
        <v>0</v>
      </c>
      <c r="CS52" s="178">
        <f t="shared" si="88"/>
        <v>0</v>
      </c>
      <c r="CT52" s="178">
        <f t="shared" si="88"/>
        <v>0</v>
      </c>
      <c r="CU52" s="178">
        <f t="shared" si="88"/>
        <v>0</v>
      </c>
      <c r="CV52" s="178">
        <f t="shared" si="88"/>
        <v>0</v>
      </c>
      <c r="CW52" s="178">
        <f t="shared" si="88"/>
        <v>0</v>
      </c>
      <c r="CX52" s="168">
        <f t="shared" si="88"/>
        <v>0</v>
      </c>
      <c r="CY52" s="169">
        <f t="shared" si="89"/>
        <v>0</v>
      </c>
      <c r="CZ52" s="179">
        <f t="shared" si="90"/>
        <v>0</v>
      </c>
      <c r="DA52" s="180">
        <f t="shared" si="91"/>
        <v>0</v>
      </c>
      <c r="DB52" s="178">
        <f t="shared" si="91"/>
        <v>0</v>
      </c>
      <c r="DC52" s="178">
        <f t="shared" si="91"/>
        <v>0</v>
      </c>
      <c r="DD52" s="178">
        <f t="shared" si="91"/>
        <v>0</v>
      </c>
      <c r="DE52" s="178">
        <f t="shared" si="91"/>
        <v>0</v>
      </c>
      <c r="DF52" s="178">
        <f t="shared" si="91"/>
        <v>0</v>
      </c>
      <c r="DG52" s="178">
        <f t="shared" si="91"/>
        <v>0</v>
      </c>
      <c r="DH52" s="178">
        <f t="shared" si="91"/>
        <v>0</v>
      </c>
      <c r="DI52" s="178">
        <f t="shared" si="91"/>
        <v>0</v>
      </c>
      <c r="DJ52" s="178">
        <f t="shared" si="91"/>
        <v>0</v>
      </c>
      <c r="DK52" s="178">
        <f t="shared" si="91"/>
        <v>0</v>
      </c>
      <c r="DL52" s="168">
        <f t="shared" si="91"/>
        <v>0</v>
      </c>
      <c r="DM52" s="169">
        <f t="shared" si="92"/>
        <v>0</v>
      </c>
      <c r="DN52" s="171">
        <f t="shared" si="93"/>
        <v>0</v>
      </c>
      <c r="DO52" s="180">
        <f t="shared" si="94"/>
        <v>0</v>
      </c>
      <c r="DP52" s="178">
        <f t="shared" si="94"/>
        <v>0</v>
      </c>
      <c r="DQ52" s="178">
        <f t="shared" si="94"/>
        <v>0</v>
      </c>
      <c r="DR52" s="178">
        <f t="shared" si="94"/>
        <v>0</v>
      </c>
      <c r="DS52" s="178">
        <f t="shared" si="94"/>
        <v>0</v>
      </c>
      <c r="DT52" s="178">
        <f t="shared" si="94"/>
        <v>0</v>
      </c>
      <c r="DU52" s="178">
        <f t="shared" si="94"/>
        <v>0</v>
      </c>
      <c r="DV52" s="178">
        <f t="shared" si="94"/>
        <v>0</v>
      </c>
      <c r="DW52" s="178">
        <f t="shared" si="94"/>
        <v>0</v>
      </c>
      <c r="DX52" s="178">
        <f t="shared" si="94"/>
        <v>0</v>
      </c>
      <c r="DY52" s="178">
        <f t="shared" si="94"/>
        <v>0</v>
      </c>
      <c r="DZ52" s="168">
        <f t="shared" si="94"/>
        <v>0</v>
      </c>
      <c r="EA52" s="169">
        <f t="shared" si="95"/>
        <v>0</v>
      </c>
      <c r="EB52" s="171">
        <f t="shared" si="96"/>
        <v>0</v>
      </c>
    </row>
    <row r="53" spans="1:132" s="177" customFormat="1" ht="15.75">
      <c r="A53" s="163">
        <v>44656</v>
      </c>
      <c r="B53" s="164" t="s">
        <v>90</v>
      </c>
      <c r="C53" s="375" t="s">
        <v>243</v>
      </c>
      <c r="D53" s="375">
        <f>7*1250</f>
        <v>8750</v>
      </c>
      <c r="E53" s="167">
        <v>3</v>
      </c>
      <c r="F53" s="168">
        <f t="shared" si="68"/>
        <v>2916.6666666666665</v>
      </c>
      <c r="G53" s="169">
        <f t="shared" si="69"/>
        <v>0</v>
      </c>
      <c r="H53" s="178">
        <f t="shared" si="69"/>
        <v>0</v>
      </c>
      <c r="I53" s="178">
        <f t="shared" si="69"/>
        <v>0</v>
      </c>
      <c r="J53" s="178">
        <f t="shared" si="69"/>
        <v>0</v>
      </c>
      <c r="K53" s="178">
        <f t="shared" si="69"/>
        <v>0</v>
      </c>
      <c r="L53" s="178">
        <f t="shared" si="69"/>
        <v>0</v>
      </c>
      <c r="M53" s="178">
        <f t="shared" si="69"/>
        <v>0</v>
      </c>
      <c r="N53" s="178">
        <f t="shared" si="69"/>
        <v>0</v>
      </c>
      <c r="O53" s="178">
        <f t="shared" si="69"/>
        <v>0</v>
      </c>
      <c r="P53" s="178">
        <f t="shared" si="69"/>
        <v>0</v>
      </c>
      <c r="Q53" s="178">
        <f t="shared" si="69"/>
        <v>0</v>
      </c>
      <c r="R53" s="179">
        <f t="shared" si="69"/>
        <v>0</v>
      </c>
      <c r="S53" s="169">
        <f t="shared" si="70"/>
        <v>0</v>
      </c>
      <c r="T53" s="179">
        <f t="shared" si="71"/>
        <v>0</v>
      </c>
      <c r="U53" s="180">
        <f t="shared" si="72"/>
        <v>0</v>
      </c>
      <c r="V53" s="178">
        <f t="shared" si="72"/>
        <v>0</v>
      </c>
      <c r="W53" s="178">
        <f t="shared" si="72"/>
        <v>0</v>
      </c>
      <c r="X53" s="178">
        <f t="shared" si="72"/>
        <v>0</v>
      </c>
      <c r="Y53" s="178">
        <f t="shared" si="72"/>
        <v>0</v>
      </c>
      <c r="Z53" s="178">
        <f t="shared" si="72"/>
        <v>0</v>
      </c>
      <c r="AA53" s="178">
        <f t="shared" si="72"/>
        <v>0</v>
      </c>
      <c r="AB53" s="178">
        <f t="shared" si="72"/>
        <v>0</v>
      </c>
      <c r="AC53" s="178">
        <f t="shared" si="72"/>
        <v>0</v>
      </c>
      <c r="AD53" s="178">
        <f t="shared" si="72"/>
        <v>0</v>
      </c>
      <c r="AE53" s="178">
        <f t="shared" si="72"/>
        <v>0</v>
      </c>
      <c r="AF53" s="168">
        <f t="shared" si="72"/>
        <v>0</v>
      </c>
      <c r="AG53" s="169">
        <f t="shared" si="73"/>
        <v>0</v>
      </c>
      <c r="AH53" s="179">
        <f t="shared" si="74"/>
        <v>0</v>
      </c>
      <c r="AI53" s="180">
        <f t="shared" si="75"/>
        <v>0</v>
      </c>
      <c r="AJ53" s="178">
        <f t="shared" si="76"/>
        <v>0</v>
      </c>
      <c r="AK53" s="178">
        <f t="shared" si="76"/>
        <v>0</v>
      </c>
      <c r="AL53" s="178">
        <f t="shared" si="76"/>
        <v>0</v>
      </c>
      <c r="AM53" s="178">
        <f t="shared" si="76"/>
        <v>0</v>
      </c>
      <c r="AN53" s="178">
        <f t="shared" si="76"/>
        <v>0</v>
      </c>
      <c r="AO53" s="178">
        <f t="shared" si="76"/>
        <v>0</v>
      </c>
      <c r="AP53" s="178">
        <f t="shared" si="76"/>
        <v>0</v>
      </c>
      <c r="AQ53" s="178">
        <f t="shared" si="76"/>
        <v>0</v>
      </c>
      <c r="AR53" s="178">
        <f t="shared" si="76"/>
        <v>0</v>
      </c>
      <c r="AS53" s="178">
        <f t="shared" si="76"/>
        <v>0</v>
      </c>
      <c r="AT53" s="168">
        <f t="shared" si="76"/>
        <v>0</v>
      </c>
      <c r="AU53" s="169">
        <f t="shared" si="77"/>
        <v>0</v>
      </c>
      <c r="AV53" s="179">
        <f t="shared" si="78"/>
        <v>0</v>
      </c>
      <c r="AW53" s="180">
        <f t="shared" si="79"/>
        <v>0</v>
      </c>
      <c r="AX53" s="178">
        <f t="shared" si="79"/>
        <v>0</v>
      </c>
      <c r="AY53" s="178">
        <f t="shared" si="79"/>
        <v>0</v>
      </c>
      <c r="AZ53" s="178">
        <f t="shared" si="79"/>
        <v>0</v>
      </c>
      <c r="BA53" s="178">
        <f t="shared" si="79"/>
        <v>0</v>
      </c>
      <c r="BB53" s="178">
        <f t="shared" si="79"/>
        <v>0</v>
      </c>
      <c r="BC53" s="178">
        <f t="shared" si="79"/>
        <v>0</v>
      </c>
      <c r="BD53" s="178">
        <f t="shared" si="79"/>
        <v>0</v>
      </c>
      <c r="BE53" s="178">
        <f t="shared" si="79"/>
        <v>0</v>
      </c>
      <c r="BF53" s="178">
        <f t="shared" si="79"/>
        <v>0</v>
      </c>
      <c r="BG53" s="178">
        <f t="shared" si="79"/>
        <v>0</v>
      </c>
      <c r="BH53" s="168">
        <f t="shared" si="79"/>
        <v>0</v>
      </c>
      <c r="BI53" s="169">
        <f t="shared" si="80"/>
        <v>0</v>
      </c>
      <c r="BJ53" s="179">
        <f t="shared" si="81"/>
        <v>0</v>
      </c>
      <c r="BK53" s="180">
        <f t="shared" si="82"/>
        <v>0</v>
      </c>
      <c r="BL53" s="178">
        <f t="shared" si="82"/>
        <v>0</v>
      </c>
      <c r="BM53" s="178">
        <f t="shared" si="82"/>
        <v>0</v>
      </c>
      <c r="BN53" s="178">
        <f t="shared" si="82"/>
        <v>0</v>
      </c>
      <c r="BO53" s="178">
        <f t="shared" si="82"/>
        <v>0</v>
      </c>
      <c r="BP53" s="178">
        <f t="shared" si="82"/>
        <v>0</v>
      </c>
      <c r="BQ53" s="178">
        <f t="shared" si="82"/>
        <v>0</v>
      </c>
      <c r="BR53" s="178">
        <f t="shared" si="82"/>
        <v>0</v>
      </c>
      <c r="BS53" s="178">
        <f t="shared" si="82"/>
        <v>0</v>
      </c>
      <c r="BT53" s="178">
        <f t="shared" si="82"/>
        <v>0</v>
      </c>
      <c r="BU53" s="178">
        <f t="shared" si="82"/>
        <v>0</v>
      </c>
      <c r="BV53" s="168">
        <f t="shared" si="82"/>
        <v>0</v>
      </c>
      <c r="BW53" s="169">
        <f t="shared" si="83"/>
        <v>0</v>
      </c>
      <c r="BX53" s="179">
        <f t="shared" si="84"/>
        <v>0</v>
      </c>
      <c r="BY53" s="180">
        <f t="shared" si="85"/>
        <v>0</v>
      </c>
      <c r="BZ53" s="178">
        <f t="shared" si="85"/>
        <v>0</v>
      </c>
      <c r="CA53" s="178">
        <f t="shared" si="85"/>
        <v>0</v>
      </c>
      <c r="CB53" s="178">
        <f t="shared" si="85"/>
        <v>0</v>
      </c>
      <c r="CC53" s="178">
        <f t="shared" si="85"/>
        <v>0</v>
      </c>
      <c r="CD53" s="178">
        <f t="shared" si="85"/>
        <v>0</v>
      </c>
      <c r="CE53" s="178">
        <f t="shared" si="85"/>
        <v>0</v>
      </c>
      <c r="CF53" s="178">
        <f t="shared" si="85"/>
        <v>0</v>
      </c>
      <c r="CG53" s="178">
        <f t="shared" si="85"/>
        <v>0</v>
      </c>
      <c r="CH53" s="178">
        <f t="shared" si="85"/>
        <v>0</v>
      </c>
      <c r="CI53" s="178">
        <f t="shared" si="85"/>
        <v>0</v>
      </c>
      <c r="CJ53" s="168">
        <f t="shared" si="85"/>
        <v>0</v>
      </c>
      <c r="CK53" s="169">
        <f t="shared" si="86"/>
        <v>0</v>
      </c>
      <c r="CL53" s="179">
        <f t="shared" si="87"/>
        <v>0</v>
      </c>
      <c r="CM53" s="180">
        <f t="shared" si="88"/>
        <v>0</v>
      </c>
      <c r="CN53" s="178">
        <f t="shared" si="88"/>
        <v>0</v>
      </c>
      <c r="CO53" s="178">
        <f t="shared" si="88"/>
        <v>0</v>
      </c>
      <c r="CP53" s="178">
        <f t="shared" si="88"/>
        <v>0</v>
      </c>
      <c r="CQ53" s="178">
        <f t="shared" si="88"/>
        <v>0</v>
      </c>
      <c r="CR53" s="178">
        <f t="shared" si="88"/>
        <v>0</v>
      </c>
      <c r="CS53" s="178">
        <f t="shared" si="88"/>
        <v>0</v>
      </c>
      <c r="CT53" s="178">
        <f t="shared" si="88"/>
        <v>0</v>
      </c>
      <c r="CU53" s="178">
        <f t="shared" si="88"/>
        <v>0</v>
      </c>
      <c r="CV53" s="178">
        <f t="shared" si="88"/>
        <v>0</v>
      </c>
      <c r="CW53" s="178">
        <f t="shared" si="88"/>
        <v>0</v>
      </c>
      <c r="CX53" s="168">
        <f t="shared" si="88"/>
        <v>0</v>
      </c>
      <c r="CY53" s="169">
        <f t="shared" si="89"/>
        <v>0</v>
      </c>
      <c r="CZ53" s="179">
        <f t="shared" si="90"/>
        <v>0</v>
      </c>
      <c r="DA53" s="180">
        <f t="shared" si="91"/>
        <v>0</v>
      </c>
      <c r="DB53" s="178">
        <f t="shared" si="91"/>
        <v>0</v>
      </c>
      <c r="DC53" s="178">
        <f t="shared" si="91"/>
        <v>0</v>
      </c>
      <c r="DD53" s="178">
        <f t="shared" si="91"/>
        <v>0</v>
      </c>
      <c r="DE53" s="178">
        <f t="shared" si="91"/>
        <v>0</v>
      </c>
      <c r="DF53" s="178">
        <f t="shared" si="91"/>
        <v>0</v>
      </c>
      <c r="DG53" s="178">
        <f t="shared" si="91"/>
        <v>0</v>
      </c>
      <c r="DH53" s="178">
        <f t="shared" si="91"/>
        <v>0</v>
      </c>
      <c r="DI53" s="178">
        <f t="shared" si="91"/>
        <v>0</v>
      </c>
      <c r="DJ53" s="178">
        <f t="shared" si="91"/>
        <v>0</v>
      </c>
      <c r="DK53" s="178">
        <f t="shared" si="91"/>
        <v>0</v>
      </c>
      <c r="DL53" s="168">
        <f t="shared" si="91"/>
        <v>0</v>
      </c>
      <c r="DM53" s="169">
        <f t="shared" si="92"/>
        <v>0</v>
      </c>
      <c r="DN53" s="171">
        <f t="shared" si="93"/>
        <v>0</v>
      </c>
      <c r="DO53" s="180">
        <f t="shared" si="94"/>
        <v>0</v>
      </c>
      <c r="DP53" s="178">
        <f t="shared" si="94"/>
        <v>0</v>
      </c>
      <c r="DQ53" s="178">
        <f t="shared" si="94"/>
        <v>0</v>
      </c>
      <c r="DR53" s="178">
        <f t="shared" si="94"/>
        <v>0</v>
      </c>
      <c r="DS53" s="178">
        <f t="shared" si="94"/>
        <v>0</v>
      </c>
      <c r="DT53" s="178">
        <f t="shared" si="94"/>
        <v>0</v>
      </c>
      <c r="DU53" s="178">
        <f t="shared" si="94"/>
        <v>0</v>
      </c>
      <c r="DV53" s="178">
        <f t="shared" si="94"/>
        <v>0</v>
      </c>
      <c r="DW53" s="178">
        <f t="shared" si="94"/>
        <v>0</v>
      </c>
      <c r="DX53" s="178">
        <f t="shared" si="94"/>
        <v>0</v>
      </c>
      <c r="DY53" s="178">
        <f t="shared" si="94"/>
        <v>0</v>
      </c>
      <c r="DZ53" s="168">
        <f t="shared" si="94"/>
        <v>0</v>
      </c>
      <c r="EA53" s="169">
        <f t="shared" si="95"/>
        <v>0</v>
      </c>
      <c r="EB53" s="171">
        <f t="shared" si="96"/>
        <v>0</v>
      </c>
    </row>
    <row r="54" spans="1:132" s="177" customFormat="1" ht="15.75">
      <c r="A54" s="163">
        <v>45207</v>
      </c>
      <c r="B54" s="164" t="s">
        <v>91</v>
      </c>
      <c r="C54" s="375" t="s">
        <v>370</v>
      </c>
      <c r="D54" s="182">
        <v>49500</v>
      </c>
      <c r="E54" s="167">
        <v>3</v>
      </c>
      <c r="F54" s="168">
        <f t="shared" si="68"/>
        <v>16500</v>
      </c>
      <c r="G54" s="169">
        <f t="shared" si="69"/>
        <v>0</v>
      </c>
      <c r="H54" s="178">
        <f t="shared" si="69"/>
        <v>0</v>
      </c>
      <c r="I54" s="178">
        <f t="shared" si="69"/>
        <v>0</v>
      </c>
      <c r="J54" s="178">
        <f t="shared" si="69"/>
        <v>0</v>
      </c>
      <c r="K54" s="178">
        <f t="shared" si="69"/>
        <v>0</v>
      </c>
      <c r="L54" s="178">
        <f t="shared" si="69"/>
        <v>0</v>
      </c>
      <c r="M54" s="178">
        <f t="shared" si="69"/>
        <v>0</v>
      </c>
      <c r="N54" s="178">
        <f t="shared" si="69"/>
        <v>0</v>
      </c>
      <c r="O54" s="178">
        <f t="shared" si="69"/>
        <v>0</v>
      </c>
      <c r="P54" s="178">
        <f t="shared" si="69"/>
        <v>0</v>
      </c>
      <c r="Q54" s="178">
        <f t="shared" si="69"/>
        <v>0</v>
      </c>
      <c r="R54" s="179">
        <f t="shared" si="69"/>
        <v>0</v>
      </c>
      <c r="S54" s="169">
        <f t="shared" si="70"/>
        <v>0</v>
      </c>
      <c r="T54" s="179">
        <f t="shared" si="71"/>
        <v>0</v>
      </c>
      <c r="U54" s="180">
        <f t="shared" si="72"/>
        <v>0</v>
      </c>
      <c r="V54" s="178">
        <f t="shared" si="72"/>
        <v>0</v>
      </c>
      <c r="W54" s="178">
        <f t="shared" si="72"/>
        <v>0</v>
      </c>
      <c r="X54" s="178">
        <f t="shared" si="72"/>
        <v>0</v>
      </c>
      <c r="Y54" s="178">
        <f t="shared" si="72"/>
        <v>0</v>
      </c>
      <c r="Z54" s="178">
        <f t="shared" si="72"/>
        <v>0</v>
      </c>
      <c r="AA54" s="178">
        <f t="shared" si="72"/>
        <v>0</v>
      </c>
      <c r="AB54" s="178">
        <f t="shared" si="72"/>
        <v>0</v>
      </c>
      <c r="AC54" s="178">
        <f t="shared" si="72"/>
        <v>0</v>
      </c>
      <c r="AD54" s="178">
        <f t="shared" si="72"/>
        <v>0</v>
      </c>
      <c r="AE54" s="178">
        <f t="shared" si="72"/>
        <v>0</v>
      </c>
      <c r="AF54" s="168">
        <f t="shared" si="72"/>
        <v>0</v>
      </c>
      <c r="AG54" s="169">
        <f t="shared" si="73"/>
        <v>0</v>
      </c>
      <c r="AH54" s="179">
        <f t="shared" si="74"/>
        <v>0</v>
      </c>
      <c r="AI54" s="180">
        <f t="shared" si="75"/>
        <v>0</v>
      </c>
      <c r="AJ54" s="178">
        <f t="shared" si="76"/>
        <v>0</v>
      </c>
      <c r="AK54" s="178">
        <f t="shared" si="76"/>
        <v>0</v>
      </c>
      <c r="AL54" s="178">
        <f t="shared" si="76"/>
        <v>0</v>
      </c>
      <c r="AM54" s="178">
        <f t="shared" si="76"/>
        <v>0</v>
      </c>
      <c r="AN54" s="178">
        <f t="shared" si="76"/>
        <v>0</v>
      </c>
      <c r="AO54" s="178">
        <f t="shared" si="76"/>
        <v>0</v>
      </c>
      <c r="AP54" s="178">
        <f t="shared" si="76"/>
        <v>0</v>
      </c>
      <c r="AQ54" s="178">
        <f t="shared" si="76"/>
        <v>0</v>
      </c>
      <c r="AR54" s="178">
        <f t="shared" si="76"/>
        <v>0</v>
      </c>
      <c r="AS54" s="178">
        <f t="shared" si="76"/>
        <v>0</v>
      </c>
      <c r="AT54" s="168">
        <f t="shared" si="76"/>
        <v>0</v>
      </c>
      <c r="AU54" s="169">
        <f t="shared" si="77"/>
        <v>0</v>
      </c>
      <c r="AV54" s="179">
        <f t="shared" si="78"/>
        <v>0</v>
      </c>
      <c r="AW54" s="180">
        <f t="shared" si="79"/>
        <v>0</v>
      </c>
      <c r="AX54" s="178">
        <f t="shared" si="79"/>
        <v>0</v>
      </c>
      <c r="AY54" s="178">
        <f t="shared" si="79"/>
        <v>0</v>
      </c>
      <c r="AZ54" s="178">
        <f t="shared" si="79"/>
        <v>0</v>
      </c>
      <c r="BA54" s="178">
        <f t="shared" si="79"/>
        <v>0</v>
      </c>
      <c r="BB54" s="178">
        <f t="shared" si="79"/>
        <v>0</v>
      </c>
      <c r="BC54" s="178">
        <f t="shared" si="79"/>
        <v>0</v>
      </c>
      <c r="BD54" s="178">
        <f t="shared" si="79"/>
        <v>0</v>
      </c>
      <c r="BE54" s="178">
        <f t="shared" si="79"/>
        <v>0</v>
      </c>
      <c r="BF54" s="178">
        <f t="shared" si="79"/>
        <v>0</v>
      </c>
      <c r="BG54" s="178">
        <f t="shared" si="79"/>
        <v>0</v>
      </c>
      <c r="BH54" s="168">
        <f t="shared" si="79"/>
        <v>0</v>
      </c>
      <c r="BI54" s="169">
        <f t="shared" si="80"/>
        <v>0</v>
      </c>
      <c r="BJ54" s="179">
        <f t="shared" si="81"/>
        <v>0</v>
      </c>
      <c r="BK54" s="180">
        <f t="shared" si="82"/>
        <v>0</v>
      </c>
      <c r="BL54" s="178">
        <f t="shared" si="82"/>
        <v>0</v>
      </c>
      <c r="BM54" s="178">
        <f t="shared" si="82"/>
        <v>0</v>
      </c>
      <c r="BN54" s="178">
        <f t="shared" si="82"/>
        <v>0</v>
      </c>
      <c r="BO54" s="178">
        <f t="shared" si="82"/>
        <v>0</v>
      </c>
      <c r="BP54" s="178">
        <f t="shared" si="82"/>
        <v>0</v>
      </c>
      <c r="BQ54" s="178">
        <f t="shared" si="82"/>
        <v>0</v>
      </c>
      <c r="BR54" s="178">
        <f t="shared" si="82"/>
        <v>0</v>
      </c>
      <c r="BS54" s="178">
        <f t="shared" si="82"/>
        <v>0</v>
      </c>
      <c r="BT54" s="178">
        <f t="shared" si="82"/>
        <v>0</v>
      </c>
      <c r="BU54" s="178">
        <f t="shared" si="82"/>
        <v>0</v>
      </c>
      <c r="BV54" s="168">
        <f t="shared" si="82"/>
        <v>0</v>
      </c>
      <c r="BW54" s="169">
        <f t="shared" si="83"/>
        <v>0</v>
      </c>
      <c r="BX54" s="179">
        <f t="shared" si="84"/>
        <v>0</v>
      </c>
      <c r="BY54" s="180">
        <f t="shared" si="85"/>
        <v>0</v>
      </c>
      <c r="BZ54" s="178">
        <f t="shared" si="85"/>
        <v>0</v>
      </c>
      <c r="CA54" s="178">
        <f t="shared" si="85"/>
        <v>0</v>
      </c>
      <c r="CB54" s="178">
        <f t="shared" si="85"/>
        <v>0</v>
      </c>
      <c r="CC54" s="178">
        <f t="shared" si="85"/>
        <v>0</v>
      </c>
      <c r="CD54" s="178">
        <f t="shared" si="85"/>
        <v>0</v>
      </c>
      <c r="CE54" s="178">
        <f t="shared" si="85"/>
        <v>0</v>
      </c>
      <c r="CF54" s="178">
        <f t="shared" si="85"/>
        <v>0</v>
      </c>
      <c r="CG54" s="178">
        <f t="shared" si="85"/>
        <v>0</v>
      </c>
      <c r="CH54" s="178">
        <f t="shared" si="85"/>
        <v>0</v>
      </c>
      <c r="CI54" s="178">
        <f t="shared" si="85"/>
        <v>0</v>
      </c>
      <c r="CJ54" s="168">
        <f t="shared" si="85"/>
        <v>0</v>
      </c>
      <c r="CK54" s="169">
        <f t="shared" si="86"/>
        <v>0</v>
      </c>
      <c r="CL54" s="179">
        <f t="shared" si="87"/>
        <v>0</v>
      </c>
      <c r="CM54" s="180">
        <f t="shared" si="88"/>
        <v>0</v>
      </c>
      <c r="CN54" s="178">
        <f t="shared" si="88"/>
        <v>0</v>
      </c>
      <c r="CO54" s="178">
        <f t="shared" si="88"/>
        <v>0</v>
      </c>
      <c r="CP54" s="178">
        <f t="shared" si="88"/>
        <v>0</v>
      </c>
      <c r="CQ54" s="178">
        <f t="shared" si="88"/>
        <v>0</v>
      </c>
      <c r="CR54" s="178">
        <f t="shared" si="88"/>
        <v>0</v>
      </c>
      <c r="CS54" s="178">
        <f t="shared" si="88"/>
        <v>0</v>
      </c>
      <c r="CT54" s="178">
        <f t="shared" si="88"/>
        <v>0</v>
      </c>
      <c r="CU54" s="178">
        <f t="shared" si="88"/>
        <v>0</v>
      </c>
      <c r="CV54" s="178">
        <f t="shared" si="88"/>
        <v>0</v>
      </c>
      <c r="CW54" s="178">
        <f t="shared" si="88"/>
        <v>0</v>
      </c>
      <c r="CX54" s="168">
        <f t="shared" si="88"/>
        <v>0</v>
      </c>
      <c r="CY54" s="169">
        <f t="shared" si="89"/>
        <v>0</v>
      </c>
      <c r="CZ54" s="179">
        <f t="shared" si="90"/>
        <v>0</v>
      </c>
      <c r="DA54" s="180">
        <f t="shared" si="91"/>
        <v>0</v>
      </c>
      <c r="DB54" s="178">
        <f t="shared" si="91"/>
        <v>0</v>
      </c>
      <c r="DC54" s="178">
        <f t="shared" si="91"/>
        <v>0</v>
      </c>
      <c r="DD54" s="178">
        <f t="shared" si="91"/>
        <v>0</v>
      </c>
      <c r="DE54" s="178">
        <f t="shared" si="91"/>
        <v>0</v>
      </c>
      <c r="DF54" s="178">
        <f t="shared" si="91"/>
        <v>0</v>
      </c>
      <c r="DG54" s="178">
        <f t="shared" si="91"/>
        <v>0</v>
      </c>
      <c r="DH54" s="178">
        <f t="shared" si="91"/>
        <v>0</v>
      </c>
      <c r="DI54" s="178">
        <f t="shared" si="91"/>
        <v>0</v>
      </c>
      <c r="DJ54" s="178">
        <f t="shared" si="91"/>
        <v>0</v>
      </c>
      <c r="DK54" s="178">
        <f t="shared" si="91"/>
        <v>0</v>
      </c>
      <c r="DL54" s="168">
        <f t="shared" si="91"/>
        <v>0</v>
      </c>
      <c r="DM54" s="169">
        <f t="shared" si="92"/>
        <v>0</v>
      </c>
      <c r="DN54" s="171">
        <f t="shared" si="93"/>
        <v>0</v>
      </c>
      <c r="DO54" s="180">
        <f t="shared" si="94"/>
        <v>0</v>
      </c>
      <c r="DP54" s="178">
        <f t="shared" si="94"/>
        <v>0</v>
      </c>
      <c r="DQ54" s="178">
        <f t="shared" si="94"/>
        <v>0</v>
      </c>
      <c r="DR54" s="178">
        <f t="shared" si="94"/>
        <v>0</v>
      </c>
      <c r="DS54" s="178">
        <f t="shared" si="94"/>
        <v>0</v>
      </c>
      <c r="DT54" s="178">
        <f t="shared" si="94"/>
        <v>0</v>
      </c>
      <c r="DU54" s="178">
        <f t="shared" si="94"/>
        <v>0</v>
      </c>
      <c r="DV54" s="178">
        <f t="shared" si="94"/>
        <v>0</v>
      </c>
      <c r="DW54" s="178">
        <f t="shared" si="94"/>
        <v>0</v>
      </c>
      <c r="DX54" s="178">
        <f t="shared" si="94"/>
        <v>0</v>
      </c>
      <c r="DY54" s="178">
        <f t="shared" si="94"/>
        <v>0</v>
      </c>
      <c r="DZ54" s="168">
        <f t="shared" si="94"/>
        <v>0</v>
      </c>
      <c r="EA54" s="169">
        <f t="shared" si="95"/>
        <v>0</v>
      </c>
      <c r="EB54" s="171">
        <f t="shared" si="96"/>
        <v>0</v>
      </c>
    </row>
    <row r="55" spans="1:132" s="177" customFormat="1" ht="15.75">
      <c r="A55" s="163"/>
      <c r="B55" s="181"/>
      <c r="C55" s="165"/>
      <c r="D55" s="182"/>
      <c r="E55" s="167">
        <v>3</v>
      </c>
      <c r="F55" s="168">
        <f t="shared" si="68"/>
        <v>0</v>
      </c>
      <c r="G55" s="169">
        <f t="shared" si="69"/>
        <v>0</v>
      </c>
      <c r="H55" s="178">
        <f t="shared" si="69"/>
        <v>0</v>
      </c>
      <c r="I55" s="178">
        <f t="shared" si="69"/>
        <v>0</v>
      </c>
      <c r="J55" s="178">
        <f t="shared" si="69"/>
        <v>0</v>
      </c>
      <c r="K55" s="178">
        <f t="shared" si="69"/>
        <v>0</v>
      </c>
      <c r="L55" s="178">
        <f t="shared" si="69"/>
        <v>0</v>
      </c>
      <c r="M55" s="178">
        <f t="shared" si="69"/>
        <v>0</v>
      </c>
      <c r="N55" s="178">
        <f t="shared" si="69"/>
        <v>0</v>
      </c>
      <c r="O55" s="178">
        <f t="shared" si="69"/>
        <v>0</v>
      </c>
      <c r="P55" s="178">
        <f t="shared" si="69"/>
        <v>0</v>
      </c>
      <c r="Q55" s="178">
        <f t="shared" si="69"/>
        <v>0</v>
      </c>
      <c r="R55" s="179">
        <f t="shared" si="69"/>
        <v>0</v>
      </c>
      <c r="S55" s="169">
        <f t="shared" si="70"/>
        <v>0</v>
      </c>
      <c r="T55" s="179">
        <f t="shared" si="71"/>
        <v>0</v>
      </c>
      <c r="U55" s="180">
        <f t="shared" si="72"/>
        <v>0</v>
      </c>
      <c r="V55" s="178">
        <f t="shared" si="72"/>
        <v>0</v>
      </c>
      <c r="W55" s="178">
        <f t="shared" si="72"/>
        <v>0</v>
      </c>
      <c r="X55" s="178">
        <f t="shared" si="72"/>
        <v>0</v>
      </c>
      <c r="Y55" s="178">
        <f t="shared" si="72"/>
        <v>0</v>
      </c>
      <c r="Z55" s="178">
        <f t="shared" si="72"/>
        <v>0</v>
      </c>
      <c r="AA55" s="178">
        <f t="shared" si="72"/>
        <v>0</v>
      </c>
      <c r="AB55" s="178">
        <f t="shared" si="72"/>
        <v>0</v>
      </c>
      <c r="AC55" s="178">
        <f t="shared" si="72"/>
        <v>0</v>
      </c>
      <c r="AD55" s="178">
        <f t="shared" si="72"/>
        <v>0</v>
      </c>
      <c r="AE55" s="178">
        <f t="shared" si="72"/>
        <v>0</v>
      </c>
      <c r="AF55" s="168">
        <f t="shared" si="72"/>
        <v>0</v>
      </c>
      <c r="AG55" s="169">
        <f t="shared" si="73"/>
        <v>0</v>
      </c>
      <c r="AH55" s="179">
        <f t="shared" si="74"/>
        <v>0</v>
      </c>
      <c r="AI55" s="180">
        <f t="shared" si="75"/>
        <v>0</v>
      </c>
      <c r="AJ55" s="178">
        <f t="shared" si="76"/>
        <v>0</v>
      </c>
      <c r="AK55" s="178">
        <f t="shared" si="76"/>
        <v>0</v>
      </c>
      <c r="AL55" s="178">
        <f t="shared" si="76"/>
        <v>0</v>
      </c>
      <c r="AM55" s="178">
        <f t="shared" si="76"/>
        <v>0</v>
      </c>
      <c r="AN55" s="178">
        <f t="shared" si="76"/>
        <v>0</v>
      </c>
      <c r="AO55" s="178">
        <f t="shared" si="76"/>
        <v>0</v>
      </c>
      <c r="AP55" s="178">
        <f t="shared" si="76"/>
        <v>0</v>
      </c>
      <c r="AQ55" s="178">
        <f t="shared" si="76"/>
        <v>0</v>
      </c>
      <c r="AR55" s="178">
        <f t="shared" si="76"/>
        <v>0</v>
      </c>
      <c r="AS55" s="178">
        <f t="shared" si="76"/>
        <v>0</v>
      </c>
      <c r="AT55" s="168">
        <f t="shared" si="76"/>
        <v>0</v>
      </c>
      <c r="AU55" s="169">
        <f t="shared" si="77"/>
        <v>0</v>
      </c>
      <c r="AV55" s="179">
        <f t="shared" si="78"/>
        <v>0</v>
      </c>
      <c r="AW55" s="180">
        <f t="shared" si="79"/>
        <v>0</v>
      </c>
      <c r="AX55" s="178">
        <f t="shared" si="79"/>
        <v>0</v>
      </c>
      <c r="AY55" s="178">
        <f t="shared" si="79"/>
        <v>0</v>
      </c>
      <c r="AZ55" s="178">
        <f t="shared" si="79"/>
        <v>0</v>
      </c>
      <c r="BA55" s="178">
        <f t="shared" si="79"/>
        <v>0</v>
      </c>
      <c r="BB55" s="178">
        <f t="shared" si="79"/>
        <v>0</v>
      </c>
      <c r="BC55" s="178">
        <f t="shared" si="79"/>
        <v>0</v>
      </c>
      <c r="BD55" s="178">
        <f t="shared" si="79"/>
        <v>0</v>
      </c>
      <c r="BE55" s="178">
        <f t="shared" si="79"/>
        <v>0</v>
      </c>
      <c r="BF55" s="178">
        <f t="shared" si="79"/>
        <v>0</v>
      </c>
      <c r="BG55" s="178">
        <f t="shared" si="79"/>
        <v>0</v>
      </c>
      <c r="BH55" s="168">
        <f t="shared" si="79"/>
        <v>0</v>
      </c>
      <c r="BI55" s="169">
        <f t="shared" si="80"/>
        <v>0</v>
      </c>
      <c r="BJ55" s="179">
        <f t="shared" si="81"/>
        <v>0</v>
      </c>
      <c r="BK55" s="180">
        <f t="shared" si="82"/>
        <v>0</v>
      </c>
      <c r="BL55" s="178">
        <f t="shared" si="82"/>
        <v>0</v>
      </c>
      <c r="BM55" s="178">
        <f t="shared" si="82"/>
        <v>0</v>
      </c>
      <c r="BN55" s="178">
        <f t="shared" si="82"/>
        <v>0</v>
      </c>
      <c r="BO55" s="178">
        <f t="shared" si="82"/>
        <v>0</v>
      </c>
      <c r="BP55" s="178">
        <f t="shared" si="82"/>
        <v>0</v>
      </c>
      <c r="BQ55" s="178">
        <f t="shared" si="82"/>
        <v>0</v>
      </c>
      <c r="BR55" s="178">
        <f t="shared" si="82"/>
        <v>0</v>
      </c>
      <c r="BS55" s="178">
        <f t="shared" si="82"/>
        <v>0</v>
      </c>
      <c r="BT55" s="178">
        <f t="shared" si="82"/>
        <v>0</v>
      </c>
      <c r="BU55" s="178">
        <f t="shared" si="82"/>
        <v>0</v>
      </c>
      <c r="BV55" s="168">
        <f t="shared" si="82"/>
        <v>0</v>
      </c>
      <c r="BW55" s="169">
        <f t="shared" si="83"/>
        <v>0</v>
      </c>
      <c r="BX55" s="179">
        <f t="shared" si="84"/>
        <v>0</v>
      </c>
      <c r="BY55" s="180">
        <f t="shared" si="85"/>
        <v>0</v>
      </c>
      <c r="BZ55" s="178">
        <f t="shared" si="85"/>
        <v>0</v>
      </c>
      <c r="CA55" s="178">
        <f t="shared" si="85"/>
        <v>0</v>
      </c>
      <c r="CB55" s="178">
        <f t="shared" si="85"/>
        <v>0</v>
      </c>
      <c r="CC55" s="178">
        <f t="shared" si="85"/>
        <v>0</v>
      </c>
      <c r="CD55" s="178">
        <f t="shared" si="85"/>
        <v>0</v>
      </c>
      <c r="CE55" s="178">
        <f t="shared" si="85"/>
        <v>0</v>
      </c>
      <c r="CF55" s="178">
        <f t="shared" si="85"/>
        <v>0</v>
      </c>
      <c r="CG55" s="178">
        <f t="shared" si="85"/>
        <v>0</v>
      </c>
      <c r="CH55" s="178">
        <f t="shared" si="85"/>
        <v>0</v>
      </c>
      <c r="CI55" s="178">
        <f t="shared" si="85"/>
        <v>0</v>
      </c>
      <c r="CJ55" s="168">
        <f t="shared" si="85"/>
        <v>0</v>
      </c>
      <c r="CK55" s="169">
        <f t="shared" si="86"/>
        <v>0</v>
      </c>
      <c r="CL55" s="179">
        <f t="shared" si="87"/>
        <v>0</v>
      </c>
      <c r="CM55" s="180">
        <f t="shared" si="88"/>
        <v>0</v>
      </c>
      <c r="CN55" s="178">
        <f t="shared" si="88"/>
        <v>0</v>
      </c>
      <c r="CO55" s="178">
        <f t="shared" si="88"/>
        <v>0</v>
      </c>
      <c r="CP55" s="178">
        <f t="shared" si="88"/>
        <v>0</v>
      </c>
      <c r="CQ55" s="178">
        <f t="shared" si="88"/>
        <v>0</v>
      </c>
      <c r="CR55" s="178">
        <f t="shared" si="88"/>
        <v>0</v>
      </c>
      <c r="CS55" s="178">
        <f t="shared" si="88"/>
        <v>0</v>
      </c>
      <c r="CT55" s="178">
        <f t="shared" si="88"/>
        <v>0</v>
      </c>
      <c r="CU55" s="178">
        <f t="shared" si="88"/>
        <v>0</v>
      </c>
      <c r="CV55" s="178">
        <f t="shared" si="88"/>
        <v>0</v>
      </c>
      <c r="CW55" s="178">
        <f t="shared" si="88"/>
        <v>0</v>
      </c>
      <c r="CX55" s="168">
        <f t="shared" si="88"/>
        <v>0</v>
      </c>
      <c r="CY55" s="169">
        <f t="shared" si="89"/>
        <v>0</v>
      </c>
      <c r="CZ55" s="179">
        <f t="shared" si="90"/>
        <v>0</v>
      </c>
      <c r="DA55" s="180">
        <f t="shared" si="91"/>
        <v>0</v>
      </c>
      <c r="DB55" s="178">
        <f t="shared" si="91"/>
        <v>0</v>
      </c>
      <c r="DC55" s="178">
        <f t="shared" si="91"/>
        <v>0</v>
      </c>
      <c r="DD55" s="178">
        <f t="shared" si="91"/>
        <v>0</v>
      </c>
      <c r="DE55" s="178">
        <f t="shared" si="91"/>
        <v>0</v>
      </c>
      <c r="DF55" s="178">
        <f t="shared" si="91"/>
        <v>0</v>
      </c>
      <c r="DG55" s="178">
        <f t="shared" si="91"/>
        <v>0</v>
      </c>
      <c r="DH55" s="178">
        <f t="shared" si="91"/>
        <v>0</v>
      </c>
      <c r="DI55" s="178">
        <f t="shared" si="91"/>
        <v>0</v>
      </c>
      <c r="DJ55" s="178">
        <f t="shared" si="91"/>
        <v>0</v>
      </c>
      <c r="DK55" s="178">
        <f t="shared" si="91"/>
        <v>0</v>
      </c>
      <c r="DL55" s="168">
        <f t="shared" si="91"/>
        <v>0</v>
      </c>
      <c r="DM55" s="169">
        <f t="shared" si="92"/>
        <v>0</v>
      </c>
      <c r="DN55" s="171">
        <f t="shared" si="93"/>
        <v>0</v>
      </c>
      <c r="DO55" s="180">
        <f t="shared" si="94"/>
        <v>0</v>
      </c>
      <c r="DP55" s="178">
        <f t="shared" si="94"/>
        <v>0</v>
      </c>
      <c r="DQ55" s="178">
        <f t="shared" si="94"/>
        <v>0</v>
      </c>
      <c r="DR55" s="178">
        <f t="shared" si="94"/>
        <v>0</v>
      </c>
      <c r="DS55" s="178">
        <f t="shared" si="94"/>
        <v>0</v>
      </c>
      <c r="DT55" s="178">
        <f t="shared" si="94"/>
        <v>0</v>
      </c>
      <c r="DU55" s="178">
        <f t="shared" si="94"/>
        <v>0</v>
      </c>
      <c r="DV55" s="178">
        <f t="shared" si="94"/>
        <v>0</v>
      </c>
      <c r="DW55" s="178">
        <f t="shared" si="94"/>
        <v>0</v>
      </c>
      <c r="DX55" s="178">
        <f t="shared" si="94"/>
        <v>0</v>
      </c>
      <c r="DY55" s="178">
        <f t="shared" si="94"/>
        <v>0</v>
      </c>
      <c r="DZ55" s="168">
        <f t="shared" si="94"/>
        <v>0</v>
      </c>
      <c r="EA55" s="169">
        <f t="shared" si="95"/>
        <v>0</v>
      </c>
      <c r="EB55" s="171">
        <f t="shared" si="96"/>
        <v>0</v>
      </c>
    </row>
    <row r="56" spans="1:132" s="177" customFormat="1" ht="15.75">
      <c r="A56" s="163"/>
      <c r="B56" s="181"/>
      <c r="C56" s="165"/>
      <c r="D56" s="182"/>
      <c r="E56" s="167">
        <v>3</v>
      </c>
      <c r="F56" s="168">
        <f t="shared" si="68"/>
        <v>0</v>
      </c>
      <c r="G56" s="169">
        <f t="shared" si="69"/>
        <v>0</v>
      </c>
      <c r="H56" s="178">
        <f t="shared" si="69"/>
        <v>0</v>
      </c>
      <c r="I56" s="178">
        <f t="shared" si="69"/>
        <v>0</v>
      </c>
      <c r="J56" s="178">
        <f t="shared" si="69"/>
        <v>0</v>
      </c>
      <c r="K56" s="178">
        <f t="shared" si="69"/>
        <v>0</v>
      </c>
      <c r="L56" s="178">
        <f t="shared" si="69"/>
        <v>0</v>
      </c>
      <c r="M56" s="178">
        <f t="shared" si="69"/>
        <v>0</v>
      </c>
      <c r="N56" s="178">
        <f t="shared" si="69"/>
        <v>0</v>
      </c>
      <c r="O56" s="178">
        <f t="shared" si="69"/>
        <v>0</v>
      </c>
      <c r="P56" s="178">
        <f t="shared" si="69"/>
        <v>0</v>
      </c>
      <c r="Q56" s="178">
        <f t="shared" si="69"/>
        <v>0</v>
      </c>
      <c r="R56" s="179">
        <f t="shared" si="69"/>
        <v>0</v>
      </c>
      <c r="S56" s="169">
        <f t="shared" si="70"/>
        <v>0</v>
      </c>
      <c r="T56" s="179">
        <f t="shared" si="71"/>
        <v>0</v>
      </c>
      <c r="U56" s="180">
        <f t="shared" si="72"/>
        <v>0</v>
      </c>
      <c r="V56" s="178">
        <f t="shared" si="72"/>
        <v>0</v>
      </c>
      <c r="W56" s="178">
        <f t="shared" si="72"/>
        <v>0</v>
      </c>
      <c r="X56" s="178">
        <f t="shared" si="72"/>
        <v>0</v>
      </c>
      <c r="Y56" s="178">
        <f t="shared" si="72"/>
        <v>0</v>
      </c>
      <c r="Z56" s="178">
        <f t="shared" si="72"/>
        <v>0</v>
      </c>
      <c r="AA56" s="178">
        <f t="shared" si="72"/>
        <v>0</v>
      </c>
      <c r="AB56" s="178">
        <f t="shared" si="72"/>
        <v>0</v>
      </c>
      <c r="AC56" s="178">
        <f t="shared" si="72"/>
        <v>0</v>
      </c>
      <c r="AD56" s="178">
        <f t="shared" si="72"/>
        <v>0</v>
      </c>
      <c r="AE56" s="178">
        <f t="shared" si="72"/>
        <v>0</v>
      </c>
      <c r="AF56" s="168">
        <f t="shared" si="72"/>
        <v>0</v>
      </c>
      <c r="AG56" s="169">
        <f t="shared" si="73"/>
        <v>0</v>
      </c>
      <c r="AH56" s="179">
        <f t="shared" si="74"/>
        <v>0</v>
      </c>
      <c r="AI56" s="180">
        <f t="shared" si="75"/>
        <v>0</v>
      </c>
      <c r="AJ56" s="178">
        <f t="shared" si="76"/>
        <v>0</v>
      </c>
      <c r="AK56" s="178">
        <f t="shared" si="76"/>
        <v>0</v>
      </c>
      <c r="AL56" s="178">
        <f t="shared" si="76"/>
        <v>0</v>
      </c>
      <c r="AM56" s="178">
        <f t="shared" si="76"/>
        <v>0</v>
      </c>
      <c r="AN56" s="178">
        <f t="shared" si="76"/>
        <v>0</v>
      </c>
      <c r="AO56" s="178">
        <f t="shared" si="76"/>
        <v>0</v>
      </c>
      <c r="AP56" s="178">
        <f t="shared" si="76"/>
        <v>0</v>
      </c>
      <c r="AQ56" s="178">
        <f t="shared" si="76"/>
        <v>0</v>
      </c>
      <c r="AR56" s="178">
        <f t="shared" si="76"/>
        <v>0</v>
      </c>
      <c r="AS56" s="178">
        <f t="shared" si="76"/>
        <v>0</v>
      </c>
      <c r="AT56" s="168">
        <f t="shared" si="76"/>
        <v>0</v>
      </c>
      <c r="AU56" s="169">
        <f t="shared" si="77"/>
        <v>0</v>
      </c>
      <c r="AV56" s="179">
        <f t="shared" si="78"/>
        <v>0</v>
      </c>
      <c r="AW56" s="180">
        <f t="shared" si="79"/>
        <v>0</v>
      </c>
      <c r="AX56" s="178">
        <f t="shared" si="79"/>
        <v>0</v>
      </c>
      <c r="AY56" s="178">
        <f t="shared" si="79"/>
        <v>0</v>
      </c>
      <c r="AZ56" s="178">
        <f t="shared" si="79"/>
        <v>0</v>
      </c>
      <c r="BA56" s="178">
        <f t="shared" si="79"/>
        <v>0</v>
      </c>
      <c r="BB56" s="178">
        <f t="shared" si="79"/>
        <v>0</v>
      </c>
      <c r="BC56" s="178">
        <f t="shared" si="79"/>
        <v>0</v>
      </c>
      <c r="BD56" s="178">
        <f t="shared" si="79"/>
        <v>0</v>
      </c>
      <c r="BE56" s="178">
        <f t="shared" si="79"/>
        <v>0</v>
      </c>
      <c r="BF56" s="178">
        <f t="shared" si="79"/>
        <v>0</v>
      </c>
      <c r="BG56" s="178">
        <f t="shared" si="79"/>
        <v>0</v>
      </c>
      <c r="BH56" s="168">
        <f t="shared" si="79"/>
        <v>0</v>
      </c>
      <c r="BI56" s="169">
        <f t="shared" si="80"/>
        <v>0</v>
      </c>
      <c r="BJ56" s="179">
        <f t="shared" si="81"/>
        <v>0</v>
      </c>
      <c r="BK56" s="180">
        <f t="shared" si="82"/>
        <v>0</v>
      </c>
      <c r="BL56" s="178">
        <f t="shared" si="82"/>
        <v>0</v>
      </c>
      <c r="BM56" s="178">
        <f t="shared" si="82"/>
        <v>0</v>
      </c>
      <c r="BN56" s="178">
        <f t="shared" si="82"/>
        <v>0</v>
      </c>
      <c r="BO56" s="178">
        <f t="shared" si="82"/>
        <v>0</v>
      </c>
      <c r="BP56" s="178">
        <f t="shared" si="82"/>
        <v>0</v>
      </c>
      <c r="BQ56" s="178">
        <f t="shared" si="82"/>
        <v>0</v>
      </c>
      <c r="BR56" s="178">
        <f t="shared" si="82"/>
        <v>0</v>
      </c>
      <c r="BS56" s="178">
        <f t="shared" si="82"/>
        <v>0</v>
      </c>
      <c r="BT56" s="178">
        <f t="shared" si="82"/>
        <v>0</v>
      </c>
      <c r="BU56" s="178">
        <f t="shared" si="82"/>
        <v>0</v>
      </c>
      <c r="BV56" s="168">
        <f t="shared" si="82"/>
        <v>0</v>
      </c>
      <c r="BW56" s="169">
        <f t="shared" si="83"/>
        <v>0</v>
      </c>
      <c r="BX56" s="179">
        <f t="shared" si="84"/>
        <v>0</v>
      </c>
      <c r="BY56" s="180">
        <f t="shared" si="85"/>
        <v>0</v>
      </c>
      <c r="BZ56" s="178">
        <f t="shared" si="85"/>
        <v>0</v>
      </c>
      <c r="CA56" s="178">
        <f t="shared" si="85"/>
        <v>0</v>
      </c>
      <c r="CB56" s="178">
        <f t="shared" si="85"/>
        <v>0</v>
      </c>
      <c r="CC56" s="178">
        <f t="shared" si="85"/>
        <v>0</v>
      </c>
      <c r="CD56" s="178">
        <f t="shared" si="85"/>
        <v>0</v>
      </c>
      <c r="CE56" s="178">
        <f t="shared" si="85"/>
        <v>0</v>
      </c>
      <c r="CF56" s="178">
        <f t="shared" si="85"/>
        <v>0</v>
      </c>
      <c r="CG56" s="178">
        <f t="shared" si="85"/>
        <v>0</v>
      </c>
      <c r="CH56" s="178">
        <f t="shared" si="85"/>
        <v>0</v>
      </c>
      <c r="CI56" s="178">
        <f t="shared" si="85"/>
        <v>0</v>
      </c>
      <c r="CJ56" s="168">
        <f t="shared" si="85"/>
        <v>0</v>
      </c>
      <c r="CK56" s="169">
        <f t="shared" si="86"/>
        <v>0</v>
      </c>
      <c r="CL56" s="179">
        <f t="shared" si="87"/>
        <v>0</v>
      </c>
      <c r="CM56" s="180">
        <f t="shared" si="88"/>
        <v>0</v>
      </c>
      <c r="CN56" s="178">
        <f t="shared" si="88"/>
        <v>0</v>
      </c>
      <c r="CO56" s="178">
        <f t="shared" si="88"/>
        <v>0</v>
      </c>
      <c r="CP56" s="178">
        <f t="shared" si="88"/>
        <v>0</v>
      </c>
      <c r="CQ56" s="178">
        <f t="shared" si="88"/>
        <v>0</v>
      </c>
      <c r="CR56" s="178">
        <f t="shared" si="88"/>
        <v>0</v>
      </c>
      <c r="CS56" s="178">
        <f t="shared" si="88"/>
        <v>0</v>
      </c>
      <c r="CT56" s="178">
        <f t="shared" si="88"/>
        <v>0</v>
      </c>
      <c r="CU56" s="178">
        <f t="shared" si="88"/>
        <v>0</v>
      </c>
      <c r="CV56" s="178">
        <f t="shared" si="88"/>
        <v>0</v>
      </c>
      <c r="CW56" s="178">
        <f t="shared" si="88"/>
        <v>0</v>
      </c>
      <c r="CX56" s="168">
        <f t="shared" si="88"/>
        <v>0</v>
      </c>
      <c r="CY56" s="169">
        <f t="shared" si="89"/>
        <v>0</v>
      </c>
      <c r="CZ56" s="179">
        <f t="shared" si="90"/>
        <v>0</v>
      </c>
      <c r="DA56" s="180">
        <f t="shared" si="91"/>
        <v>0</v>
      </c>
      <c r="DB56" s="178">
        <f t="shared" si="91"/>
        <v>0</v>
      </c>
      <c r="DC56" s="178">
        <f t="shared" si="91"/>
        <v>0</v>
      </c>
      <c r="DD56" s="178">
        <f t="shared" si="91"/>
        <v>0</v>
      </c>
      <c r="DE56" s="178">
        <f t="shared" si="91"/>
        <v>0</v>
      </c>
      <c r="DF56" s="178">
        <f t="shared" si="91"/>
        <v>0</v>
      </c>
      <c r="DG56" s="178">
        <f t="shared" si="91"/>
        <v>0</v>
      </c>
      <c r="DH56" s="178">
        <f t="shared" si="91"/>
        <v>0</v>
      </c>
      <c r="DI56" s="178">
        <f t="shared" si="91"/>
        <v>0</v>
      </c>
      <c r="DJ56" s="178">
        <f t="shared" si="91"/>
        <v>0</v>
      </c>
      <c r="DK56" s="178">
        <f t="shared" si="91"/>
        <v>0</v>
      </c>
      <c r="DL56" s="168">
        <f t="shared" si="91"/>
        <v>0</v>
      </c>
      <c r="DM56" s="169">
        <f t="shared" si="92"/>
        <v>0</v>
      </c>
      <c r="DN56" s="171">
        <f t="shared" si="93"/>
        <v>0</v>
      </c>
      <c r="DO56" s="180">
        <f t="shared" si="94"/>
        <v>0</v>
      </c>
      <c r="DP56" s="178">
        <f t="shared" si="94"/>
        <v>0</v>
      </c>
      <c r="DQ56" s="178">
        <f t="shared" si="94"/>
        <v>0</v>
      </c>
      <c r="DR56" s="178">
        <f t="shared" si="94"/>
        <v>0</v>
      </c>
      <c r="DS56" s="178">
        <f t="shared" si="94"/>
        <v>0</v>
      </c>
      <c r="DT56" s="178">
        <f t="shared" si="94"/>
        <v>0</v>
      </c>
      <c r="DU56" s="178">
        <f t="shared" si="94"/>
        <v>0</v>
      </c>
      <c r="DV56" s="178">
        <f t="shared" si="94"/>
        <v>0</v>
      </c>
      <c r="DW56" s="178">
        <f t="shared" si="94"/>
        <v>0</v>
      </c>
      <c r="DX56" s="178">
        <f t="shared" si="94"/>
        <v>0</v>
      </c>
      <c r="DY56" s="178">
        <f t="shared" si="94"/>
        <v>0</v>
      </c>
      <c r="DZ56" s="168">
        <f t="shared" si="94"/>
        <v>0</v>
      </c>
      <c r="EA56" s="169">
        <f t="shared" si="95"/>
        <v>0</v>
      </c>
      <c r="EB56" s="171">
        <f t="shared" si="96"/>
        <v>0</v>
      </c>
    </row>
    <row r="57" spans="1:132" s="177" customFormat="1" ht="15.75">
      <c r="A57" s="163"/>
      <c r="B57" s="181"/>
      <c r="C57" s="165"/>
      <c r="D57" s="182"/>
      <c r="E57" s="167">
        <v>3</v>
      </c>
      <c r="F57" s="168">
        <f t="shared" si="68"/>
        <v>0</v>
      </c>
      <c r="G57" s="169">
        <f t="shared" si="69"/>
        <v>0</v>
      </c>
      <c r="H57" s="178">
        <f t="shared" si="69"/>
        <v>0</v>
      </c>
      <c r="I57" s="178">
        <f t="shared" si="69"/>
        <v>0</v>
      </c>
      <c r="J57" s="178">
        <f t="shared" si="69"/>
        <v>0</v>
      </c>
      <c r="K57" s="178">
        <f t="shared" si="69"/>
        <v>0</v>
      </c>
      <c r="L57" s="178">
        <f t="shared" si="69"/>
        <v>0</v>
      </c>
      <c r="M57" s="178">
        <f t="shared" si="69"/>
        <v>0</v>
      </c>
      <c r="N57" s="178">
        <f t="shared" si="69"/>
        <v>0</v>
      </c>
      <c r="O57" s="178">
        <f t="shared" si="69"/>
        <v>0</v>
      </c>
      <c r="P57" s="178">
        <f t="shared" si="69"/>
        <v>0</v>
      </c>
      <c r="Q57" s="178">
        <f t="shared" si="69"/>
        <v>0</v>
      </c>
      <c r="R57" s="179">
        <f t="shared" si="69"/>
        <v>0</v>
      </c>
      <c r="S57" s="169">
        <f t="shared" si="70"/>
        <v>0</v>
      </c>
      <c r="T57" s="179">
        <f t="shared" si="71"/>
        <v>0</v>
      </c>
      <c r="U57" s="180">
        <f t="shared" si="72"/>
        <v>0</v>
      </c>
      <c r="V57" s="178">
        <f t="shared" si="72"/>
        <v>0</v>
      </c>
      <c r="W57" s="178">
        <f t="shared" si="72"/>
        <v>0</v>
      </c>
      <c r="X57" s="178">
        <f t="shared" si="72"/>
        <v>0</v>
      </c>
      <c r="Y57" s="178">
        <f t="shared" ref="Y57:AF57" si="97">IF(OR($F57&lt;=0,(Y$9-$A57)&gt;(365*$E57)),0,IF($A57&lt;=Y$9,$F57/12,0))</f>
        <v>0</v>
      </c>
      <c r="Z57" s="178">
        <f t="shared" si="97"/>
        <v>0</v>
      </c>
      <c r="AA57" s="178">
        <f t="shared" si="97"/>
        <v>0</v>
      </c>
      <c r="AB57" s="178">
        <f t="shared" si="97"/>
        <v>0</v>
      </c>
      <c r="AC57" s="178">
        <f t="shared" si="97"/>
        <v>0</v>
      </c>
      <c r="AD57" s="178">
        <f t="shared" si="97"/>
        <v>0</v>
      </c>
      <c r="AE57" s="178">
        <f t="shared" si="97"/>
        <v>0</v>
      </c>
      <c r="AF57" s="168">
        <f t="shared" si="97"/>
        <v>0</v>
      </c>
      <c r="AG57" s="169">
        <f t="shared" si="73"/>
        <v>0</v>
      </c>
      <c r="AH57" s="179">
        <f t="shared" si="74"/>
        <v>0</v>
      </c>
      <c r="AI57" s="180">
        <f t="shared" si="75"/>
        <v>0</v>
      </c>
      <c r="AJ57" s="178">
        <f t="shared" si="76"/>
        <v>0</v>
      </c>
      <c r="AK57" s="178">
        <f t="shared" si="76"/>
        <v>0</v>
      </c>
      <c r="AL57" s="178">
        <f t="shared" si="76"/>
        <v>0</v>
      </c>
      <c r="AM57" s="178">
        <f t="shared" si="76"/>
        <v>0</v>
      </c>
      <c r="AN57" s="178">
        <f t="shared" si="76"/>
        <v>0</v>
      </c>
      <c r="AO57" s="178">
        <f t="shared" si="76"/>
        <v>0</v>
      </c>
      <c r="AP57" s="178">
        <f t="shared" si="76"/>
        <v>0</v>
      </c>
      <c r="AQ57" s="178">
        <f t="shared" si="76"/>
        <v>0</v>
      </c>
      <c r="AR57" s="178">
        <f t="shared" si="76"/>
        <v>0</v>
      </c>
      <c r="AS57" s="178">
        <f t="shared" si="76"/>
        <v>0</v>
      </c>
      <c r="AT57" s="168">
        <f t="shared" si="76"/>
        <v>0</v>
      </c>
      <c r="AU57" s="169">
        <f t="shared" si="77"/>
        <v>0</v>
      </c>
      <c r="AV57" s="179">
        <f t="shared" si="78"/>
        <v>0</v>
      </c>
      <c r="AW57" s="180">
        <f t="shared" si="79"/>
        <v>0</v>
      </c>
      <c r="AX57" s="178">
        <f t="shared" si="79"/>
        <v>0</v>
      </c>
      <c r="AY57" s="178">
        <f t="shared" si="79"/>
        <v>0</v>
      </c>
      <c r="AZ57" s="178">
        <f t="shared" si="79"/>
        <v>0</v>
      </c>
      <c r="BA57" s="178">
        <f t="shared" ref="BA57:BH57" si="98">IF(OR($F57&lt;=0,(BA$9-$A57)&gt;(365*$E57)),0,IF($A57&lt;=BA$9,$F57/12,0))</f>
        <v>0</v>
      </c>
      <c r="BB57" s="178">
        <f t="shared" si="98"/>
        <v>0</v>
      </c>
      <c r="BC57" s="178">
        <f t="shared" si="98"/>
        <v>0</v>
      </c>
      <c r="BD57" s="178">
        <f t="shared" si="98"/>
        <v>0</v>
      </c>
      <c r="BE57" s="178">
        <f t="shared" si="98"/>
        <v>0</v>
      </c>
      <c r="BF57" s="178">
        <f t="shared" si="98"/>
        <v>0</v>
      </c>
      <c r="BG57" s="178">
        <f t="shared" si="98"/>
        <v>0</v>
      </c>
      <c r="BH57" s="168">
        <f t="shared" si="98"/>
        <v>0</v>
      </c>
      <c r="BI57" s="169">
        <f t="shared" si="80"/>
        <v>0</v>
      </c>
      <c r="BJ57" s="179">
        <f t="shared" si="81"/>
        <v>0</v>
      </c>
      <c r="BK57" s="180">
        <f t="shared" si="82"/>
        <v>0</v>
      </c>
      <c r="BL57" s="178">
        <f t="shared" si="82"/>
        <v>0</v>
      </c>
      <c r="BM57" s="178">
        <f t="shared" si="82"/>
        <v>0</v>
      </c>
      <c r="BN57" s="178">
        <f t="shared" si="82"/>
        <v>0</v>
      </c>
      <c r="BO57" s="178">
        <f t="shared" ref="BO57:BV57" si="99">IF(OR($BJ57&lt;=0,(BO$9-$A57)&gt;($E57*365)),0,IF($A57&lt;=BO$9,$F57/12))</f>
        <v>0</v>
      </c>
      <c r="BP57" s="178">
        <f t="shared" si="99"/>
        <v>0</v>
      </c>
      <c r="BQ57" s="178">
        <f t="shared" si="99"/>
        <v>0</v>
      </c>
      <c r="BR57" s="178">
        <f t="shared" si="99"/>
        <v>0</v>
      </c>
      <c r="BS57" s="178">
        <f t="shared" si="99"/>
        <v>0</v>
      </c>
      <c r="BT57" s="178">
        <f t="shared" si="99"/>
        <v>0</v>
      </c>
      <c r="BU57" s="178">
        <f t="shared" si="99"/>
        <v>0</v>
      </c>
      <c r="BV57" s="168">
        <f t="shared" si="99"/>
        <v>0</v>
      </c>
      <c r="BW57" s="169">
        <f t="shared" si="83"/>
        <v>0</v>
      </c>
      <c r="BX57" s="179">
        <f t="shared" si="84"/>
        <v>0</v>
      </c>
      <c r="BY57" s="180">
        <f t="shared" si="85"/>
        <v>0</v>
      </c>
      <c r="BZ57" s="178">
        <f t="shared" si="85"/>
        <v>0</v>
      </c>
      <c r="CA57" s="178">
        <f t="shared" si="85"/>
        <v>0</v>
      </c>
      <c r="CB57" s="178">
        <f t="shared" si="85"/>
        <v>0</v>
      </c>
      <c r="CC57" s="178">
        <f t="shared" ref="CC57:CJ57" si="100">IF(OR($BX57&lt;=0,(CC$9-$A57)&gt;($E57*365)),0,IF($A57&lt;=CC$9,$F57/12))</f>
        <v>0</v>
      </c>
      <c r="CD57" s="178">
        <f t="shared" si="100"/>
        <v>0</v>
      </c>
      <c r="CE57" s="178">
        <f t="shared" si="100"/>
        <v>0</v>
      </c>
      <c r="CF57" s="178">
        <f t="shared" si="100"/>
        <v>0</v>
      </c>
      <c r="CG57" s="178">
        <f t="shared" si="100"/>
        <v>0</v>
      </c>
      <c r="CH57" s="178">
        <f t="shared" si="100"/>
        <v>0</v>
      </c>
      <c r="CI57" s="178">
        <f t="shared" si="100"/>
        <v>0</v>
      </c>
      <c r="CJ57" s="168">
        <f t="shared" si="100"/>
        <v>0</v>
      </c>
      <c r="CK57" s="169">
        <f t="shared" si="86"/>
        <v>0</v>
      </c>
      <c r="CL57" s="179">
        <f t="shared" si="87"/>
        <v>0</v>
      </c>
      <c r="CM57" s="180">
        <f t="shared" si="88"/>
        <v>0</v>
      </c>
      <c r="CN57" s="178">
        <f t="shared" si="88"/>
        <v>0</v>
      </c>
      <c r="CO57" s="178">
        <f t="shared" si="88"/>
        <v>0</v>
      </c>
      <c r="CP57" s="178">
        <f t="shared" si="88"/>
        <v>0</v>
      </c>
      <c r="CQ57" s="178">
        <f t="shared" ref="CQ57:CX57" si="101">IF(OR($CL57&lt;=0,(CQ$9-$A57)&gt;($E57*365)),0,IF($A57&lt;=CQ$9,$F57/12))</f>
        <v>0</v>
      </c>
      <c r="CR57" s="178">
        <f t="shared" si="101"/>
        <v>0</v>
      </c>
      <c r="CS57" s="178">
        <f t="shared" si="101"/>
        <v>0</v>
      </c>
      <c r="CT57" s="178">
        <f t="shared" si="101"/>
        <v>0</v>
      </c>
      <c r="CU57" s="178">
        <f t="shared" si="101"/>
        <v>0</v>
      </c>
      <c r="CV57" s="178">
        <f t="shared" si="101"/>
        <v>0</v>
      </c>
      <c r="CW57" s="178">
        <f t="shared" si="101"/>
        <v>0</v>
      </c>
      <c r="CX57" s="168">
        <f t="shared" si="101"/>
        <v>0</v>
      </c>
      <c r="CY57" s="169">
        <f t="shared" si="89"/>
        <v>0</v>
      </c>
      <c r="CZ57" s="179">
        <f t="shared" si="90"/>
        <v>0</v>
      </c>
      <c r="DA57" s="180">
        <f t="shared" si="91"/>
        <v>0</v>
      </c>
      <c r="DB57" s="178">
        <f t="shared" si="91"/>
        <v>0</v>
      </c>
      <c r="DC57" s="178">
        <f t="shared" si="91"/>
        <v>0</v>
      </c>
      <c r="DD57" s="178">
        <f t="shared" si="91"/>
        <v>0</v>
      </c>
      <c r="DE57" s="178">
        <f t="shared" ref="DE57:DL57" si="102">IF(OR($CZ57&lt;=0,(DE$9-$A57)&gt;($E57*365)),0,IF($A57&lt;=DE$9,$F57/12))</f>
        <v>0</v>
      </c>
      <c r="DF57" s="178">
        <f t="shared" si="102"/>
        <v>0</v>
      </c>
      <c r="DG57" s="178">
        <f t="shared" si="102"/>
        <v>0</v>
      </c>
      <c r="DH57" s="178">
        <f t="shared" si="102"/>
        <v>0</v>
      </c>
      <c r="DI57" s="178">
        <f t="shared" si="102"/>
        <v>0</v>
      </c>
      <c r="DJ57" s="178">
        <f t="shared" si="102"/>
        <v>0</v>
      </c>
      <c r="DK57" s="178">
        <f t="shared" si="102"/>
        <v>0</v>
      </c>
      <c r="DL57" s="168">
        <f t="shared" si="102"/>
        <v>0</v>
      </c>
      <c r="DM57" s="169">
        <f t="shared" si="92"/>
        <v>0</v>
      </c>
      <c r="DN57" s="171">
        <f t="shared" si="93"/>
        <v>0</v>
      </c>
      <c r="DO57" s="180">
        <f t="shared" si="94"/>
        <v>0</v>
      </c>
      <c r="DP57" s="178">
        <f t="shared" si="94"/>
        <v>0</v>
      </c>
      <c r="DQ57" s="178">
        <f t="shared" si="94"/>
        <v>0</v>
      </c>
      <c r="DR57" s="178">
        <f t="shared" si="94"/>
        <v>0</v>
      </c>
      <c r="DS57" s="178">
        <f t="shared" ref="DS57:DZ57" si="103">IF(OR($DN57&lt;=0,(DS$9-$A57)&gt;($E57*365)),0,IF($A57&lt;=DS$9,$F57/12))</f>
        <v>0</v>
      </c>
      <c r="DT57" s="178">
        <f t="shared" si="103"/>
        <v>0</v>
      </c>
      <c r="DU57" s="178">
        <f t="shared" si="103"/>
        <v>0</v>
      </c>
      <c r="DV57" s="178">
        <f t="shared" si="103"/>
        <v>0</v>
      </c>
      <c r="DW57" s="178">
        <f t="shared" si="103"/>
        <v>0</v>
      </c>
      <c r="DX57" s="178">
        <f t="shared" si="103"/>
        <v>0</v>
      </c>
      <c r="DY57" s="178">
        <f t="shared" si="103"/>
        <v>0</v>
      </c>
      <c r="DZ57" s="168">
        <f t="shared" si="103"/>
        <v>0</v>
      </c>
      <c r="EA57" s="169">
        <f t="shared" si="95"/>
        <v>0</v>
      </c>
      <c r="EB57" s="171">
        <f t="shared" si="96"/>
        <v>0</v>
      </c>
    </row>
    <row r="58" spans="1:132" s="177" customFormat="1" ht="15.75">
      <c r="A58" s="163"/>
      <c r="B58" s="181"/>
      <c r="C58" s="165"/>
      <c r="D58" s="182"/>
      <c r="E58" s="167">
        <v>3</v>
      </c>
      <c r="F58" s="168">
        <f t="shared" si="68"/>
        <v>0</v>
      </c>
      <c r="G58" s="169">
        <f t="shared" si="69"/>
        <v>0</v>
      </c>
      <c r="H58" s="178">
        <f t="shared" si="69"/>
        <v>0</v>
      </c>
      <c r="I58" s="178">
        <f t="shared" si="69"/>
        <v>0</v>
      </c>
      <c r="J58" s="178">
        <f t="shared" si="69"/>
        <v>0</v>
      </c>
      <c r="K58" s="178">
        <f t="shared" si="69"/>
        <v>0</v>
      </c>
      <c r="L58" s="178">
        <f t="shared" si="69"/>
        <v>0</v>
      </c>
      <c r="M58" s="178">
        <f t="shared" si="69"/>
        <v>0</v>
      </c>
      <c r="N58" s="178">
        <f t="shared" si="69"/>
        <v>0</v>
      </c>
      <c r="O58" s="178">
        <f t="shared" si="69"/>
        <v>0</v>
      </c>
      <c r="P58" s="178">
        <f t="shared" si="69"/>
        <v>0</v>
      </c>
      <c r="Q58" s="178">
        <f t="shared" si="69"/>
        <v>0</v>
      </c>
      <c r="R58" s="179">
        <f t="shared" si="69"/>
        <v>0</v>
      </c>
      <c r="S58" s="169">
        <f t="shared" si="70"/>
        <v>0</v>
      </c>
      <c r="T58" s="179">
        <f t="shared" si="71"/>
        <v>0</v>
      </c>
      <c r="U58" s="180">
        <f t="shared" ref="U58:AF79" si="104">IF(OR($F58&lt;=0,(U$9-$A58)&gt;(365*$E58)),0,IF($A58&lt;=U$9,$F58/12,0))</f>
        <v>0</v>
      </c>
      <c r="V58" s="178">
        <f t="shared" si="104"/>
        <v>0</v>
      </c>
      <c r="W58" s="178">
        <f t="shared" si="104"/>
        <v>0</v>
      </c>
      <c r="X58" s="178">
        <f t="shared" si="104"/>
        <v>0</v>
      </c>
      <c r="Y58" s="178">
        <f t="shared" si="104"/>
        <v>0</v>
      </c>
      <c r="Z58" s="178">
        <f t="shared" si="104"/>
        <v>0</v>
      </c>
      <c r="AA58" s="178">
        <f t="shared" si="104"/>
        <v>0</v>
      </c>
      <c r="AB58" s="178">
        <f t="shared" si="104"/>
        <v>0</v>
      </c>
      <c r="AC58" s="178">
        <f t="shared" si="104"/>
        <v>0</v>
      </c>
      <c r="AD58" s="178">
        <f t="shared" si="104"/>
        <v>0</v>
      </c>
      <c r="AE58" s="178">
        <f t="shared" si="104"/>
        <v>0</v>
      </c>
      <c r="AF58" s="168">
        <f t="shared" si="104"/>
        <v>0</v>
      </c>
      <c r="AG58" s="169">
        <f t="shared" si="73"/>
        <v>0</v>
      </c>
      <c r="AH58" s="179">
        <f t="shared" si="74"/>
        <v>0</v>
      </c>
      <c r="AI58" s="180">
        <f t="shared" si="75"/>
        <v>0</v>
      </c>
      <c r="AJ58" s="178">
        <f t="shared" si="76"/>
        <v>0</v>
      </c>
      <c r="AK58" s="178">
        <f t="shared" si="76"/>
        <v>0</v>
      </c>
      <c r="AL58" s="178">
        <f t="shared" si="76"/>
        <v>0</v>
      </c>
      <c r="AM58" s="178">
        <f t="shared" si="76"/>
        <v>0</v>
      </c>
      <c r="AN58" s="178">
        <f t="shared" si="76"/>
        <v>0</v>
      </c>
      <c r="AO58" s="178">
        <f t="shared" si="76"/>
        <v>0</v>
      </c>
      <c r="AP58" s="178">
        <f t="shared" si="76"/>
        <v>0</v>
      </c>
      <c r="AQ58" s="178">
        <f t="shared" si="76"/>
        <v>0</v>
      </c>
      <c r="AR58" s="178">
        <f t="shared" si="76"/>
        <v>0</v>
      </c>
      <c r="AS58" s="178">
        <f t="shared" si="76"/>
        <v>0</v>
      </c>
      <c r="AT58" s="168">
        <f t="shared" si="76"/>
        <v>0</v>
      </c>
      <c r="AU58" s="169">
        <f t="shared" si="77"/>
        <v>0</v>
      </c>
      <c r="AV58" s="179">
        <f t="shared" si="78"/>
        <v>0</v>
      </c>
      <c r="AW58" s="180">
        <f t="shared" ref="AW58:BH79" si="105">IF(OR($F58&lt;=0,(AW$9-$A58)&gt;(365*$E58)),0,IF($A58&lt;=AW$9,$F58/12,0))</f>
        <v>0</v>
      </c>
      <c r="AX58" s="178">
        <f t="shared" si="105"/>
        <v>0</v>
      </c>
      <c r="AY58" s="178">
        <f t="shared" si="105"/>
        <v>0</v>
      </c>
      <c r="AZ58" s="178">
        <f t="shared" si="105"/>
        <v>0</v>
      </c>
      <c r="BA58" s="178">
        <f t="shared" si="105"/>
        <v>0</v>
      </c>
      <c r="BB58" s="178">
        <f t="shared" si="105"/>
        <v>0</v>
      </c>
      <c r="BC58" s="178">
        <f t="shared" si="105"/>
        <v>0</v>
      </c>
      <c r="BD58" s="178">
        <f t="shared" si="105"/>
        <v>0</v>
      </c>
      <c r="BE58" s="178">
        <f t="shared" si="105"/>
        <v>0</v>
      </c>
      <c r="BF58" s="178">
        <f t="shared" si="105"/>
        <v>0</v>
      </c>
      <c r="BG58" s="178">
        <f t="shared" si="105"/>
        <v>0</v>
      </c>
      <c r="BH58" s="168">
        <f t="shared" si="105"/>
        <v>0</v>
      </c>
      <c r="BI58" s="169">
        <f t="shared" si="80"/>
        <v>0</v>
      </c>
      <c r="BJ58" s="179">
        <f t="shared" si="81"/>
        <v>0</v>
      </c>
      <c r="BK58" s="180">
        <f t="shared" ref="BK58:BV79" si="106">IF(OR($BJ58&lt;=0,(BK$9-$A58)&gt;($E58*365)),0,IF($A58&lt;=BK$9,$F58/12))</f>
        <v>0</v>
      </c>
      <c r="BL58" s="178">
        <f t="shared" si="106"/>
        <v>0</v>
      </c>
      <c r="BM58" s="178">
        <f t="shared" si="106"/>
        <v>0</v>
      </c>
      <c r="BN58" s="178">
        <f t="shared" si="106"/>
        <v>0</v>
      </c>
      <c r="BO58" s="178">
        <f t="shared" si="106"/>
        <v>0</v>
      </c>
      <c r="BP58" s="178">
        <f t="shared" si="106"/>
        <v>0</v>
      </c>
      <c r="BQ58" s="178">
        <f t="shared" si="106"/>
        <v>0</v>
      </c>
      <c r="BR58" s="178">
        <f t="shared" si="106"/>
        <v>0</v>
      </c>
      <c r="BS58" s="178">
        <f t="shared" si="106"/>
        <v>0</v>
      </c>
      <c r="BT58" s="178">
        <f t="shared" si="106"/>
        <v>0</v>
      </c>
      <c r="BU58" s="178">
        <f t="shared" si="106"/>
        <v>0</v>
      </c>
      <c r="BV58" s="168">
        <f t="shared" si="106"/>
        <v>0</v>
      </c>
      <c r="BW58" s="169">
        <f t="shared" si="83"/>
        <v>0</v>
      </c>
      <c r="BX58" s="179">
        <f t="shared" si="84"/>
        <v>0</v>
      </c>
      <c r="BY58" s="180">
        <f t="shared" ref="BY58:CJ79" si="107">IF(OR($BX58&lt;=0,(BY$9-$A58)&gt;($E58*365)),0,IF($A58&lt;=BY$9,$F58/12))</f>
        <v>0</v>
      </c>
      <c r="BZ58" s="178">
        <f t="shared" si="107"/>
        <v>0</v>
      </c>
      <c r="CA58" s="178">
        <f t="shared" si="107"/>
        <v>0</v>
      </c>
      <c r="CB58" s="178">
        <f t="shared" si="107"/>
        <v>0</v>
      </c>
      <c r="CC58" s="178">
        <f t="shared" si="107"/>
        <v>0</v>
      </c>
      <c r="CD58" s="178">
        <f t="shared" si="107"/>
        <v>0</v>
      </c>
      <c r="CE58" s="178">
        <f t="shared" si="107"/>
        <v>0</v>
      </c>
      <c r="CF58" s="178">
        <f t="shared" si="107"/>
        <v>0</v>
      </c>
      <c r="CG58" s="178">
        <f t="shared" si="107"/>
        <v>0</v>
      </c>
      <c r="CH58" s="178">
        <f t="shared" si="107"/>
        <v>0</v>
      </c>
      <c r="CI58" s="178">
        <f t="shared" si="107"/>
        <v>0</v>
      </c>
      <c r="CJ58" s="168">
        <f t="shared" si="107"/>
        <v>0</v>
      </c>
      <c r="CK58" s="169">
        <f t="shared" si="86"/>
        <v>0</v>
      </c>
      <c r="CL58" s="179">
        <f t="shared" si="87"/>
        <v>0</v>
      </c>
      <c r="CM58" s="180">
        <f t="shared" ref="CM58:CX79" si="108">IF(OR($CL58&lt;=0,(CM$9-$A58)&gt;($E58*365)),0,IF($A58&lt;=CM$9,$F58/12))</f>
        <v>0</v>
      </c>
      <c r="CN58" s="178">
        <f t="shared" si="108"/>
        <v>0</v>
      </c>
      <c r="CO58" s="178">
        <f t="shared" si="108"/>
        <v>0</v>
      </c>
      <c r="CP58" s="178">
        <f t="shared" si="108"/>
        <v>0</v>
      </c>
      <c r="CQ58" s="178">
        <f t="shared" si="108"/>
        <v>0</v>
      </c>
      <c r="CR58" s="178">
        <f t="shared" si="108"/>
        <v>0</v>
      </c>
      <c r="CS58" s="178">
        <f t="shared" si="108"/>
        <v>0</v>
      </c>
      <c r="CT58" s="178">
        <f t="shared" si="108"/>
        <v>0</v>
      </c>
      <c r="CU58" s="178">
        <f t="shared" si="108"/>
        <v>0</v>
      </c>
      <c r="CV58" s="178">
        <f t="shared" si="108"/>
        <v>0</v>
      </c>
      <c r="CW58" s="178">
        <f t="shared" si="108"/>
        <v>0</v>
      </c>
      <c r="CX58" s="168">
        <f t="shared" si="108"/>
        <v>0</v>
      </c>
      <c r="CY58" s="169">
        <f t="shared" si="89"/>
        <v>0</v>
      </c>
      <c r="CZ58" s="179">
        <f t="shared" si="90"/>
        <v>0</v>
      </c>
      <c r="DA58" s="180">
        <f t="shared" ref="DA58:DL79" si="109">IF(OR($CZ58&lt;=0,(DA$9-$A58)&gt;($E58*365)),0,IF($A58&lt;=DA$9,$F58/12))</f>
        <v>0</v>
      </c>
      <c r="DB58" s="178">
        <f t="shared" si="109"/>
        <v>0</v>
      </c>
      <c r="DC58" s="178">
        <f t="shared" si="109"/>
        <v>0</v>
      </c>
      <c r="DD58" s="178">
        <f t="shared" si="109"/>
        <v>0</v>
      </c>
      <c r="DE58" s="178">
        <f t="shared" si="109"/>
        <v>0</v>
      </c>
      <c r="DF58" s="178">
        <f t="shared" si="109"/>
        <v>0</v>
      </c>
      <c r="DG58" s="178">
        <f t="shared" si="109"/>
        <v>0</v>
      </c>
      <c r="DH58" s="178">
        <f t="shared" si="109"/>
        <v>0</v>
      </c>
      <c r="DI58" s="178">
        <f t="shared" si="109"/>
        <v>0</v>
      </c>
      <c r="DJ58" s="178">
        <f t="shared" si="109"/>
        <v>0</v>
      </c>
      <c r="DK58" s="178">
        <f t="shared" si="109"/>
        <v>0</v>
      </c>
      <c r="DL58" s="168">
        <f t="shared" si="109"/>
        <v>0</v>
      </c>
      <c r="DM58" s="169">
        <f t="shared" si="92"/>
        <v>0</v>
      </c>
      <c r="DN58" s="171">
        <f t="shared" si="93"/>
        <v>0</v>
      </c>
      <c r="DO58" s="180">
        <f t="shared" ref="DO58:DZ79" si="110">IF(OR($DN58&lt;=0,(DO$9-$A58)&gt;($E58*365)),0,IF($A58&lt;=DO$9,$F58/12))</f>
        <v>0</v>
      </c>
      <c r="DP58" s="178">
        <f t="shared" si="110"/>
        <v>0</v>
      </c>
      <c r="DQ58" s="178">
        <f t="shared" si="110"/>
        <v>0</v>
      </c>
      <c r="DR58" s="178">
        <f t="shared" si="110"/>
        <v>0</v>
      </c>
      <c r="DS58" s="178">
        <f t="shared" si="110"/>
        <v>0</v>
      </c>
      <c r="DT58" s="178">
        <f t="shared" si="110"/>
        <v>0</v>
      </c>
      <c r="DU58" s="178">
        <f t="shared" si="110"/>
        <v>0</v>
      </c>
      <c r="DV58" s="178">
        <f t="shared" si="110"/>
        <v>0</v>
      </c>
      <c r="DW58" s="178">
        <f t="shared" si="110"/>
        <v>0</v>
      </c>
      <c r="DX58" s="178">
        <f t="shared" si="110"/>
        <v>0</v>
      </c>
      <c r="DY58" s="178">
        <f t="shared" si="110"/>
        <v>0</v>
      </c>
      <c r="DZ58" s="168">
        <f t="shared" si="110"/>
        <v>0</v>
      </c>
      <c r="EA58" s="169">
        <f t="shared" si="95"/>
        <v>0</v>
      </c>
      <c r="EB58" s="171">
        <f t="shared" si="96"/>
        <v>0</v>
      </c>
    </row>
    <row r="59" spans="1:132" s="177" customFormat="1" ht="15.75">
      <c r="A59" s="163"/>
      <c r="B59" s="164"/>
      <c r="C59" s="165"/>
      <c r="D59" s="182"/>
      <c r="E59" s="167">
        <v>3</v>
      </c>
      <c r="F59" s="168">
        <f t="shared" si="68"/>
        <v>0</v>
      </c>
      <c r="G59" s="169">
        <f t="shared" si="69"/>
        <v>0</v>
      </c>
      <c r="H59" s="178">
        <f t="shared" si="69"/>
        <v>0</v>
      </c>
      <c r="I59" s="178">
        <f t="shared" si="69"/>
        <v>0</v>
      </c>
      <c r="J59" s="178">
        <f t="shared" si="69"/>
        <v>0</v>
      </c>
      <c r="K59" s="178">
        <f t="shared" si="69"/>
        <v>0</v>
      </c>
      <c r="L59" s="178">
        <f t="shared" si="69"/>
        <v>0</v>
      </c>
      <c r="M59" s="178">
        <f t="shared" si="69"/>
        <v>0</v>
      </c>
      <c r="N59" s="178">
        <f t="shared" si="69"/>
        <v>0</v>
      </c>
      <c r="O59" s="178">
        <f t="shared" si="69"/>
        <v>0</v>
      </c>
      <c r="P59" s="178">
        <f t="shared" si="69"/>
        <v>0</v>
      </c>
      <c r="Q59" s="178">
        <f t="shared" si="69"/>
        <v>0</v>
      </c>
      <c r="R59" s="179">
        <f t="shared" si="69"/>
        <v>0</v>
      </c>
      <c r="S59" s="169">
        <f t="shared" si="70"/>
        <v>0</v>
      </c>
      <c r="T59" s="179">
        <f t="shared" si="71"/>
        <v>0</v>
      </c>
      <c r="U59" s="180">
        <f t="shared" si="104"/>
        <v>0</v>
      </c>
      <c r="V59" s="178">
        <f t="shared" si="104"/>
        <v>0</v>
      </c>
      <c r="W59" s="178">
        <f t="shared" si="104"/>
        <v>0</v>
      </c>
      <c r="X59" s="178">
        <f t="shared" si="104"/>
        <v>0</v>
      </c>
      <c r="Y59" s="178">
        <f t="shared" si="104"/>
        <v>0</v>
      </c>
      <c r="Z59" s="178">
        <f t="shared" si="104"/>
        <v>0</v>
      </c>
      <c r="AA59" s="178">
        <f t="shared" si="104"/>
        <v>0</v>
      </c>
      <c r="AB59" s="178">
        <f t="shared" si="104"/>
        <v>0</v>
      </c>
      <c r="AC59" s="178">
        <f t="shared" si="104"/>
        <v>0</v>
      </c>
      <c r="AD59" s="178">
        <f t="shared" si="104"/>
        <v>0</v>
      </c>
      <c r="AE59" s="178">
        <f t="shared" si="104"/>
        <v>0</v>
      </c>
      <c r="AF59" s="168">
        <f t="shared" si="104"/>
        <v>0</v>
      </c>
      <c r="AG59" s="169">
        <f t="shared" si="73"/>
        <v>0</v>
      </c>
      <c r="AH59" s="179">
        <f t="shared" si="74"/>
        <v>0</v>
      </c>
      <c r="AI59" s="180">
        <f t="shared" si="75"/>
        <v>0</v>
      </c>
      <c r="AJ59" s="178">
        <f t="shared" si="76"/>
        <v>0</v>
      </c>
      <c r="AK59" s="178">
        <f t="shared" si="76"/>
        <v>0</v>
      </c>
      <c r="AL59" s="178">
        <f t="shared" si="76"/>
        <v>0</v>
      </c>
      <c r="AM59" s="178">
        <f t="shared" si="76"/>
        <v>0</v>
      </c>
      <c r="AN59" s="178">
        <f t="shared" ref="AN59:AT59" si="111">IF(OR($F59&lt;=0,(AN$9-$A59)&gt;(365*$E59)),0,IF($A59&lt;=AN$9,$F59/12,0))</f>
        <v>0</v>
      </c>
      <c r="AO59" s="178">
        <f t="shared" si="111"/>
        <v>0</v>
      </c>
      <c r="AP59" s="178">
        <f t="shared" si="111"/>
        <v>0</v>
      </c>
      <c r="AQ59" s="178">
        <f t="shared" si="111"/>
        <v>0</v>
      </c>
      <c r="AR59" s="178">
        <f t="shared" si="111"/>
        <v>0</v>
      </c>
      <c r="AS59" s="178">
        <f t="shared" si="111"/>
        <v>0</v>
      </c>
      <c r="AT59" s="168">
        <f t="shared" si="111"/>
        <v>0</v>
      </c>
      <c r="AU59" s="169">
        <f t="shared" si="77"/>
        <v>0</v>
      </c>
      <c r="AV59" s="179">
        <f t="shared" si="78"/>
        <v>0</v>
      </c>
      <c r="AW59" s="180">
        <f t="shared" si="105"/>
        <v>0</v>
      </c>
      <c r="AX59" s="178">
        <f t="shared" si="105"/>
        <v>0</v>
      </c>
      <c r="AY59" s="178">
        <f t="shared" si="105"/>
        <v>0</v>
      </c>
      <c r="AZ59" s="178">
        <f t="shared" si="105"/>
        <v>0</v>
      </c>
      <c r="BA59" s="178">
        <f t="shared" si="105"/>
        <v>0</v>
      </c>
      <c r="BB59" s="178">
        <f t="shared" si="105"/>
        <v>0</v>
      </c>
      <c r="BC59" s="178">
        <f t="shared" si="105"/>
        <v>0</v>
      </c>
      <c r="BD59" s="178">
        <f t="shared" si="105"/>
        <v>0</v>
      </c>
      <c r="BE59" s="178">
        <f t="shared" si="105"/>
        <v>0</v>
      </c>
      <c r="BF59" s="178">
        <f t="shared" si="105"/>
        <v>0</v>
      </c>
      <c r="BG59" s="178">
        <f t="shared" si="105"/>
        <v>0</v>
      </c>
      <c r="BH59" s="168">
        <f t="shared" si="105"/>
        <v>0</v>
      </c>
      <c r="BI59" s="169">
        <f t="shared" si="80"/>
        <v>0</v>
      </c>
      <c r="BJ59" s="179">
        <f t="shared" si="81"/>
        <v>0</v>
      </c>
      <c r="BK59" s="180">
        <f t="shared" si="106"/>
        <v>0</v>
      </c>
      <c r="BL59" s="178">
        <f t="shared" si="106"/>
        <v>0</v>
      </c>
      <c r="BM59" s="178">
        <f t="shared" si="106"/>
        <v>0</v>
      </c>
      <c r="BN59" s="178">
        <f t="shared" si="106"/>
        <v>0</v>
      </c>
      <c r="BO59" s="178">
        <f t="shared" si="106"/>
        <v>0</v>
      </c>
      <c r="BP59" s="178">
        <f t="shared" si="106"/>
        <v>0</v>
      </c>
      <c r="BQ59" s="178">
        <f t="shared" si="106"/>
        <v>0</v>
      </c>
      <c r="BR59" s="178">
        <f t="shared" si="106"/>
        <v>0</v>
      </c>
      <c r="BS59" s="178">
        <f t="shared" si="106"/>
        <v>0</v>
      </c>
      <c r="BT59" s="178">
        <f t="shared" si="106"/>
        <v>0</v>
      </c>
      <c r="BU59" s="178">
        <f t="shared" si="106"/>
        <v>0</v>
      </c>
      <c r="BV59" s="168">
        <f t="shared" si="106"/>
        <v>0</v>
      </c>
      <c r="BW59" s="169">
        <f t="shared" si="83"/>
        <v>0</v>
      </c>
      <c r="BX59" s="179">
        <f t="shared" si="84"/>
        <v>0</v>
      </c>
      <c r="BY59" s="180">
        <f t="shared" si="107"/>
        <v>0</v>
      </c>
      <c r="BZ59" s="178">
        <f t="shared" si="107"/>
        <v>0</v>
      </c>
      <c r="CA59" s="178">
        <f t="shared" si="107"/>
        <v>0</v>
      </c>
      <c r="CB59" s="178">
        <f t="shared" si="107"/>
        <v>0</v>
      </c>
      <c r="CC59" s="178">
        <f t="shared" si="107"/>
        <v>0</v>
      </c>
      <c r="CD59" s="178">
        <f t="shared" si="107"/>
        <v>0</v>
      </c>
      <c r="CE59" s="178">
        <f t="shared" si="107"/>
        <v>0</v>
      </c>
      <c r="CF59" s="178">
        <f t="shared" si="107"/>
        <v>0</v>
      </c>
      <c r="CG59" s="178">
        <f t="shared" si="107"/>
        <v>0</v>
      </c>
      <c r="CH59" s="178">
        <f t="shared" si="107"/>
        <v>0</v>
      </c>
      <c r="CI59" s="178">
        <f t="shared" si="107"/>
        <v>0</v>
      </c>
      <c r="CJ59" s="168">
        <f t="shared" si="107"/>
        <v>0</v>
      </c>
      <c r="CK59" s="169">
        <f t="shared" si="86"/>
        <v>0</v>
      </c>
      <c r="CL59" s="179">
        <f t="shared" si="87"/>
        <v>0</v>
      </c>
      <c r="CM59" s="180">
        <f t="shared" si="108"/>
        <v>0</v>
      </c>
      <c r="CN59" s="178">
        <f t="shared" si="108"/>
        <v>0</v>
      </c>
      <c r="CO59" s="178">
        <f t="shared" si="108"/>
        <v>0</v>
      </c>
      <c r="CP59" s="178">
        <f t="shared" si="108"/>
        <v>0</v>
      </c>
      <c r="CQ59" s="178">
        <f t="shared" si="108"/>
        <v>0</v>
      </c>
      <c r="CR59" s="178">
        <f t="shared" si="108"/>
        <v>0</v>
      </c>
      <c r="CS59" s="178">
        <f t="shared" si="108"/>
        <v>0</v>
      </c>
      <c r="CT59" s="178">
        <f t="shared" si="108"/>
        <v>0</v>
      </c>
      <c r="CU59" s="178">
        <f t="shared" si="108"/>
        <v>0</v>
      </c>
      <c r="CV59" s="178">
        <f t="shared" si="108"/>
        <v>0</v>
      </c>
      <c r="CW59" s="178">
        <f t="shared" si="108"/>
        <v>0</v>
      </c>
      <c r="CX59" s="168">
        <f t="shared" si="108"/>
        <v>0</v>
      </c>
      <c r="CY59" s="169">
        <f t="shared" si="89"/>
        <v>0</v>
      </c>
      <c r="CZ59" s="179">
        <f t="shared" si="90"/>
        <v>0</v>
      </c>
      <c r="DA59" s="180">
        <f t="shared" si="109"/>
        <v>0</v>
      </c>
      <c r="DB59" s="178">
        <f t="shared" si="109"/>
        <v>0</v>
      </c>
      <c r="DC59" s="178">
        <f t="shared" si="109"/>
        <v>0</v>
      </c>
      <c r="DD59" s="178">
        <f t="shared" si="109"/>
        <v>0</v>
      </c>
      <c r="DE59" s="178">
        <f t="shared" si="109"/>
        <v>0</v>
      </c>
      <c r="DF59" s="178">
        <f t="shared" si="109"/>
        <v>0</v>
      </c>
      <c r="DG59" s="178">
        <f t="shared" si="109"/>
        <v>0</v>
      </c>
      <c r="DH59" s="178">
        <f t="shared" si="109"/>
        <v>0</v>
      </c>
      <c r="DI59" s="178">
        <f t="shared" si="109"/>
        <v>0</v>
      </c>
      <c r="DJ59" s="178">
        <f t="shared" si="109"/>
        <v>0</v>
      </c>
      <c r="DK59" s="178">
        <f t="shared" si="109"/>
        <v>0</v>
      </c>
      <c r="DL59" s="168">
        <f t="shared" si="109"/>
        <v>0</v>
      </c>
      <c r="DM59" s="169">
        <f t="shared" si="92"/>
        <v>0</v>
      </c>
      <c r="DN59" s="171">
        <f t="shared" si="93"/>
        <v>0</v>
      </c>
      <c r="DO59" s="180">
        <f t="shared" si="110"/>
        <v>0</v>
      </c>
      <c r="DP59" s="178">
        <f t="shared" si="110"/>
        <v>0</v>
      </c>
      <c r="DQ59" s="178">
        <f t="shared" si="110"/>
        <v>0</v>
      </c>
      <c r="DR59" s="178">
        <f t="shared" si="110"/>
        <v>0</v>
      </c>
      <c r="DS59" s="178">
        <f t="shared" si="110"/>
        <v>0</v>
      </c>
      <c r="DT59" s="178">
        <f t="shared" si="110"/>
        <v>0</v>
      </c>
      <c r="DU59" s="178">
        <f t="shared" si="110"/>
        <v>0</v>
      </c>
      <c r="DV59" s="178">
        <f t="shared" si="110"/>
        <v>0</v>
      </c>
      <c r="DW59" s="178">
        <f t="shared" si="110"/>
        <v>0</v>
      </c>
      <c r="DX59" s="178">
        <f t="shared" si="110"/>
        <v>0</v>
      </c>
      <c r="DY59" s="178">
        <f t="shared" si="110"/>
        <v>0</v>
      </c>
      <c r="DZ59" s="168">
        <f t="shared" si="110"/>
        <v>0</v>
      </c>
      <c r="EA59" s="169">
        <f t="shared" si="95"/>
        <v>0</v>
      </c>
      <c r="EB59" s="171">
        <f t="shared" si="96"/>
        <v>0</v>
      </c>
    </row>
    <row r="60" spans="1:132" s="177" customFormat="1" ht="15.75">
      <c r="A60" s="163"/>
      <c r="B60" s="164"/>
      <c r="C60" s="165"/>
      <c r="D60" s="182"/>
      <c r="E60" s="167">
        <v>3</v>
      </c>
      <c r="F60" s="168">
        <f t="shared" si="68"/>
        <v>0</v>
      </c>
      <c r="G60" s="169">
        <f t="shared" si="69"/>
        <v>0</v>
      </c>
      <c r="H60" s="178">
        <f t="shared" si="69"/>
        <v>0</v>
      </c>
      <c r="I60" s="178">
        <f t="shared" si="69"/>
        <v>0</v>
      </c>
      <c r="J60" s="178">
        <f t="shared" si="69"/>
        <v>0</v>
      </c>
      <c r="K60" s="178">
        <f t="shared" ref="K60:R60" si="112">IF(OR($F60&lt;=0,(K$9-$A60)&gt;(365*$E60)),0,IF($A60&lt;=K$9,$F60/12,0))</f>
        <v>0</v>
      </c>
      <c r="L60" s="178">
        <f t="shared" si="112"/>
        <v>0</v>
      </c>
      <c r="M60" s="178">
        <f t="shared" si="112"/>
        <v>0</v>
      </c>
      <c r="N60" s="178">
        <f t="shared" si="112"/>
        <v>0</v>
      </c>
      <c r="O60" s="178">
        <f t="shared" si="112"/>
        <v>0</v>
      </c>
      <c r="P60" s="178">
        <f t="shared" si="112"/>
        <v>0</v>
      </c>
      <c r="Q60" s="178">
        <f t="shared" si="112"/>
        <v>0</v>
      </c>
      <c r="R60" s="179">
        <f t="shared" si="112"/>
        <v>0</v>
      </c>
      <c r="S60" s="169">
        <f t="shared" si="70"/>
        <v>0</v>
      </c>
      <c r="T60" s="179">
        <f t="shared" si="71"/>
        <v>0</v>
      </c>
      <c r="U60" s="180">
        <f t="shared" si="104"/>
        <v>0</v>
      </c>
      <c r="V60" s="178">
        <f t="shared" si="104"/>
        <v>0</v>
      </c>
      <c r="W60" s="178">
        <f t="shared" si="104"/>
        <v>0</v>
      </c>
      <c r="X60" s="178">
        <f t="shared" si="104"/>
        <v>0</v>
      </c>
      <c r="Y60" s="178">
        <f t="shared" si="104"/>
        <v>0</v>
      </c>
      <c r="Z60" s="178">
        <f t="shared" si="104"/>
        <v>0</v>
      </c>
      <c r="AA60" s="178">
        <f t="shared" si="104"/>
        <v>0</v>
      </c>
      <c r="AB60" s="178">
        <f t="shared" si="104"/>
        <v>0</v>
      </c>
      <c r="AC60" s="178">
        <f t="shared" si="104"/>
        <v>0</v>
      </c>
      <c r="AD60" s="178">
        <f t="shared" si="104"/>
        <v>0</v>
      </c>
      <c r="AE60" s="178">
        <f t="shared" si="104"/>
        <v>0</v>
      </c>
      <c r="AF60" s="168">
        <f t="shared" si="104"/>
        <v>0</v>
      </c>
      <c r="AG60" s="169">
        <f t="shared" si="73"/>
        <v>0</v>
      </c>
      <c r="AH60" s="179">
        <f t="shared" si="74"/>
        <v>0</v>
      </c>
      <c r="AI60" s="180">
        <f t="shared" si="75"/>
        <v>0</v>
      </c>
      <c r="AJ60" s="178">
        <f t="shared" si="75"/>
        <v>0</v>
      </c>
      <c r="AK60" s="178">
        <f t="shared" si="75"/>
        <v>0</v>
      </c>
      <c r="AL60" s="178">
        <f t="shared" si="75"/>
        <v>0</v>
      </c>
      <c r="AM60" s="178">
        <f t="shared" si="75"/>
        <v>0</v>
      </c>
      <c r="AN60" s="178">
        <f t="shared" si="75"/>
        <v>0</v>
      </c>
      <c r="AO60" s="178">
        <f t="shared" si="75"/>
        <v>0</v>
      </c>
      <c r="AP60" s="178">
        <f t="shared" si="75"/>
        <v>0</v>
      </c>
      <c r="AQ60" s="178">
        <f t="shared" si="75"/>
        <v>0</v>
      </c>
      <c r="AR60" s="178">
        <f t="shared" si="75"/>
        <v>0</v>
      </c>
      <c r="AS60" s="178">
        <f t="shared" si="75"/>
        <v>0</v>
      </c>
      <c r="AT60" s="168">
        <f t="shared" si="75"/>
        <v>0</v>
      </c>
      <c r="AU60" s="169">
        <f t="shared" si="77"/>
        <v>0</v>
      </c>
      <c r="AV60" s="179">
        <f t="shared" si="78"/>
        <v>0</v>
      </c>
      <c r="AW60" s="180">
        <f t="shared" si="105"/>
        <v>0</v>
      </c>
      <c r="AX60" s="178">
        <f t="shared" si="105"/>
        <v>0</v>
      </c>
      <c r="AY60" s="178">
        <f t="shared" si="105"/>
        <v>0</v>
      </c>
      <c r="AZ60" s="178">
        <f t="shared" si="105"/>
        <v>0</v>
      </c>
      <c r="BA60" s="178">
        <f t="shared" si="105"/>
        <v>0</v>
      </c>
      <c r="BB60" s="178">
        <f t="shared" si="105"/>
        <v>0</v>
      </c>
      <c r="BC60" s="178">
        <f t="shared" si="105"/>
        <v>0</v>
      </c>
      <c r="BD60" s="178">
        <f t="shared" si="105"/>
        <v>0</v>
      </c>
      <c r="BE60" s="178">
        <f t="shared" si="105"/>
        <v>0</v>
      </c>
      <c r="BF60" s="178">
        <f t="shared" si="105"/>
        <v>0</v>
      </c>
      <c r="BG60" s="178">
        <f t="shared" si="105"/>
        <v>0</v>
      </c>
      <c r="BH60" s="168">
        <f t="shared" si="105"/>
        <v>0</v>
      </c>
      <c r="BI60" s="169">
        <f t="shared" si="80"/>
        <v>0</v>
      </c>
      <c r="BJ60" s="179">
        <f t="shared" si="81"/>
        <v>0</v>
      </c>
      <c r="BK60" s="180">
        <f t="shared" si="106"/>
        <v>0</v>
      </c>
      <c r="BL60" s="178">
        <f t="shared" si="106"/>
        <v>0</v>
      </c>
      <c r="BM60" s="178">
        <f t="shared" si="106"/>
        <v>0</v>
      </c>
      <c r="BN60" s="178">
        <f t="shared" si="106"/>
        <v>0</v>
      </c>
      <c r="BO60" s="178">
        <f t="shared" si="106"/>
        <v>0</v>
      </c>
      <c r="BP60" s="178">
        <f t="shared" si="106"/>
        <v>0</v>
      </c>
      <c r="BQ60" s="178">
        <f t="shared" si="106"/>
        <v>0</v>
      </c>
      <c r="BR60" s="178">
        <f t="shared" si="106"/>
        <v>0</v>
      </c>
      <c r="BS60" s="178">
        <f t="shared" si="106"/>
        <v>0</v>
      </c>
      <c r="BT60" s="178">
        <f t="shared" si="106"/>
        <v>0</v>
      </c>
      <c r="BU60" s="178">
        <f t="shared" si="106"/>
        <v>0</v>
      </c>
      <c r="BV60" s="168">
        <f t="shared" si="106"/>
        <v>0</v>
      </c>
      <c r="BW60" s="169">
        <f t="shared" si="83"/>
        <v>0</v>
      </c>
      <c r="BX60" s="179">
        <f t="shared" si="84"/>
        <v>0</v>
      </c>
      <c r="BY60" s="180">
        <f t="shared" si="107"/>
        <v>0</v>
      </c>
      <c r="BZ60" s="178">
        <f t="shared" si="107"/>
        <v>0</v>
      </c>
      <c r="CA60" s="178">
        <f t="shared" si="107"/>
        <v>0</v>
      </c>
      <c r="CB60" s="178">
        <f t="shared" si="107"/>
        <v>0</v>
      </c>
      <c r="CC60" s="178">
        <f t="shared" si="107"/>
        <v>0</v>
      </c>
      <c r="CD60" s="178">
        <f t="shared" si="107"/>
        <v>0</v>
      </c>
      <c r="CE60" s="178">
        <f t="shared" si="107"/>
        <v>0</v>
      </c>
      <c r="CF60" s="178">
        <f t="shared" si="107"/>
        <v>0</v>
      </c>
      <c r="CG60" s="178">
        <f t="shared" si="107"/>
        <v>0</v>
      </c>
      <c r="CH60" s="178">
        <f t="shared" si="107"/>
        <v>0</v>
      </c>
      <c r="CI60" s="178">
        <f t="shared" si="107"/>
        <v>0</v>
      </c>
      <c r="CJ60" s="168">
        <f t="shared" si="107"/>
        <v>0</v>
      </c>
      <c r="CK60" s="169">
        <f t="shared" si="86"/>
        <v>0</v>
      </c>
      <c r="CL60" s="179">
        <f t="shared" si="87"/>
        <v>0</v>
      </c>
      <c r="CM60" s="180">
        <f t="shared" si="108"/>
        <v>0</v>
      </c>
      <c r="CN60" s="178">
        <f t="shared" si="108"/>
        <v>0</v>
      </c>
      <c r="CO60" s="178">
        <f t="shared" si="108"/>
        <v>0</v>
      </c>
      <c r="CP60" s="178">
        <f t="shared" si="108"/>
        <v>0</v>
      </c>
      <c r="CQ60" s="178">
        <f t="shared" si="108"/>
        <v>0</v>
      </c>
      <c r="CR60" s="178">
        <f t="shared" si="108"/>
        <v>0</v>
      </c>
      <c r="CS60" s="178">
        <f t="shared" si="108"/>
        <v>0</v>
      </c>
      <c r="CT60" s="178">
        <f t="shared" si="108"/>
        <v>0</v>
      </c>
      <c r="CU60" s="178">
        <f t="shared" si="108"/>
        <v>0</v>
      </c>
      <c r="CV60" s="178">
        <f t="shared" si="108"/>
        <v>0</v>
      </c>
      <c r="CW60" s="178">
        <f t="shared" si="108"/>
        <v>0</v>
      </c>
      <c r="CX60" s="168">
        <f t="shared" si="108"/>
        <v>0</v>
      </c>
      <c r="CY60" s="169">
        <f t="shared" si="89"/>
        <v>0</v>
      </c>
      <c r="CZ60" s="179">
        <f t="shared" si="90"/>
        <v>0</v>
      </c>
      <c r="DA60" s="180">
        <f t="shared" si="109"/>
        <v>0</v>
      </c>
      <c r="DB60" s="178">
        <f t="shared" si="109"/>
        <v>0</v>
      </c>
      <c r="DC60" s="178">
        <f t="shared" si="109"/>
        <v>0</v>
      </c>
      <c r="DD60" s="178">
        <f t="shared" si="109"/>
        <v>0</v>
      </c>
      <c r="DE60" s="178">
        <f t="shared" si="109"/>
        <v>0</v>
      </c>
      <c r="DF60" s="178">
        <f t="shared" si="109"/>
        <v>0</v>
      </c>
      <c r="DG60" s="178">
        <f t="shared" si="109"/>
        <v>0</v>
      </c>
      <c r="DH60" s="178">
        <f t="shared" si="109"/>
        <v>0</v>
      </c>
      <c r="DI60" s="178">
        <f t="shared" si="109"/>
        <v>0</v>
      </c>
      <c r="DJ60" s="178">
        <f t="shared" si="109"/>
        <v>0</v>
      </c>
      <c r="DK60" s="178">
        <f t="shared" si="109"/>
        <v>0</v>
      </c>
      <c r="DL60" s="168">
        <f t="shared" si="109"/>
        <v>0</v>
      </c>
      <c r="DM60" s="169">
        <f t="shared" si="92"/>
        <v>0</v>
      </c>
      <c r="DN60" s="171">
        <f t="shared" si="93"/>
        <v>0</v>
      </c>
      <c r="DO60" s="180">
        <f t="shared" si="110"/>
        <v>0</v>
      </c>
      <c r="DP60" s="178">
        <f t="shared" si="110"/>
        <v>0</v>
      </c>
      <c r="DQ60" s="178">
        <f t="shared" si="110"/>
        <v>0</v>
      </c>
      <c r="DR60" s="178">
        <f t="shared" si="110"/>
        <v>0</v>
      </c>
      <c r="DS60" s="178">
        <f t="shared" si="110"/>
        <v>0</v>
      </c>
      <c r="DT60" s="178">
        <f t="shared" si="110"/>
        <v>0</v>
      </c>
      <c r="DU60" s="178">
        <f t="shared" si="110"/>
        <v>0</v>
      </c>
      <c r="DV60" s="178">
        <f t="shared" si="110"/>
        <v>0</v>
      </c>
      <c r="DW60" s="178">
        <f t="shared" si="110"/>
        <v>0</v>
      </c>
      <c r="DX60" s="178">
        <f t="shared" si="110"/>
        <v>0</v>
      </c>
      <c r="DY60" s="178">
        <f t="shared" si="110"/>
        <v>0</v>
      </c>
      <c r="DZ60" s="168">
        <f t="shared" si="110"/>
        <v>0</v>
      </c>
      <c r="EA60" s="169">
        <f t="shared" si="95"/>
        <v>0</v>
      </c>
      <c r="EB60" s="171">
        <f t="shared" si="96"/>
        <v>0</v>
      </c>
    </row>
    <row r="61" spans="1:132" s="177" customFormat="1" ht="15.75">
      <c r="A61" s="183"/>
      <c r="B61" s="164"/>
      <c r="C61" s="184"/>
      <c r="D61" s="185"/>
      <c r="E61" s="167">
        <v>3</v>
      </c>
      <c r="F61" s="168">
        <f t="shared" si="68"/>
        <v>0</v>
      </c>
      <c r="G61" s="169">
        <f t="shared" ref="G61:R82" si="113">IF(OR($F61&lt;=0,(G$9-$A61)&gt;(365*$E61)),0,IF($A61&lt;=G$9,$F61/12,0))</f>
        <v>0</v>
      </c>
      <c r="H61" s="178">
        <f t="shared" si="113"/>
        <v>0</v>
      </c>
      <c r="I61" s="178">
        <f t="shared" si="113"/>
        <v>0</v>
      </c>
      <c r="J61" s="178">
        <f t="shared" si="113"/>
        <v>0</v>
      </c>
      <c r="K61" s="178">
        <f t="shared" si="113"/>
        <v>0</v>
      </c>
      <c r="L61" s="178">
        <f t="shared" si="113"/>
        <v>0</v>
      </c>
      <c r="M61" s="178">
        <f t="shared" si="113"/>
        <v>0</v>
      </c>
      <c r="N61" s="178">
        <f t="shared" si="113"/>
        <v>0</v>
      </c>
      <c r="O61" s="178">
        <f t="shared" si="113"/>
        <v>0</v>
      </c>
      <c r="P61" s="178">
        <f t="shared" si="113"/>
        <v>0</v>
      </c>
      <c r="Q61" s="178">
        <f t="shared" si="113"/>
        <v>0</v>
      </c>
      <c r="R61" s="179">
        <f t="shared" si="113"/>
        <v>0</v>
      </c>
      <c r="S61" s="169">
        <f t="shared" si="70"/>
        <v>0</v>
      </c>
      <c r="T61" s="179">
        <f t="shared" si="71"/>
        <v>0</v>
      </c>
      <c r="U61" s="180">
        <f t="shared" si="104"/>
        <v>0</v>
      </c>
      <c r="V61" s="178">
        <f t="shared" si="104"/>
        <v>0</v>
      </c>
      <c r="W61" s="178">
        <f t="shared" si="104"/>
        <v>0</v>
      </c>
      <c r="X61" s="178">
        <f t="shared" si="104"/>
        <v>0</v>
      </c>
      <c r="Y61" s="178">
        <f t="shared" si="104"/>
        <v>0</v>
      </c>
      <c r="Z61" s="178">
        <f t="shared" si="104"/>
        <v>0</v>
      </c>
      <c r="AA61" s="178">
        <f t="shared" si="104"/>
        <v>0</v>
      </c>
      <c r="AB61" s="178">
        <f t="shared" si="104"/>
        <v>0</v>
      </c>
      <c r="AC61" s="178">
        <f t="shared" si="104"/>
        <v>0</v>
      </c>
      <c r="AD61" s="178">
        <f t="shared" si="104"/>
        <v>0</v>
      </c>
      <c r="AE61" s="178">
        <f t="shared" si="104"/>
        <v>0</v>
      </c>
      <c r="AF61" s="168">
        <f t="shared" si="104"/>
        <v>0</v>
      </c>
      <c r="AG61" s="169">
        <f t="shared" si="73"/>
        <v>0</v>
      </c>
      <c r="AH61" s="179">
        <f t="shared" si="74"/>
        <v>0</v>
      </c>
      <c r="AI61" s="180">
        <f t="shared" si="75"/>
        <v>0</v>
      </c>
      <c r="AJ61" s="178">
        <f t="shared" si="75"/>
        <v>0</v>
      </c>
      <c r="AK61" s="178">
        <f t="shared" si="75"/>
        <v>0</v>
      </c>
      <c r="AL61" s="178">
        <f t="shared" si="75"/>
        <v>0</v>
      </c>
      <c r="AM61" s="178">
        <f t="shared" si="75"/>
        <v>0</v>
      </c>
      <c r="AN61" s="178">
        <f t="shared" si="75"/>
        <v>0</v>
      </c>
      <c r="AO61" s="178">
        <f t="shared" si="75"/>
        <v>0</v>
      </c>
      <c r="AP61" s="178">
        <f t="shared" si="75"/>
        <v>0</v>
      </c>
      <c r="AQ61" s="178">
        <f t="shared" si="75"/>
        <v>0</v>
      </c>
      <c r="AR61" s="178">
        <f t="shared" si="75"/>
        <v>0</v>
      </c>
      <c r="AS61" s="178">
        <f t="shared" si="75"/>
        <v>0</v>
      </c>
      <c r="AT61" s="168">
        <f t="shared" si="75"/>
        <v>0</v>
      </c>
      <c r="AU61" s="169">
        <f t="shared" si="77"/>
        <v>0</v>
      </c>
      <c r="AV61" s="179">
        <f t="shared" si="78"/>
        <v>0</v>
      </c>
      <c r="AW61" s="180">
        <f t="shared" si="105"/>
        <v>0</v>
      </c>
      <c r="AX61" s="178">
        <f t="shared" si="105"/>
        <v>0</v>
      </c>
      <c r="AY61" s="178">
        <f t="shared" si="105"/>
        <v>0</v>
      </c>
      <c r="AZ61" s="178">
        <f t="shared" si="105"/>
        <v>0</v>
      </c>
      <c r="BA61" s="178">
        <f t="shared" si="105"/>
        <v>0</v>
      </c>
      <c r="BB61" s="178">
        <f t="shared" si="105"/>
        <v>0</v>
      </c>
      <c r="BC61" s="178">
        <f t="shared" si="105"/>
        <v>0</v>
      </c>
      <c r="BD61" s="178">
        <f t="shared" si="105"/>
        <v>0</v>
      </c>
      <c r="BE61" s="178">
        <f t="shared" si="105"/>
        <v>0</v>
      </c>
      <c r="BF61" s="178">
        <f t="shared" si="105"/>
        <v>0</v>
      </c>
      <c r="BG61" s="178">
        <f t="shared" si="105"/>
        <v>0</v>
      </c>
      <c r="BH61" s="168">
        <f t="shared" si="105"/>
        <v>0</v>
      </c>
      <c r="BI61" s="169">
        <f t="shared" si="80"/>
        <v>0</v>
      </c>
      <c r="BJ61" s="179">
        <f t="shared" si="81"/>
        <v>0</v>
      </c>
      <c r="BK61" s="180">
        <f t="shared" si="106"/>
        <v>0</v>
      </c>
      <c r="BL61" s="178">
        <f t="shared" si="106"/>
        <v>0</v>
      </c>
      <c r="BM61" s="178">
        <f t="shared" si="106"/>
        <v>0</v>
      </c>
      <c r="BN61" s="178">
        <f t="shared" si="106"/>
        <v>0</v>
      </c>
      <c r="BO61" s="178">
        <f t="shared" si="106"/>
        <v>0</v>
      </c>
      <c r="BP61" s="178">
        <f t="shared" si="106"/>
        <v>0</v>
      </c>
      <c r="BQ61" s="178">
        <f t="shared" si="106"/>
        <v>0</v>
      </c>
      <c r="BR61" s="178">
        <f t="shared" si="106"/>
        <v>0</v>
      </c>
      <c r="BS61" s="178">
        <f t="shared" si="106"/>
        <v>0</v>
      </c>
      <c r="BT61" s="178">
        <f t="shared" si="106"/>
        <v>0</v>
      </c>
      <c r="BU61" s="178">
        <f t="shared" si="106"/>
        <v>0</v>
      </c>
      <c r="BV61" s="168">
        <f t="shared" si="106"/>
        <v>0</v>
      </c>
      <c r="BW61" s="169">
        <f t="shared" si="83"/>
        <v>0</v>
      </c>
      <c r="BX61" s="179">
        <f t="shared" si="84"/>
        <v>0</v>
      </c>
      <c r="BY61" s="180">
        <f t="shared" si="107"/>
        <v>0</v>
      </c>
      <c r="BZ61" s="178">
        <f t="shared" si="107"/>
        <v>0</v>
      </c>
      <c r="CA61" s="178">
        <f t="shared" si="107"/>
        <v>0</v>
      </c>
      <c r="CB61" s="178">
        <f t="shared" si="107"/>
        <v>0</v>
      </c>
      <c r="CC61" s="178">
        <f t="shared" si="107"/>
        <v>0</v>
      </c>
      <c r="CD61" s="178">
        <f t="shared" si="107"/>
        <v>0</v>
      </c>
      <c r="CE61" s="178">
        <f t="shared" si="107"/>
        <v>0</v>
      </c>
      <c r="CF61" s="178">
        <f t="shared" si="107"/>
        <v>0</v>
      </c>
      <c r="CG61" s="178">
        <f t="shared" si="107"/>
        <v>0</v>
      </c>
      <c r="CH61" s="178">
        <f t="shared" si="107"/>
        <v>0</v>
      </c>
      <c r="CI61" s="178">
        <f t="shared" si="107"/>
        <v>0</v>
      </c>
      <c r="CJ61" s="168">
        <f t="shared" si="107"/>
        <v>0</v>
      </c>
      <c r="CK61" s="169">
        <f t="shared" si="86"/>
        <v>0</v>
      </c>
      <c r="CL61" s="179">
        <f t="shared" si="87"/>
        <v>0</v>
      </c>
      <c r="CM61" s="180">
        <f t="shared" si="108"/>
        <v>0</v>
      </c>
      <c r="CN61" s="178">
        <f t="shared" si="108"/>
        <v>0</v>
      </c>
      <c r="CO61" s="178">
        <f t="shared" si="108"/>
        <v>0</v>
      </c>
      <c r="CP61" s="178">
        <f t="shared" si="108"/>
        <v>0</v>
      </c>
      <c r="CQ61" s="178">
        <f t="shared" si="108"/>
        <v>0</v>
      </c>
      <c r="CR61" s="178">
        <f t="shared" si="108"/>
        <v>0</v>
      </c>
      <c r="CS61" s="178">
        <f t="shared" si="108"/>
        <v>0</v>
      </c>
      <c r="CT61" s="178">
        <f t="shared" si="108"/>
        <v>0</v>
      </c>
      <c r="CU61" s="178">
        <f t="shared" si="108"/>
        <v>0</v>
      </c>
      <c r="CV61" s="178">
        <f t="shared" si="108"/>
        <v>0</v>
      </c>
      <c r="CW61" s="178">
        <f t="shared" si="108"/>
        <v>0</v>
      </c>
      <c r="CX61" s="168">
        <f t="shared" si="108"/>
        <v>0</v>
      </c>
      <c r="CY61" s="169">
        <f t="shared" si="89"/>
        <v>0</v>
      </c>
      <c r="CZ61" s="179">
        <f t="shared" si="90"/>
        <v>0</v>
      </c>
      <c r="DA61" s="180">
        <f t="shared" si="109"/>
        <v>0</v>
      </c>
      <c r="DB61" s="178">
        <f t="shared" si="109"/>
        <v>0</v>
      </c>
      <c r="DC61" s="178">
        <f t="shared" si="109"/>
        <v>0</v>
      </c>
      <c r="DD61" s="178">
        <f t="shared" si="109"/>
        <v>0</v>
      </c>
      <c r="DE61" s="178">
        <f t="shared" si="109"/>
        <v>0</v>
      </c>
      <c r="DF61" s="178">
        <f t="shared" si="109"/>
        <v>0</v>
      </c>
      <c r="DG61" s="178">
        <f t="shared" si="109"/>
        <v>0</v>
      </c>
      <c r="DH61" s="178">
        <f t="shared" si="109"/>
        <v>0</v>
      </c>
      <c r="DI61" s="178">
        <f t="shared" si="109"/>
        <v>0</v>
      </c>
      <c r="DJ61" s="178">
        <f t="shared" si="109"/>
        <v>0</v>
      </c>
      <c r="DK61" s="178">
        <f t="shared" si="109"/>
        <v>0</v>
      </c>
      <c r="DL61" s="168">
        <f t="shared" si="109"/>
        <v>0</v>
      </c>
      <c r="DM61" s="169">
        <f t="shared" si="92"/>
        <v>0</v>
      </c>
      <c r="DN61" s="171">
        <f t="shared" si="93"/>
        <v>0</v>
      </c>
      <c r="DO61" s="180">
        <f t="shared" si="110"/>
        <v>0</v>
      </c>
      <c r="DP61" s="178">
        <f t="shared" si="110"/>
        <v>0</v>
      </c>
      <c r="DQ61" s="178">
        <f t="shared" si="110"/>
        <v>0</v>
      </c>
      <c r="DR61" s="178">
        <f t="shared" si="110"/>
        <v>0</v>
      </c>
      <c r="DS61" s="178">
        <f t="shared" si="110"/>
        <v>0</v>
      </c>
      <c r="DT61" s="178">
        <f t="shared" si="110"/>
        <v>0</v>
      </c>
      <c r="DU61" s="178">
        <f t="shared" si="110"/>
        <v>0</v>
      </c>
      <c r="DV61" s="178">
        <f t="shared" si="110"/>
        <v>0</v>
      </c>
      <c r="DW61" s="178">
        <f t="shared" si="110"/>
        <v>0</v>
      </c>
      <c r="DX61" s="178">
        <f t="shared" si="110"/>
        <v>0</v>
      </c>
      <c r="DY61" s="178">
        <f t="shared" si="110"/>
        <v>0</v>
      </c>
      <c r="DZ61" s="168">
        <f t="shared" si="110"/>
        <v>0</v>
      </c>
      <c r="EA61" s="169">
        <f t="shared" si="95"/>
        <v>0</v>
      </c>
      <c r="EB61" s="171">
        <f t="shared" si="96"/>
        <v>0</v>
      </c>
    </row>
    <row r="62" spans="1:132" s="177" customFormat="1" ht="15.75">
      <c r="A62" s="183"/>
      <c r="B62" s="164"/>
      <c r="C62" s="184"/>
      <c r="D62" s="185"/>
      <c r="E62" s="167">
        <v>3</v>
      </c>
      <c r="F62" s="168">
        <f t="shared" si="68"/>
        <v>0</v>
      </c>
      <c r="G62" s="169">
        <f t="shared" si="113"/>
        <v>0</v>
      </c>
      <c r="H62" s="178">
        <f t="shared" si="113"/>
        <v>0</v>
      </c>
      <c r="I62" s="178">
        <f t="shared" si="113"/>
        <v>0</v>
      </c>
      <c r="J62" s="178">
        <f t="shared" si="113"/>
        <v>0</v>
      </c>
      <c r="K62" s="178">
        <f t="shared" si="113"/>
        <v>0</v>
      </c>
      <c r="L62" s="178">
        <f t="shared" si="113"/>
        <v>0</v>
      </c>
      <c r="M62" s="178">
        <f t="shared" si="113"/>
        <v>0</v>
      </c>
      <c r="N62" s="178">
        <f t="shared" si="113"/>
        <v>0</v>
      </c>
      <c r="O62" s="178">
        <f t="shared" si="113"/>
        <v>0</v>
      </c>
      <c r="P62" s="178">
        <f t="shared" si="113"/>
        <v>0</v>
      </c>
      <c r="Q62" s="178">
        <f t="shared" si="113"/>
        <v>0</v>
      </c>
      <c r="R62" s="179">
        <f t="shared" si="113"/>
        <v>0</v>
      </c>
      <c r="S62" s="169">
        <f t="shared" si="70"/>
        <v>0</v>
      </c>
      <c r="T62" s="179">
        <f t="shared" si="71"/>
        <v>0</v>
      </c>
      <c r="U62" s="180">
        <f t="shared" si="104"/>
        <v>0</v>
      </c>
      <c r="V62" s="178">
        <f t="shared" si="104"/>
        <v>0</v>
      </c>
      <c r="W62" s="178">
        <f t="shared" si="104"/>
        <v>0</v>
      </c>
      <c r="X62" s="178">
        <f t="shared" si="104"/>
        <v>0</v>
      </c>
      <c r="Y62" s="178">
        <f t="shared" si="104"/>
        <v>0</v>
      </c>
      <c r="Z62" s="178">
        <f t="shared" si="104"/>
        <v>0</v>
      </c>
      <c r="AA62" s="178">
        <f t="shared" si="104"/>
        <v>0</v>
      </c>
      <c r="AB62" s="178">
        <f t="shared" si="104"/>
        <v>0</v>
      </c>
      <c r="AC62" s="178">
        <f t="shared" si="104"/>
        <v>0</v>
      </c>
      <c r="AD62" s="178">
        <f t="shared" si="104"/>
        <v>0</v>
      </c>
      <c r="AE62" s="178">
        <f t="shared" si="104"/>
        <v>0</v>
      </c>
      <c r="AF62" s="168">
        <f t="shared" si="104"/>
        <v>0</v>
      </c>
      <c r="AG62" s="169">
        <f t="shared" si="73"/>
        <v>0</v>
      </c>
      <c r="AH62" s="179">
        <f t="shared" si="74"/>
        <v>0</v>
      </c>
      <c r="AI62" s="180">
        <f t="shared" si="75"/>
        <v>0</v>
      </c>
      <c r="AJ62" s="178">
        <f t="shared" si="75"/>
        <v>0</v>
      </c>
      <c r="AK62" s="178">
        <f t="shared" si="75"/>
        <v>0</v>
      </c>
      <c r="AL62" s="178">
        <f t="shared" si="75"/>
        <v>0</v>
      </c>
      <c r="AM62" s="178">
        <f t="shared" si="75"/>
        <v>0</v>
      </c>
      <c r="AN62" s="178">
        <f t="shared" si="75"/>
        <v>0</v>
      </c>
      <c r="AO62" s="178">
        <f t="shared" si="75"/>
        <v>0</v>
      </c>
      <c r="AP62" s="178">
        <f t="shared" si="75"/>
        <v>0</v>
      </c>
      <c r="AQ62" s="178">
        <f t="shared" si="75"/>
        <v>0</v>
      </c>
      <c r="AR62" s="178">
        <f t="shared" si="75"/>
        <v>0</v>
      </c>
      <c r="AS62" s="178">
        <f t="shared" si="75"/>
        <v>0</v>
      </c>
      <c r="AT62" s="168">
        <f t="shared" si="75"/>
        <v>0</v>
      </c>
      <c r="AU62" s="169">
        <f t="shared" si="77"/>
        <v>0</v>
      </c>
      <c r="AV62" s="179">
        <f t="shared" si="78"/>
        <v>0</v>
      </c>
      <c r="AW62" s="180">
        <f t="shared" si="105"/>
        <v>0</v>
      </c>
      <c r="AX62" s="178">
        <f t="shared" si="105"/>
        <v>0</v>
      </c>
      <c r="AY62" s="178">
        <f t="shared" si="105"/>
        <v>0</v>
      </c>
      <c r="AZ62" s="178">
        <f t="shared" si="105"/>
        <v>0</v>
      </c>
      <c r="BA62" s="178">
        <f t="shared" si="105"/>
        <v>0</v>
      </c>
      <c r="BB62" s="178">
        <f t="shared" si="105"/>
        <v>0</v>
      </c>
      <c r="BC62" s="178">
        <f t="shared" si="105"/>
        <v>0</v>
      </c>
      <c r="BD62" s="178">
        <f t="shared" si="105"/>
        <v>0</v>
      </c>
      <c r="BE62" s="178">
        <f t="shared" si="105"/>
        <v>0</v>
      </c>
      <c r="BF62" s="178">
        <f t="shared" si="105"/>
        <v>0</v>
      </c>
      <c r="BG62" s="178">
        <f t="shared" si="105"/>
        <v>0</v>
      </c>
      <c r="BH62" s="168">
        <f t="shared" si="105"/>
        <v>0</v>
      </c>
      <c r="BI62" s="169">
        <f t="shared" si="80"/>
        <v>0</v>
      </c>
      <c r="BJ62" s="179">
        <f t="shared" si="81"/>
        <v>0</v>
      </c>
      <c r="BK62" s="180">
        <f t="shared" si="106"/>
        <v>0</v>
      </c>
      <c r="BL62" s="178">
        <f t="shared" si="106"/>
        <v>0</v>
      </c>
      <c r="BM62" s="178">
        <f t="shared" si="106"/>
        <v>0</v>
      </c>
      <c r="BN62" s="178">
        <f t="shared" si="106"/>
        <v>0</v>
      </c>
      <c r="BO62" s="178">
        <f t="shared" si="106"/>
        <v>0</v>
      </c>
      <c r="BP62" s="178">
        <f t="shared" si="106"/>
        <v>0</v>
      </c>
      <c r="BQ62" s="178">
        <f t="shared" si="106"/>
        <v>0</v>
      </c>
      <c r="BR62" s="178">
        <f t="shared" si="106"/>
        <v>0</v>
      </c>
      <c r="BS62" s="178">
        <f t="shared" si="106"/>
        <v>0</v>
      </c>
      <c r="BT62" s="178">
        <f t="shared" si="106"/>
        <v>0</v>
      </c>
      <c r="BU62" s="178">
        <f t="shared" si="106"/>
        <v>0</v>
      </c>
      <c r="BV62" s="168">
        <f t="shared" si="106"/>
        <v>0</v>
      </c>
      <c r="BW62" s="169">
        <f t="shared" si="83"/>
        <v>0</v>
      </c>
      <c r="BX62" s="179">
        <f t="shared" si="84"/>
        <v>0</v>
      </c>
      <c r="BY62" s="180">
        <f t="shared" si="107"/>
        <v>0</v>
      </c>
      <c r="BZ62" s="178">
        <f t="shared" si="107"/>
        <v>0</v>
      </c>
      <c r="CA62" s="178">
        <f t="shared" si="107"/>
        <v>0</v>
      </c>
      <c r="CB62" s="178">
        <f t="shared" si="107"/>
        <v>0</v>
      </c>
      <c r="CC62" s="178">
        <f t="shared" si="107"/>
        <v>0</v>
      </c>
      <c r="CD62" s="178">
        <f t="shared" si="107"/>
        <v>0</v>
      </c>
      <c r="CE62" s="178">
        <f t="shared" si="107"/>
        <v>0</v>
      </c>
      <c r="CF62" s="178">
        <f t="shared" si="107"/>
        <v>0</v>
      </c>
      <c r="CG62" s="178">
        <f t="shared" si="107"/>
        <v>0</v>
      </c>
      <c r="CH62" s="178">
        <f t="shared" si="107"/>
        <v>0</v>
      </c>
      <c r="CI62" s="178">
        <f t="shared" si="107"/>
        <v>0</v>
      </c>
      <c r="CJ62" s="168">
        <f t="shared" si="107"/>
        <v>0</v>
      </c>
      <c r="CK62" s="169">
        <f t="shared" si="86"/>
        <v>0</v>
      </c>
      <c r="CL62" s="179">
        <f t="shared" si="87"/>
        <v>0</v>
      </c>
      <c r="CM62" s="180">
        <f t="shared" si="108"/>
        <v>0</v>
      </c>
      <c r="CN62" s="178">
        <f t="shared" si="108"/>
        <v>0</v>
      </c>
      <c r="CO62" s="178">
        <f t="shared" si="108"/>
        <v>0</v>
      </c>
      <c r="CP62" s="178">
        <f t="shared" si="108"/>
        <v>0</v>
      </c>
      <c r="CQ62" s="178">
        <f t="shared" si="108"/>
        <v>0</v>
      </c>
      <c r="CR62" s="178">
        <f t="shared" si="108"/>
        <v>0</v>
      </c>
      <c r="CS62" s="178">
        <f t="shared" si="108"/>
        <v>0</v>
      </c>
      <c r="CT62" s="178">
        <f t="shared" si="108"/>
        <v>0</v>
      </c>
      <c r="CU62" s="178">
        <f t="shared" si="108"/>
        <v>0</v>
      </c>
      <c r="CV62" s="178">
        <f t="shared" si="108"/>
        <v>0</v>
      </c>
      <c r="CW62" s="178">
        <f t="shared" si="108"/>
        <v>0</v>
      </c>
      <c r="CX62" s="168">
        <f t="shared" si="108"/>
        <v>0</v>
      </c>
      <c r="CY62" s="169">
        <f t="shared" si="89"/>
        <v>0</v>
      </c>
      <c r="CZ62" s="179">
        <f t="shared" si="90"/>
        <v>0</v>
      </c>
      <c r="DA62" s="180">
        <f t="shared" si="109"/>
        <v>0</v>
      </c>
      <c r="DB62" s="178">
        <f t="shared" si="109"/>
        <v>0</v>
      </c>
      <c r="DC62" s="178">
        <f t="shared" si="109"/>
        <v>0</v>
      </c>
      <c r="DD62" s="178">
        <f t="shared" si="109"/>
        <v>0</v>
      </c>
      <c r="DE62" s="178">
        <f t="shared" si="109"/>
        <v>0</v>
      </c>
      <c r="DF62" s="178">
        <f t="shared" si="109"/>
        <v>0</v>
      </c>
      <c r="DG62" s="178">
        <f t="shared" si="109"/>
        <v>0</v>
      </c>
      <c r="DH62" s="178">
        <f t="shared" si="109"/>
        <v>0</v>
      </c>
      <c r="DI62" s="178">
        <f t="shared" si="109"/>
        <v>0</v>
      </c>
      <c r="DJ62" s="178">
        <f t="shared" si="109"/>
        <v>0</v>
      </c>
      <c r="DK62" s="178">
        <f t="shared" si="109"/>
        <v>0</v>
      </c>
      <c r="DL62" s="168">
        <f t="shared" si="109"/>
        <v>0</v>
      </c>
      <c r="DM62" s="169">
        <f t="shared" si="92"/>
        <v>0</v>
      </c>
      <c r="DN62" s="171">
        <f t="shared" si="93"/>
        <v>0</v>
      </c>
      <c r="DO62" s="180">
        <f t="shared" si="110"/>
        <v>0</v>
      </c>
      <c r="DP62" s="178">
        <f t="shared" si="110"/>
        <v>0</v>
      </c>
      <c r="DQ62" s="178">
        <f t="shared" si="110"/>
        <v>0</v>
      </c>
      <c r="DR62" s="178">
        <f t="shared" si="110"/>
        <v>0</v>
      </c>
      <c r="DS62" s="178">
        <f t="shared" si="110"/>
        <v>0</v>
      </c>
      <c r="DT62" s="178">
        <f t="shared" si="110"/>
        <v>0</v>
      </c>
      <c r="DU62" s="178">
        <f t="shared" si="110"/>
        <v>0</v>
      </c>
      <c r="DV62" s="178">
        <f t="shared" si="110"/>
        <v>0</v>
      </c>
      <c r="DW62" s="178">
        <f t="shared" si="110"/>
        <v>0</v>
      </c>
      <c r="DX62" s="178">
        <f t="shared" si="110"/>
        <v>0</v>
      </c>
      <c r="DY62" s="178">
        <f t="shared" si="110"/>
        <v>0</v>
      </c>
      <c r="DZ62" s="168">
        <f t="shared" si="110"/>
        <v>0</v>
      </c>
      <c r="EA62" s="169">
        <f t="shared" si="95"/>
        <v>0</v>
      </c>
      <c r="EB62" s="171">
        <f t="shared" si="96"/>
        <v>0</v>
      </c>
    </row>
    <row r="63" spans="1:132" s="177" customFormat="1" ht="15.75">
      <c r="A63" s="183"/>
      <c r="B63" s="164"/>
      <c r="C63" s="184"/>
      <c r="D63" s="185"/>
      <c r="E63" s="167">
        <v>3</v>
      </c>
      <c r="F63" s="168">
        <f t="shared" si="68"/>
        <v>0</v>
      </c>
      <c r="G63" s="169">
        <f t="shared" si="113"/>
        <v>0</v>
      </c>
      <c r="H63" s="178">
        <f t="shared" si="113"/>
        <v>0</v>
      </c>
      <c r="I63" s="178">
        <f t="shared" si="113"/>
        <v>0</v>
      </c>
      <c r="J63" s="178">
        <f t="shared" si="113"/>
        <v>0</v>
      </c>
      <c r="K63" s="178">
        <f t="shared" si="113"/>
        <v>0</v>
      </c>
      <c r="L63" s="178">
        <f t="shared" si="113"/>
        <v>0</v>
      </c>
      <c r="M63" s="178">
        <f t="shared" si="113"/>
        <v>0</v>
      </c>
      <c r="N63" s="178">
        <f t="shared" si="113"/>
        <v>0</v>
      </c>
      <c r="O63" s="178">
        <f t="shared" si="113"/>
        <v>0</v>
      </c>
      <c r="P63" s="178">
        <f t="shared" si="113"/>
        <v>0</v>
      </c>
      <c r="Q63" s="178">
        <f t="shared" si="113"/>
        <v>0</v>
      </c>
      <c r="R63" s="179">
        <f t="shared" si="113"/>
        <v>0</v>
      </c>
      <c r="S63" s="169">
        <f t="shared" si="70"/>
        <v>0</v>
      </c>
      <c r="T63" s="179">
        <f t="shared" si="71"/>
        <v>0</v>
      </c>
      <c r="U63" s="180">
        <f t="shared" si="104"/>
        <v>0</v>
      </c>
      <c r="V63" s="178">
        <f t="shared" si="104"/>
        <v>0</v>
      </c>
      <c r="W63" s="178">
        <f t="shared" si="104"/>
        <v>0</v>
      </c>
      <c r="X63" s="178">
        <f t="shared" si="104"/>
        <v>0</v>
      </c>
      <c r="Y63" s="178">
        <f t="shared" si="104"/>
        <v>0</v>
      </c>
      <c r="Z63" s="178">
        <f t="shared" si="104"/>
        <v>0</v>
      </c>
      <c r="AA63" s="178">
        <f t="shared" si="104"/>
        <v>0</v>
      </c>
      <c r="AB63" s="178">
        <f t="shared" si="104"/>
        <v>0</v>
      </c>
      <c r="AC63" s="178">
        <f t="shared" si="104"/>
        <v>0</v>
      </c>
      <c r="AD63" s="178">
        <f t="shared" si="104"/>
        <v>0</v>
      </c>
      <c r="AE63" s="178">
        <f t="shared" si="104"/>
        <v>0</v>
      </c>
      <c r="AF63" s="168">
        <f t="shared" si="104"/>
        <v>0</v>
      </c>
      <c r="AG63" s="169">
        <f t="shared" si="73"/>
        <v>0</v>
      </c>
      <c r="AH63" s="179">
        <f t="shared" si="74"/>
        <v>0</v>
      </c>
      <c r="AI63" s="180">
        <f t="shared" si="75"/>
        <v>0</v>
      </c>
      <c r="AJ63" s="178">
        <f t="shared" si="75"/>
        <v>0</v>
      </c>
      <c r="AK63" s="178">
        <f t="shared" si="75"/>
        <v>0</v>
      </c>
      <c r="AL63" s="178">
        <f t="shared" si="75"/>
        <v>0</v>
      </c>
      <c r="AM63" s="178">
        <f t="shared" si="75"/>
        <v>0</v>
      </c>
      <c r="AN63" s="178">
        <f t="shared" si="75"/>
        <v>0</v>
      </c>
      <c r="AO63" s="178">
        <f t="shared" si="75"/>
        <v>0</v>
      </c>
      <c r="AP63" s="178">
        <f t="shared" si="75"/>
        <v>0</v>
      </c>
      <c r="AQ63" s="178">
        <f t="shared" si="75"/>
        <v>0</v>
      </c>
      <c r="AR63" s="178">
        <f t="shared" si="75"/>
        <v>0</v>
      </c>
      <c r="AS63" s="178">
        <f t="shared" si="75"/>
        <v>0</v>
      </c>
      <c r="AT63" s="168">
        <f t="shared" si="75"/>
        <v>0</v>
      </c>
      <c r="AU63" s="169">
        <f t="shared" si="77"/>
        <v>0</v>
      </c>
      <c r="AV63" s="179">
        <f t="shared" si="78"/>
        <v>0</v>
      </c>
      <c r="AW63" s="180">
        <f t="shared" si="105"/>
        <v>0</v>
      </c>
      <c r="AX63" s="178">
        <f t="shared" si="105"/>
        <v>0</v>
      </c>
      <c r="AY63" s="178">
        <f t="shared" si="105"/>
        <v>0</v>
      </c>
      <c r="AZ63" s="178">
        <f t="shared" si="105"/>
        <v>0</v>
      </c>
      <c r="BA63" s="178">
        <f t="shared" si="105"/>
        <v>0</v>
      </c>
      <c r="BB63" s="178">
        <f t="shared" si="105"/>
        <v>0</v>
      </c>
      <c r="BC63" s="178">
        <f t="shared" si="105"/>
        <v>0</v>
      </c>
      <c r="BD63" s="178">
        <f t="shared" si="105"/>
        <v>0</v>
      </c>
      <c r="BE63" s="178">
        <f t="shared" si="105"/>
        <v>0</v>
      </c>
      <c r="BF63" s="178">
        <f t="shared" si="105"/>
        <v>0</v>
      </c>
      <c r="BG63" s="178">
        <f t="shared" si="105"/>
        <v>0</v>
      </c>
      <c r="BH63" s="168">
        <f t="shared" si="105"/>
        <v>0</v>
      </c>
      <c r="BI63" s="169">
        <f t="shared" si="80"/>
        <v>0</v>
      </c>
      <c r="BJ63" s="179">
        <f t="shared" si="81"/>
        <v>0</v>
      </c>
      <c r="BK63" s="180">
        <f t="shared" si="106"/>
        <v>0</v>
      </c>
      <c r="BL63" s="178">
        <f t="shared" si="106"/>
        <v>0</v>
      </c>
      <c r="BM63" s="178">
        <f t="shared" si="106"/>
        <v>0</v>
      </c>
      <c r="BN63" s="178">
        <f t="shared" si="106"/>
        <v>0</v>
      </c>
      <c r="BO63" s="178">
        <f t="shared" si="106"/>
        <v>0</v>
      </c>
      <c r="BP63" s="178">
        <f t="shared" si="106"/>
        <v>0</v>
      </c>
      <c r="BQ63" s="178">
        <f t="shared" si="106"/>
        <v>0</v>
      </c>
      <c r="BR63" s="178">
        <f t="shared" si="106"/>
        <v>0</v>
      </c>
      <c r="BS63" s="178">
        <f t="shared" si="106"/>
        <v>0</v>
      </c>
      <c r="BT63" s="178">
        <f t="shared" si="106"/>
        <v>0</v>
      </c>
      <c r="BU63" s="178">
        <f t="shared" si="106"/>
        <v>0</v>
      </c>
      <c r="BV63" s="168">
        <f t="shared" si="106"/>
        <v>0</v>
      </c>
      <c r="BW63" s="169">
        <f t="shared" si="83"/>
        <v>0</v>
      </c>
      <c r="BX63" s="179">
        <f t="shared" si="84"/>
        <v>0</v>
      </c>
      <c r="BY63" s="180">
        <f t="shared" si="107"/>
        <v>0</v>
      </c>
      <c r="BZ63" s="178">
        <f t="shared" si="107"/>
        <v>0</v>
      </c>
      <c r="CA63" s="178">
        <f t="shared" si="107"/>
        <v>0</v>
      </c>
      <c r="CB63" s="178">
        <f t="shared" si="107"/>
        <v>0</v>
      </c>
      <c r="CC63" s="178">
        <f t="shared" si="107"/>
        <v>0</v>
      </c>
      <c r="CD63" s="178">
        <f t="shared" si="107"/>
        <v>0</v>
      </c>
      <c r="CE63" s="178">
        <f t="shared" si="107"/>
        <v>0</v>
      </c>
      <c r="CF63" s="178">
        <f t="shared" si="107"/>
        <v>0</v>
      </c>
      <c r="CG63" s="178">
        <f t="shared" si="107"/>
        <v>0</v>
      </c>
      <c r="CH63" s="178">
        <f t="shared" si="107"/>
        <v>0</v>
      </c>
      <c r="CI63" s="178">
        <f t="shared" si="107"/>
        <v>0</v>
      </c>
      <c r="CJ63" s="168">
        <f t="shared" si="107"/>
        <v>0</v>
      </c>
      <c r="CK63" s="169">
        <f t="shared" si="86"/>
        <v>0</v>
      </c>
      <c r="CL63" s="179">
        <f t="shared" si="87"/>
        <v>0</v>
      </c>
      <c r="CM63" s="180">
        <f t="shared" si="108"/>
        <v>0</v>
      </c>
      <c r="CN63" s="178">
        <f t="shared" si="108"/>
        <v>0</v>
      </c>
      <c r="CO63" s="178">
        <f t="shared" si="108"/>
        <v>0</v>
      </c>
      <c r="CP63" s="178">
        <f t="shared" si="108"/>
        <v>0</v>
      </c>
      <c r="CQ63" s="178">
        <f t="shared" si="108"/>
        <v>0</v>
      </c>
      <c r="CR63" s="178">
        <f t="shared" si="108"/>
        <v>0</v>
      </c>
      <c r="CS63" s="178">
        <f t="shared" si="108"/>
        <v>0</v>
      </c>
      <c r="CT63" s="178">
        <f t="shared" si="108"/>
        <v>0</v>
      </c>
      <c r="CU63" s="178">
        <f t="shared" si="108"/>
        <v>0</v>
      </c>
      <c r="CV63" s="178">
        <f t="shared" si="108"/>
        <v>0</v>
      </c>
      <c r="CW63" s="178">
        <f t="shared" si="108"/>
        <v>0</v>
      </c>
      <c r="CX63" s="168">
        <f t="shared" si="108"/>
        <v>0</v>
      </c>
      <c r="CY63" s="169">
        <f t="shared" si="89"/>
        <v>0</v>
      </c>
      <c r="CZ63" s="179">
        <f t="shared" si="90"/>
        <v>0</v>
      </c>
      <c r="DA63" s="180">
        <f t="shared" si="109"/>
        <v>0</v>
      </c>
      <c r="DB63" s="178">
        <f t="shared" si="109"/>
        <v>0</v>
      </c>
      <c r="DC63" s="178">
        <f t="shared" si="109"/>
        <v>0</v>
      </c>
      <c r="DD63" s="178">
        <f t="shared" si="109"/>
        <v>0</v>
      </c>
      <c r="DE63" s="178">
        <f t="shared" si="109"/>
        <v>0</v>
      </c>
      <c r="DF63" s="178">
        <f t="shared" si="109"/>
        <v>0</v>
      </c>
      <c r="DG63" s="178">
        <f t="shared" si="109"/>
        <v>0</v>
      </c>
      <c r="DH63" s="178">
        <f t="shared" si="109"/>
        <v>0</v>
      </c>
      <c r="DI63" s="178">
        <f t="shared" si="109"/>
        <v>0</v>
      </c>
      <c r="DJ63" s="178">
        <f t="shared" si="109"/>
        <v>0</v>
      </c>
      <c r="DK63" s="178">
        <f t="shared" si="109"/>
        <v>0</v>
      </c>
      <c r="DL63" s="168">
        <f t="shared" si="109"/>
        <v>0</v>
      </c>
      <c r="DM63" s="169">
        <f t="shared" si="92"/>
        <v>0</v>
      </c>
      <c r="DN63" s="171">
        <f t="shared" si="93"/>
        <v>0</v>
      </c>
      <c r="DO63" s="180">
        <f t="shared" si="110"/>
        <v>0</v>
      </c>
      <c r="DP63" s="178">
        <f t="shared" si="110"/>
        <v>0</v>
      </c>
      <c r="DQ63" s="178">
        <f t="shared" si="110"/>
        <v>0</v>
      </c>
      <c r="DR63" s="178">
        <f t="shared" si="110"/>
        <v>0</v>
      </c>
      <c r="DS63" s="178">
        <f t="shared" si="110"/>
        <v>0</v>
      </c>
      <c r="DT63" s="178">
        <f t="shared" si="110"/>
        <v>0</v>
      </c>
      <c r="DU63" s="178">
        <f t="shared" si="110"/>
        <v>0</v>
      </c>
      <c r="DV63" s="178">
        <f t="shared" si="110"/>
        <v>0</v>
      </c>
      <c r="DW63" s="178">
        <f t="shared" si="110"/>
        <v>0</v>
      </c>
      <c r="DX63" s="178">
        <f t="shared" si="110"/>
        <v>0</v>
      </c>
      <c r="DY63" s="178">
        <f t="shared" si="110"/>
        <v>0</v>
      </c>
      <c r="DZ63" s="168">
        <f t="shared" si="110"/>
        <v>0</v>
      </c>
      <c r="EA63" s="169">
        <f t="shared" si="95"/>
        <v>0</v>
      </c>
      <c r="EB63" s="171">
        <f t="shared" si="96"/>
        <v>0</v>
      </c>
    </row>
    <row r="64" spans="1:132" s="177" customFormat="1" ht="15.75">
      <c r="A64" s="183"/>
      <c r="B64" s="164"/>
      <c r="C64" s="184"/>
      <c r="D64" s="186"/>
      <c r="E64" s="167">
        <v>3</v>
      </c>
      <c r="F64" s="168">
        <f t="shared" si="68"/>
        <v>0</v>
      </c>
      <c r="G64" s="169">
        <f t="shared" si="113"/>
        <v>0</v>
      </c>
      <c r="H64" s="178">
        <f t="shared" si="113"/>
        <v>0</v>
      </c>
      <c r="I64" s="178">
        <f t="shared" si="113"/>
        <v>0</v>
      </c>
      <c r="J64" s="178">
        <f t="shared" si="113"/>
        <v>0</v>
      </c>
      <c r="K64" s="178">
        <f t="shared" si="113"/>
        <v>0</v>
      </c>
      <c r="L64" s="178">
        <f t="shared" si="113"/>
        <v>0</v>
      </c>
      <c r="M64" s="178">
        <f t="shared" si="113"/>
        <v>0</v>
      </c>
      <c r="N64" s="178">
        <f t="shared" si="113"/>
        <v>0</v>
      </c>
      <c r="O64" s="178">
        <f t="shared" si="113"/>
        <v>0</v>
      </c>
      <c r="P64" s="178">
        <f t="shared" si="113"/>
        <v>0</v>
      </c>
      <c r="Q64" s="178">
        <f t="shared" si="113"/>
        <v>0</v>
      </c>
      <c r="R64" s="179">
        <f t="shared" si="113"/>
        <v>0</v>
      </c>
      <c r="S64" s="169">
        <f t="shared" si="70"/>
        <v>0</v>
      </c>
      <c r="T64" s="179">
        <f t="shared" si="71"/>
        <v>0</v>
      </c>
      <c r="U64" s="180">
        <f t="shared" si="104"/>
        <v>0</v>
      </c>
      <c r="V64" s="178">
        <f t="shared" si="104"/>
        <v>0</v>
      </c>
      <c r="W64" s="178">
        <f t="shared" si="104"/>
        <v>0</v>
      </c>
      <c r="X64" s="178">
        <f t="shared" si="104"/>
        <v>0</v>
      </c>
      <c r="Y64" s="178">
        <f t="shared" si="104"/>
        <v>0</v>
      </c>
      <c r="Z64" s="178">
        <f t="shared" si="104"/>
        <v>0</v>
      </c>
      <c r="AA64" s="178">
        <f t="shared" si="104"/>
        <v>0</v>
      </c>
      <c r="AB64" s="178">
        <f t="shared" si="104"/>
        <v>0</v>
      </c>
      <c r="AC64" s="178">
        <f t="shared" si="104"/>
        <v>0</v>
      </c>
      <c r="AD64" s="178">
        <f t="shared" si="104"/>
        <v>0</v>
      </c>
      <c r="AE64" s="178">
        <f t="shared" si="104"/>
        <v>0</v>
      </c>
      <c r="AF64" s="168">
        <f t="shared" si="104"/>
        <v>0</v>
      </c>
      <c r="AG64" s="169">
        <f t="shared" si="73"/>
        <v>0</v>
      </c>
      <c r="AH64" s="179">
        <f t="shared" si="74"/>
        <v>0</v>
      </c>
      <c r="AI64" s="180">
        <f t="shared" si="75"/>
        <v>0</v>
      </c>
      <c r="AJ64" s="178">
        <f t="shared" si="75"/>
        <v>0</v>
      </c>
      <c r="AK64" s="178">
        <f t="shared" si="75"/>
        <v>0</v>
      </c>
      <c r="AL64" s="178">
        <f t="shared" si="75"/>
        <v>0</v>
      </c>
      <c r="AM64" s="178">
        <f t="shared" si="75"/>
        <v>0</v>
      </c>
      <c r="AN64" s="178">
        <f t="shared" si="75"/>
        <v>0</v>
      </c>
      <c r="AO64" s="178">
        <f t="shared" si="75"/>
        <v>0</v>
      </c>
      <c r="AP64" s="178">
        <f t="shared" si="75"/>
        <v>0</v>
      </c>
      <c r="AQ64" s="178">
        <f t="shared" si="75"/>
        <v>0</v>
      </c>
      <c r="AR64" s="178">
        <f t="shared" si="75"/>
        <v>0</v>
      </c>
      <c r="AS64" s="178">
        <f t="shared" si="75"/>
        <v>0</v>
      </c>
      <c r="AT64" s="168">
        <f t="shared" si="75"/>
        <v>0</v>
      </c>
      <c r="AU64" s="169">
        <f t="shared" si="77"/>
        <v>0</v>
      </c>
      <c r="AV64" s="179">
        <f t="shared" si="78"/>
        <v>0</v>
      </c>
      <c r="AW64" s="180">
        <f t="shared" si="105"/>
        <v>0</v>
      </c>
      <c r="AX64" s="178">
        <f t="shared" si="105"/>
        <v>0</v>
      </c>
      <c r="AY64" s="178">
        <f t="shared" si="105"/>
        <v>0</v>
      </c>
      <c r="AZ64" s="178">
        <f t="shared" si="105"/>
        <v>0</v>
      </c>
      <c r="BA64" s="178">
        <f t="shared" si="105"/>
        <v>0</v>
      </c>
      <c r="BB64" s="178">
        <f t="shared" si="105"/>
        <v>0</v>
      </c>
      <c r="BC64" s="178">
        <f t="shared" si="105"/>
        <v>0</v>
      </c>
      <c r="BD64" s="178">
        <f t="shared" si="105"/>
        <v>0</v>
      </c>
      <c r="BE64" s="178">
        <f t="shared" si="105"/>
        <v>0</v>
      </c>
      <c r="BF64" s="178">
        <f t="shared" si="105"/>
        <v>0</v>
      </c>
      <c r="BG64" s="178">
        <f t="shared" si="105"/>
        <v>0</v>
      </c>
      <c r="BH64" s="168">
        <f t="shared" si="105"/>
        <v>0</v>
      </c>
      <c r="BI64" s="169">
        <f t="shared" si="80"/>
        <v>0</v>
      </c>
      <c r="BJ64" s="179">
        <f t="shared" si="81"/>
        <v>0</v>
      </c>
      <c r="BK64" s="180">
        <f t="shared" si="106"/>
        <v>0</v>
      </c>
      <c r="BL64" s="178">
        <f t="shared" si="106"/>
        <v>0</v>
      </c>
      <c r="BM64" s="178">
        <f t="shared" si="106"/>
        <v>0</v>
      </c>
      <c r="BN64" s="178">
        <f t="shared" si="106"/>
        <v>0</v>
      </c>
      <c r="BO64" s="178">
        <f t="shared" si="106"/>
        <v>0</v>
      </c>
      <c r="BP64" s="178">
        <f t="shared" si="106"/>
        <v>0</v>
      </c>
      <c r="BQ64" s="178">
        <f t="shared" si="106"/>
        <v>0</v>
      </c>
      <c r="BR64" s="178">
        <f t="shared" si="106"/>
        <v>0</v>
      </c>
      <c r="BS64" s="178">
        <f t="shared" si="106"/>
        <v>0</v>
      </c>
      <c r="BT64" s="178">
        <f t="shared" si="106"/>
        <v>0</v>
      </c>
      <c r="BU64" s="178">
        <f t="shared" si="106"/>
        <v>0</v>
      </c>
      <c r="BV64" s="168">
        <f t="shared" si="106"/>
        <v>0</v>
      </c>
      <c r="BW64" s="169">
        <f t="shared" si="83"/>
        <v>0</v>
      </c>
      <c r="BX64" s="179">
        <f t="shared" si="84"/>
        <v>0</v>
      </c>
      <c r="BY64" s="180">
        <f t="shared" si="107"/>
        <v>0</v>
      </c>
      <c r="BZ64" s="178">
        <f t="shared" si="107"/>
        <v>0</v>
      </c>
      <c r="CA64" s="178">
        <f t="shared" si="107"/>
        <v>0</v>
      </c>
      <c r="CB64" s="178">
        <f t="shared" si="107"/>
        <v>0</v>
      </c>
      <c r="CC64" s="178">
        <f t="shared" si="107"/>
        <v>0</v>
      </c>
      <c r="CD64" s="178">
        <f t="shared" si="107"/>
        <v>0</v>
      </c>
      <c r="CE64" s="178">
        <f t="shared" si="107"/>
        <v>0</v>
      </c>
      <c r="CF64" s="178">
        <f t="shared" si="107"/>
        <v>0</v>
      </c>
      <c r="CG64" s="178">
        <f t="shared" si="107"/>
        <v>0</v>
      </c>
      <c r="CH64" s="178">
        <f t="shared" si="107"/>
        <v>0</v>
      </c>
      <c r="CI64" s="178">
        <f t="shared" si="107"/>
        <v>0</v>
      </c>
      <c r="CJ64" s="168">
        <f t="shared" si="107"/>
        <v>0</v>
      </c>
      <c r="CK64" s="169">
        <f t="shared" si="86"/>
        <v>0</v>
      </c>
      <c r="CL64" s="179">
        <f t="shared" si="87"/>
        <v>0</v>
      </c>
      <c r="CM64" s="180">
        <f t="shared" si="108"/>
        <v>0</v>
      </c>
      <c r="CN64" s="178">
        <f t="shared" si="108"/>
        <v>0</v>
      </c>
      <c r="CO64" s="178">
        <f t="shared" si="108"/>
        <v>0</v>
      </c>
      <c r="CP64" s="178">
        <f t="shared" si="108"/>
        <v>0</v>
      </c>
      <c r="CQ64" s="178">
        <f t="shared" si="108"/>
        <v>0</v>
      </c>
      <c r="CR64" s="178">
        <f t="shared" si="108"/>
        <v>0</v>
      </c>
      <c r="CS64" s="178">
        <f t="shared" si="108"/>
        <v>0</v>
      </c>
      <c r="CT64" s="178">
        <f t="shared" si="108"/>
        <v>0</v>
      </c>
      <c r="CU64" s="178">
        <f t="shared" si="108"/>
        <v>0</v>
      </c>
      <c r="CV64" s="178">
        <f t="shared" si="108"/>
        <v>0</v>
      </c>
      <c r="CW64" s="178">
        <f t="shared" si="108"/>
        <v>0</v>
      </c>
      <c r="CX64" s="168">
        <f t="shared" si="108"/>
        <v>0</v>
      </c>
      <c r="CY64" s="169">
        <f t="shared" si="89"/>
        <v>0</v>
      </c>
      <c r="CZ64" s="179">
        <f t="shared" si="90"/>
        <v>0</v>
      </c>
      <c r="DA64" s="180">
        <f t="shared" si="109"/>
        <v>0</v>
      </c>
      <c r="DB64" s="178">
        <f t="shared" si="109"/>
        <v>0</v>
      </c>
      <c r="DC64" s="178">
        <f t="shared" si="109"/>
        <v>0</v>
      </c>
      <c r="DD64" s="178">
        <f t="shared" si="109"/>
        <v>0</v>
      </c>
      <c r="DE64" s="178">
        <f t="shared" si="109"/>
        <v>0</v>
      </c>
      <c r="DF64" s="178">
        <f t="shared" si="109"/>
        <v>0</v>
      </c>
      <c r="DG64" s="178">
        <f t="shared" si="109"/>
        <v>0</v>
      </c>
      <c r="DH64" s="178">
        <f t="shared" si="109"/>
        <v>0</v>
      </c>
      <c r="DI64" s="178">
        <f t="shared" si="109"/>
        <v>0</v>
      </c>
      <c r="DJ64" s="178">
        <f t="shared" si="109"/>
        <v>0</v>
      </c>
      <c r="DK64" s="178">
        <f t="shared" si="109"/>
        <v>0</v>
      </c>
      <c r="DL64" s="168">
        <f t="shared" si="109"/>
        <v>0</v>
      </c>
      <c r="DM64" s="169">
        <f t="shared" si="92"/>
        <v>0</v>
      </c>
      <c r="DN64" s="171">
        <f t="shared" si="93"/>
        <v>0</v>
      </c>
      <c r="DO64" s="180">
        <f t="shared" si="110"/>
        <v>0</v>
      </c>
      <c r="DP64" s="178">
        <f t="shared" si="110"/>
        <v>0</v>
      </c>
      <c r="DQ64" s="178">
        <f t="shared" si="110"/>
        <v>0</v>
      </c>
      <c r="DR64" s="178">
        <f t="shared" si="110"/>
        <v>0</v>
      </c>
      <c r="DS64" s="178">
        <f t="shared" si="110"/>
        <v>0</v>
      </c>
      <c r="DT64" s="178">
        <f t="shared" si="110"/>
        <v>0</v>
      </c>
      <c r="DU64" s="178">
        <f t="shared" si="110"/>
        <v>0</v>
      </c>
      <c r="DV64" s="178">
        <f t="shared" si="110"/>
        <v>0</v>
      </c>
      <c r="DW64" s="178">
        <f t="shared" si="110"/>
        <v>0</v>
      </c>
      <c r="DX64" s="178">
        <f t="shared" si="110"/>
        <v>0</v>
      </c>
      <c r="DY64" s="178">
        <f t="shared" si="110"/>
        <v>0</v>
      </c>
      <c r="DZ64" s="168">
        <f t="shared" si="110"/>
        <v>0</v>
      </c>
      <c r="EA64" s="169">
        <f t="shared" si="95"/>
        <v>0</v>
      </c>
      <c r="EB64" s="171">
        <f t="shared" si="96"/>
        <v>0</v>
      </c>
    </row>
    <row r="65" spans="1:132" s="177" customFormat="1" ht="15.75">
      <c r="A65" s="183"/>
      <c r="B65" s="164"/>
      <c r="C65" s="187"/>
      <c r="D65" s="185"/>
      <c r="E65" s="167">
        <v>3</v>
      </c>
      <c r="F65" s="168">
        <f t="shared" si="68"/>
        <v>0</v>
      </c>
      <c r="G65" s="169">
        <f t="shared" si="113"/>
        <v>0</v>
      </c>
      <c r="H65" s="178">
        <f t="shared" si="113"/>
        <v>0</v>
      </c>
      <c r="I65" s="178">
        <f t="shared" si="113"/>
        <v>0</v>
      </c>
      <c r="J65" s="178">
        <f t="shared" si="113"/>
        <v>0</v>
      </c>
      <c r="K65" s="178">
        <f t="shared" si="113"/>
        <v>0</v>
      </c>
      <c r="L65" s="178">
        <f t="shared" si="113"/>
        <v>0</v>
      </c>
      <c r="M65" s="178">
        <f t="shared" si="113"/>
        <v>0</v>
      </c>
      <c r="N65" s="178">
        <f t="shared" si="113"/>
        <v>0</v>
      </c>
      <c r="O65" s="178">
        <f t="shared" si="113"/>
        <v>0</v>
      </c>
      <c r="P65" s="178">
        <f t="shared" si="113"/>
        <v>0</v>
      </c>
      <c r="Q65" s="178">
        <f t="shared" si="113"/>
        <v>0</v>
      </c>
      <c r="R65" s="179">
        <f t="shared" si="113"/>
        <v>0</v>
      </c>
      <c r="S65" s="169">
        <f t="shared" si="70"/>
        <v>0</v>
      </c>
      <c r="T65" s="179">
        <f t="shared" si="71"/>
        <v>0</v>
      </c>
      <c r="U65" s="180">
        <f t="shared" si="104"/>
        <v>0</v>
      </c>
      <c r="V65" s="178">
        <f t="shared" si="104"/>
        <v>0</v>
      </c>
      <c r="W65" s="178">
        <f t="shared" si="104"/>
        <v>0</v>
      </c>
      <c r="X65" s="178">
        <f t="shared" si="104"/>
        <v>0</v>
      </c>
      <c r="Y65" s="178">
        <f t="shared" si="104"/>
        <v>0</v>
      </c>
      <c r="Z65" s="178">
        <f t="shared" si="104"/>
        <v>0</v>
      </c>
      <c r="AA65" s="178">
        <f t="shared" si="104"/>
        <v>0</v>
      </c>
      <c r="AB65" s="178">
        <f t="shared" si="104"/>
        <v>0</v>
      </c>
      <c r="AC65" s="178">
        <f t="shared" si="104"/>
        <v>0</v>
      </c>
      <c r="AD65" s="178">
        <f t="shared" si="104"/>
        <v>0</v>
      </c>
      <c r="AE65" s="178">
        <f t="shared" si="104"/>
        <v>0</v>
      </c>
      <c r="AF65" s="168">
        <f t="shared" si="104"/>
        <v>0</v>
      </c>
      <c r="AG65" s="169">
        <f t="shared" si="73"/>
        <v>0</v>
      </c>
      <c r="AH65" s="179">
        <f t="shared" si="74"/>
        <v>0</v>
      </c>
      <c r="AI65" s="180">
        <f t="shared" si="75"/>
        <v>0</v>
      </c>
      <c r="AJ65" s="178">
        <f t="shared" si="75"/>
        <v>0</v>
      </c>
      <c r="AK65" s="178">
        <f t="shared" si="75"/>
        <v>0</v>
      </c>
      <c r="AL65" s="178">
        <f t="shared" si="75"/>
        <v>0</v>
      </c>
      <c r="AM65" s="178">
        <f t="shared" si="75"/>
        <v>0</v>
      </c>
      <c r="AN65" s="178">
        <f t="shared" si="75"/>
        <v>0</v>
      </c>
      <c r="AO65" s="178">
        <f t="shared" si="75"/>
        <v>0</v>
      </c>
      <c r="AP65" s="178">
        <f t="shared" si="75"/>
        <v>0</v>
      </c>
      <c r="AQ65" s="178">
        <f t="shared" si="75"/>
        <v>0</v>
      </c>
      <c r="AR65" s="178">
        <f t="shared" si="75"/>
        <v>0</v>
      </c>
      <c r="AS65" s="178">
        <f t="shared" si="75"/>
        <v>0</v>
      </c>
      <c r="AT65" s="168">
        <f t="shared" si="75"/>
        <v>0</v>
      </c>
      <c r="AU65" s="169">
        <f t="shared" si="77"/>
        <v>0</v>
      </c>
      <c r="AV65" s="179">
        <f t="shared" si="78"/>
        <v>0</v>
      </c>
      <c r="AW65" s="180">
        <f t="shared" si="105"/>
        <v>0</v>
      </c>
      <c r="AX65" s="178">
        <f t="shared" si="105"/>
        <v>0</v>
      </c>
      <c r="AY65" s="178">
        <f t="shared" si="105"/>
        <v>0</v>
      </c>
      <c r="AZ65" s="178">
        <f t="shared" si="105"/>
        <v>0</v>
      </c>
      <c r="BA65" s="178">
        <f t="shared" si="105"/>
        <v>0</v>
      </c>
      <c r="BB65" s="178">
        <f t="shared" si="105"/>
        <v>0</v>
      </c>
      <c r="BC65" s="178">
        <f t="shared" si="105"/>
        <v>0</v>
      </c>
      <c r="BD65" s="178">
        <f t="shared" si="105"/>
        <v>0</v>
      </c>
      <c r="BE65" s="178">
        <f t="shared" si="105"/>
        <v>0</v>
      </c>
      <c r="BF65" s="178">
        <f t="shared" si="105"/>
        <v>0</v>
      </c>
      <c r="BG65" s="178">
        <f t="shared" si="105"/>
        <v>0</v>
      </c>
      <c r="BH65" s="168">
        <f t="shared" si="105"/>
        <v>0</v>
      </c>
      <c r="BI65" s="169">
        <f t="shared" si="80"/>
        <v>0</v>
      </c>
      <c r="BJ65" s="179">
        <f t="shared" si="81"/>
        <v>0</v>
      </c>
      <c r="BK65" s="180">
        <f t="shared" si="106"/>
        <v>0</v>
      </c>
      <c r="BL65" s="178">
        <f t="shared" si="106"/>
        <v>0</v>
      </c>
      <c r="BM65" s="178">
        <f t="shared" si="106"/>
        <v>0</v>
      </c>
      <c r="BN65" s="178">
        <f t="shared" si="106"/>
        <v>0</v>
      </c>
      <c r="BO65" s="178">
        <f t="shared" si="106"/>
        <v>0</v>
      </c>
      <c r="BP65" s="178">
        <f t="shared" si="106"/>
        <v>0</v>
      </c>
      <c r="BQ65" s="178">
        <f t="shared" si="106"/>
        <v>0</v>
      </c>
      <c r="BR65" s="178">
        <f t="shared" si="106"/>
        <v>0</v>
      </c>
      <c r="BS65" s="178">
        <f t="shared" si="106"/>
        <v>0</v>
      </c>
      <c r="BT65" s="178">
        <f t="shared" si="106"/>
        <v>0</v>
      </c>
      <c r="BU65" s="178">
        <f t="shared" si="106"/>
        <v>0</v>
      </c>
      <c r="BV65" s="168">
        <f t="shared" si="106"/>
        <v>0</v>
      </c>
      <c r="BW65" s="169">
        <f t="shared" si="83"/>
        <v>0</v>
      </c>
      <c r="BX65" s="179">
        <f t="shared" si="84"/>
        <v>0</v>
      </c>
      <c r="BY65" s="180">
        <f t="shared" si="107"/>
        <v>0</v>
      </c>
      <c r="BZ65" s="178">
        <f t="shared" si="107"/>
        <v>0</v>
      </c>
      <c r="CA65" s="178">
        <f t="shared" si="107"/>
        <v>0</v>
      </c>
      <c r="CB65" s="178">
        <f t="shared" si="107"/>
        <v>0</v>
      </c>
      <c r="CC65" s="178">
        <f t="shared" si="107"/>
        <v>0</v>
      </c>
      <c r="CD65" s="178">
        <f t="shared" si="107"/>
        <v>0</v>
      </c>
      <c r="CE65" s="178">
        <f t="shared" si="107"/>
        <v>0</v>
      </c>
      <c r="CF65" s="178">
        <f t="shared" si="107"/>
        <v>0</v>
      </c>
      <c r="CG65" s="178">
        <f t="shared" si="107"/>
        <v>0</v>
      </c>
      <c r="CH65" s="178">
        <f t="shared" si="107"/>
        <v>0</v>
      </c>
      <c r="CI65" s="178">
        <f t="shared" si="107"/>
        <v>0</v>
      </c>
      <c r="CJ65" s="168">
        <f t="shared" si="107"/>
        <v>0</v>
      </c>
      <c r="CK65" s="169">
        <f t="shared" si="86"/>
        <v>0</v>
      </c>
      <c r="CL65" s="179">
        <f t="shared" si="87"/>
        <v>0</v>
      </c>
      <c r="CM65" s="180">
        <f t="shared" si="108"/>
        <v>0</v>
      </c>
      <c r="CN65" s="178">
        <f t="shared" si="108"/>
        <v>0</v>
      </c>
      <c r="CO65" s="178">
        <f t="shared" si="108"/>
        <v>0</v>
      </c>
      <c r="CP65" s="178">
        <f t="shared" si="108"/>
        <v>0</v>
      </c>
      <c r="CQ65" s="178">
        <f t="shared" si="108"/>
        <v>0</v>
      </c>
      <c r="CR65" s="178">
        <f t="shared" si="108"/>
        <v>0</v>
      </c>
      <c r="CS65" s="178">
        <f t="shared" si="108"/>
        <v>0</v>
      </c>
      <c r="CT65" s="178">
        <f t="shared" si="108"/>
        <v>0</v>
      </c>
      <c r="CU65" s="178">
        <f t="shared" si="108"/>
        <v>0</v>
      </c>
      <c r="CV65" s="178">
        <f t="shared" si="108"/>
        <v>0</v>
      </c>
      <c r="CW65" s="178">
        <f t="shared" si="108"/>
        <v>0</v>
      </c>
      <c r="CX65" s="168">
        <f t="shared" si="108"/>
        <v>0</v>
      </c>
      <c r="CY65" s="169">
        <f t="shared" si="89"/>
        <v>0</v>
      </c>
      <c r="CZ65" s="179">
        <f t="shared" si="90"/>
        <v>0</v>
      </c>
      <c r="DA65" s="180">
        <f t="shared" si="109"/>
        <v>0</v>
      </c>
      <c r="DB65" s="178">
        <f t="shared" si="109"/>
        <v>0</v>
      </c>
      <c r="DC65" s="178">
        <f t="shared" si="109"/>
        <v>0</v>
      </c>
      <c r="DD65" s="178">
        <f t="shared" si="109"/>
        <v>0</v>
      </c>
      <c r="DE65" s="178">
        <f t="shared" si="109"/>
        <v>0</v>
      </c>
      <c r="DF65" s="178">
        <f t="shared" si="109"/>
        <v>0</v>
      </c>
      <c r="DG65" s="178">
        <f t="shared" si="109"/>
        <v>0</v>
      </c>
      <c r="DH65" s="178">
        <f t="shared" si="109"/>
        <v>0</v>
      </c>
      <c r="DI65" s="178">
        <f t="shared" si="109"/>
        <v>0</v>
      </c>
      <c r="DJ65" s="178">
        <f t="shared" si="109"/>
        <v>0</v>
      </c>
      <c r="DK65" s="178">
        <f t="shared" si="109"/>
        <v>0</v>
      </c>
      <c r="DL65" s="168">
        <f t="shared" si="109"/>
        <v>0</v>
      </c>
      <c r="DM65" s="169">
        <f t="shared" si="92"/>
        <v>0</v>
      </c>
      <c r="DN65" s="171">
        <f t="shared" si="93"/>
        <v>0</v>
      </c>
      <c r="DO65" s="180">
        <f t="shared" si="110"/>
        <v>0</v>
      </c>
      <c r="DP65" s="178">
        <f t="shared" si="110"/>
        <v>0</v>
      </c>
      <c r="DQ65" s="178">
        <f t="shared" si="110"/>
        <v>0</v>
      </c>
      <c r="DR65" s="178">
        <f t="shared" si="110"/>
        <v>0</v>
      </c>
      <c r="DS65" s="178">
        <f t="shared" si="110"/>
        <v>0</v>
      </c>
      <c r="DT65" s="178">
        <f t="shared" si="110"/>
        <v>0</v>
      </c>
      <c r="DU65" s="178">
        <f t="shared" si="110"/>
        <v>0</v>
      </c>
      <c r="DV65" s="178">
        <f t="shared" si="110"/>
        <v>0</v>
      </c>
      <c r="DW65" s="178">
        <f t="shared" si="110"/>
        <v>0</v>
      </c>
      <c r="DX65" s="178">
        <f t="shared" si="110"/>
        <v>0</v>
      </c>
      <c r="DY65" s="178">
        <f t="shared" si="110"/>
        <v>0</v>
      </c>
      <c r="DZ65" s="168">
        <f t="shared" si="110"/>
        <v>0</v>
      </c>
      <c r="EA65" s="169">
        <f t="shared" si="95"/>
        <v>0</v>
      </c>
      <c r="EB65" s="171">
        <f t="shared" si="96"/>
        <v>0</v>
      </c>
    </row>
    <row r="66" spans="1:132" s="177" customFormat="1" ht="15.75">
      <c r="A66" s="183"/>
      <c r="B66" s="164"/>
      <c r="C66" s="187"/>
      <c r="D66" s="185"/>
      <c r="E66" s="167">
        <v>3</v>
      </c>
      <c r="F66" s="168">
        <f t="shared" si="68"/>
        <v>0</v>
      </c>
      <c r="G66" s="169">
        <f t="shared" si="113"/>
        <v>0</v>
      </c>
      <c r="H66" s="178">
        <f t="shared" si="113"/>
        <v>0</v>
      </c>
      <c r="I66" s="178">
        <f t="shared" si="113"/>
        <v>0</v>
      </c>
      <c r="J66" s="178">
        <f t="shared" si="113"/>
        <v>0</v>
      </c>
      <c r="K66" s="178">
        <f t="shared" si="113"/>
        <v>0</v>
      </c>
      <c r="L66" s="178">
        <f t="shared" si="113"/>
        <v>0</v>
      </c>
      <c r="M66" s="178">
        <f t="shared" si="113"/>
        <v>0</v>
      </c>
      <c r="N66" s="178">
        <f t="shared" si="113"/>
        <v>0</v>
      </c>
      <c r="O66" s="178">
        <f t="shared" si="113"/>
        <v>0</v>
      </c>
      <c r="P66" s="178">
        <f t="shared" si="113"/>
        <v>0</v>
      </c>
      <c r="Q66" s="178">
        <f t="shared" si="113"/>
        <v>0</v>
      </c>
      <c r="R66" s="179">
        <f t="shared" si="113"/>
        <v>0</v>
      </c>
      <c r="S66" s="169">
        <f t="shared" si="70"/>
        <v>0</v>
      </c>
      <c r="T66" s="179">
        <f t="shared" si="71"/>
        <v>0</v>
      </c>
      <c r="U66" s="180">
        <f t="shared" si="104"/>
        <v>0</v>
      </c>
      <c r="V66" s="178">
        <f t="shared" si="104"/>
        <v>0</v>
      </c>
      <c r="W66" s="178">
        <f t="shared" si="104"/>
        <v>0</v>
      </c>
      <c r="X66" s="178">
        <f t="shared" si="104"/>
        <v>0</v>
      </c>
      <c r="Y66" s="178">
        <f t="shared" si="104"/>
        <v>0</v>
      </c>
      <c r="Z66" s="178">
        <f t="shared" si="104"/>
        <v>0</v>
      </c>
      <c r="AA66" s="178">
        <f t="shared" si="104"/>
        <v>0</v>
      </c>
      <c r="AB66" s="178">
        <f t="shared" si="104"/>
        <v>0</v>
      </c>
      <c r="AC66" s="178">
        <f t="shared" si="104"/>
        <v>0</v>
      </c>
      <c r="AD66" s="178">
        <f t="shared" si="104"/>
        <v>0</v>
      </c>
      <c r="AE66" s="178">
        <f t="shared" si="104"/>
        <v>0</v>
      </c>
      <c r="AF66" s="168">
        <f t="shared" si="104"/>
        <v>0</v>
      </c>
      <c r="AG66" s="169">
        <f t="shared" si="73"/>
        <v>0</v>
      </c>
      <c r="AH66" s="179">
        <f t="shared" si="74"/>
        <v>0</v>
      </c>
      <c r="AI66" s="180">
        <f t="shared" si="75"/>
        <v>0</v>
      </c>
      <c r="AJ66" s="178">
        <f t="shared" si="75"/>
        <v>0</v>
      </c>
      <c r="AK66" s="178">
        <f t="shared" si="75"/>
        <v>0</v>
      </c>
      <c r="AL66" s="178">
        <f t="shared" si="75"/>
        <v>0</v>
      </c>
      <c r="AM66" s="178">
        <f t="shared" si="75"/>
        <v>0</v>
      </c>
      <c r="AN66" s="178">
        <f t="shared" si="75"/>
        <v>0</v>
      </c>
      <c r="AO66" s="178">
        <f t="shared" si="75"/>
        <v>0</v>
      </c>
      <c r="AP66" s="178">
        <f t="shared" si="75"/>
        <v>0</v>
      </c>
      <c r="AQ66" s="178">
        <f t="shared" si="75"/>
        <v>0</v>
      </c>
      <c r="AR66" s="178">
        <f t="shared" si="75"/>
        <v>0</v>
      </c>
      <c r="AS66" s="178">
        <f t="shared" si="75"/>
        <v>0</v>
      </c>
      <c r="AT66" s="168">
        <f t="shared" si="75"/>
        <v>0</v>
      </c>
      <c r="AU66" s="169">
        <f t="shared" si="77"/>
        <v>0</v>
      </c>
      <c r="AV66" s="179">
        <f t="shared" si="78"/>
        <v>0</v>
      </c>
      <c r="AW66" s="180">
        <f t="shared" si="105"/>
        <v>0</v>
      </c>
      <c r="AX66" s="178">
        <f t="shared" si="105"/>
        <v>0</v>
      </c>
      <c r="AY66" s="178">
        <f t="shared" si="105"/>
        <v>0</v>
      </c>
      <c r="AZ66" s="178">
        <f t="shared" si="105"/>
        <v>0</v>
      </c>
      <c r="BA66" s="178">
        <f t="shared" si="105"/>
        <v>0</v>
      </c>
      <c r="BB66" s="178">
        <f t="shared" si="105"/>
        <v>0</v>
      </c>
      <c r="BC66" s="178">
        <f t="shared" si="105"/>
        <v>0</v>
      </c>
      <c r="BD66" s="178">
        <f t="shared" si="105"/>
        <v>0</v>
      </c>
      <c r="BE66" s="178">
        <f t="shared" si="105"/>
        <v>0</v>
      </c>
      <c r="BF66" s="178">
        <f t="shared" si="105"/>
        <v>0</v>
      </c>
      <c r="BG66" s="178">
        <f t="shared" si="105"/>
        <v>0</v>
      </c>
      <c r="BH66" s="168">
        <f t="shared" si="105"/>
        <v>0</v>
      </c>
      <c r="BI66" s="169">
        <f t="shared" si="80"/>
        <v>0</v>
      </c>
      <c r="BJ66" s="179">
        <f t="shared" si="81"/>
        <v>0</v>
      </c>
      <c r="BK66" s="180">
        <f t="shared" si="106"/>
        <v>0</v>
      </c>
      <c r="BL66" s="178">
        <f t="shared" si="106"/>
        <v>0</v>
      </c>
      <c r="BM66" s="178">
        <f t="shared" si="106"/>
        <v>0</v>
      </c>
      <c r="BN66" s="178">
        <f t="shared" si="106"/>
        <v>0</v>
      </c>
      <c r="BO66" s="178">
        <f t="shared" si="106"/>
        <v>0</v>
      </c>
      <c r="BP66" s="178">
        <f t="shared" si="106"/>
        <v>0</v>
      </c>
      <c r="BQ66" s="178">
        <f t="shared" si="106"/>
        <v>0</v>
      </c>
      <c r="BR66" s="178">
        <f t="shared" si="106"/>
        <v>0</v>
      </c>
      <c r="BS66" s="178">
        <f t="shared" si="106"/>
        <v>0</v>
      </c>
      <c r="BT66" s="178">
        <f t="shared" si="106"/>
        <v>0</v>
      </c>
      <c r="BU66" s="178">
        <f t="shared" si="106"/>
        <v>0</v>
      </c>
      <c r="BV66" s="168">
        <f t="shared" si="106"/>
        <v>0</v>
      </c>
      <c r="BW66" s="169">
        <f t="shared" si="83"/>
        <v>0</v>
      </c>
      <c r="BX66" s="179">
        <f t="shared" si="84"/>
        <v>0</v>
      </c>
      <c r="BY66" s="180">
        <f t="shared" si="107"/>
        <v>0</v>
      </c>
      <c r="BZ66" s="178">
        <f t="shared" si="107"/>
        <v>0</v>
      </c>
      <c r="CA66" s="178">
        <f t="shared" si="107"/>
        <v>0</v>
      </c>
      <c r="CB66" s="178">
        <f t="shared" si="107"/>
        <v>0</v>
      </c>
      <c r="CC66" s="178">
        <f t="shared" si="107"/>
        <v>0</v>
      </c>
      <c r="CD66" s="178">
        <f t="shared" si="107"/>
        <v>0</v>
      </c>
      <c r="CE66" s="178">
        <f t="shared" si="107"/>
        <v>0</v>
      </c>
      <c r="CF66" s="178">
        <f t="shared" si="107"/>
        <v>0</v>
      </c>
      <c r="CG66" s="178">
        <f t="shared" si="107"/>
        <v>0</v>
      </c>
      <c r="CH66" s="178">
        <f t="shared" si="107"/>
        <v>0</v>
      </c>
      <c r="CI66" s="178">
        <f t="shared" si="107"/>
        <v>0</v>
      </c>
      <c r="CJ66" s="168">
        <f t="shared" si="107"/>
        <v>0</v>
      </c>
      <c r="CK66" s="169">
        <f t="shared" si="86"/>
        <v>0</v>
      </c>
      <c r="CL66" s="179">
        <f t="shared" si="87"/>
        <v>0</v>
      </c>
      <c r="CM66" s="180">
        <f t="shared" si="108"/>
        <v>0</v>
      </c>
      <c r="CN66" s="178">
        <f t="shared" si="108"/>
        <v>0</v>
      </c>
      <c r="CO66" s="178">
        <f t="shared" si="108"/>
        <v>0</v>
      </c>
      <c r="CP66" s="178">
        <f t="shared" si="108"/>
        <v>0</v>
      </c>
      <c r="CQ66" s="178">
        <f t="shared" si="108"/>
        <v>0</v>
      </c>
      <c r="CR66" s="178">
        <f t="shared" si="108"/>
        <v>0</v>
      </c>
      <c r="CS66" s="178">
        <f t="shared" si="108"/>
        <v>0</v>
      </c>
      <c r="CT66" s="178">
        <f t="shared" si="108"/>
        <v>0</v>
      </c>
      <c r="CU66" s="178">
        <f t="shared" si="108"/>
        <v>0</v>
      </c>
      <c r="CV66" s="178">
        <f t="shared" si="108"/>
        <v>0</v>
      </c>
      <c r="CW66" s="178">
        <f t="shared" si="108"/>
        <v>0</v>
      </c>
      <c r="CX66" s="168">
        <f t="shared" si="108"/>
        <v>0</v>
      </c>
      <c r="CY66" s="169">
        <f t="shared" si="89"/>
        <v>0</v>
      </c>
      <c r="CZ66" s="179">
        <f t="shared" si="90"/>
        <v>0</v>
      </c>
      <c r="DA66" s="180">
        <f t="shared" si="109"/>
        <v>0</v>
      </c>
      <c r="DB66" s="178">
        <f t="shared" si="109"/>
        <v>0</v>
      </c>
      <c r="DC66" s="178">
        <f t="shared" si="109"/>
        <v>0</v>
      </c>
      <c r="DD66" s="178">
        <f t="shared" si="109"/>
        <v>0</v>
      </c>
      <c r="DE66" s="178">
        <f t="shared" si="109"/>
        <v>0</v>
      </c>
      <c r="DF66" s="178">
        <f t="shared" si="109"/>
        <v>0</v>
      </c>
      <c r="DG66" s="178">
        <f t="shared" si="109"/>
        <v>0</v>
      </c>
      <c r="DH66" s="178">
        <f t="shared" si="109"/>
        <v>0</v>
      </c>
      <c r="DI66" s="178">
        <f t="shared" si="109"/>
        <v>0</v>
      </c>
      <c r="DJ66" s="178">
        <f t="shared" si="109"/>
        <v>0</v>
      </c>
      <c r="DK66" s="178">
        <f t="shared" si="109"/>
        <v>0</v>
      </c>
      <c r="DL66" s="168">
        <f t="shared" si="109"/>
        <v>0</v>
      </c>
      <c r="DM66" s="169">
        <f t="shared" si="92"/>
        <v>0</v>
      </c>
      <c r="DN66" s="171">
        <f t="shared" si="93"/>
        <v>0</v>
      </c>
      <c r="DO66" s="180">
        <f t="shared" si="110"/>
        <v>0</v>
      </c>
      <c r="DP66" s="178">
        <f t="shared" si="110"/>
        <v>0</v>
      </c>
      <c r="DQ66" s="178">
        <f t="shared" si="110"/>
        <v>0</v>
      </c>
      <c r="DR66" s="178">
        <f t="shared" si="110"/>
        <v>0</v>
      </c>
      <c r="DS66" s="178">
        <f t="shared" si="110"/>
        <v>0</v>
      </c>
      <c r="DT66" s="178">
        <f t="shared" si="110"/>
        <v>0</v>
      </c>
      <c r="DU66" s="178">
        <f t="shared" si="110"/>
        <v>0</v>
      </c>
      <c r="DV66" s="178">
        <f t="shared" si="110"/>
        <v>0</v>
      </c>
      <c r="DW66" s="178">
        <f t="shared" si="110"/>
        <v>0</v>
      </c>
      <c r="DX66" s="178">
        <f t="shared" si="110"/>
        <v>0</v>
      </c>
      <c r="DY66" s="178">
        <f t="shared" si="110"/>
        <v>0</v>
      </c>
      <c r="DZ66" s="168">
        <f t="shared" si="110"/>
        <v>0</v>
      </c>
      <c r="EA66" s="169">
        <f t="shared" si="95"/>
        <v>0</v>
      </c>
      <c r="EB66" s="171">
        <f t="shared" si="96"/>
        <v>0</v>
      </c>
    </row>
    <row r="67" spans="1:132" s="177" customFormat="1" ht="15.75">
      <c r="A67" s="183"/>
      <c r="B67" s="164"/>
      <c r="C67" s="187"/>
      <c r="D67" s="185"/>
      <c r="E67" s="167">
        <v>3</v>
      </c>
      <c r="F67" s="168">
        <f t="shared" si="68"/>
        <v>0</v>
      </c>
      <c r="G67" s="169">
        <f t="shared" si="113"/>
        <v>0</v>
      </c>
      <c r="H67" s="178">
        <f t="shared" si="113"/>
        <v>0</v>
      </c>
      <c r="I67" s="178">
        <f t="shared" si="113"/>
        <v>0</v>
      </c>
      <c r="J67" s="178">
        <f t="shared" si="113"/>
        <v>0</v>
      </c>
      <c r="K67" s="178">
        <f t="shared" si="113"/>
        <v>0</v>
      </c>
      <c r="L67" s="178">
        <f t="shared" si="113"/>
        <v>0</v>
      </c>
      <c r="M67" s="178">
        <f t="shared" si="113"/>
        <v>0</v>
      </c>
      <c r="N67" s="178">
        <f t="shared" si="113"/>
        <v>0</v>
      </c>
      <c r="O67" s="178">
        <f t="shared" si="113"/>
        <v>0</v>
      </c>
      <c r="P67" s="178">
        <f t="shared" si="113"/>
        <v>0</v>
      </c>
      <c r="Q67" s="178">
        <f t="shared" si="113"/>
        <v>0</v>
      </c>
      <c r="R67" s="179">
        <f t="shared" si="113"/>
        <v>0</v>
      </c>
      <c r="S67" s="169">
        <f t="shared" si="70"/>
        <v>0</v>
      </c>
      <c r="T67" s="179">
        <f t="shared" si="71"/>
        <v>0</v>
      </c>
      <c r="U67" s="180">
        <f t="shared" si="104"/>
        <v>0</v>
      </c>
      <c r="V67" s="178">
        <f t="shared" si="104"/>
        <v>0</v>
      </c>
      <c r="W67" s="178">
        <f t="shared" si="104"/>
        <v>0</v>
      </c>
      <c r="X67" s="178">
        <f t="shared" si="104"/>
        <v>0</v>
      </c>
      <c r="Y67" s="178">
        <f t="shared" si="104"/>
        <v>0</v>
      </c>
      <c r="Z67" s="178">
        <f t="shared" si="104"/>
        <v>0</v>
      </c>
      <c r="AA67" s="178">
        <f t="shared" si="104"/>
        <v>0</v>
      </c>
      <c r="AB67" s="178">
        <f t="shared" si="104"/>
        <v>0</v>
      </c>
      <c r="AC67" s="178">
        <f t="shared" si="104"/>
        <v>0</v>
      </c>
      <c r="AD67" s="178">
        <f t="shared" si="104"/>
        <v>0</v>
      </c>
      <c r="AE67" s="178">
        <f t="shared" si="104"/>
        <v>0</v>
      </c>
      <c r="AF67" s="168">
        <f t="shared" si="104"/>
        <v>0</v>
      </c>
      <c r="AG67" s="169">
        <f t="shared" si="73"/>
        <v>0</v>
      </c>
      <c r="AH67" s="179">
        <f t="shared" si="74"/>
        <v>0</v>
      </c>
      <c r="AI67" s="180">
        <f t="shared" si="75"/>
        <v>0</v>
      </c>
      <c r="AJ67" s="178">
        <f t="shared" si="75"/>
        <v>0</v>
      </c>
      <c r="AK67" s="178">
        <f t="shared" si="75"/>
        <v>0</v>
      </c>
      <c r="AL67" s="178">
        <f t="shared" si="75"/>
        <v>0</v>
      </c>
      <c r="AM67" s="178">
        <f t="shared" si="75"/>
        <v>0</v>
      </c>
      <c r="AN67" s="178">
        <f t="shared" si="75"/>
        <v>0</v>
      </c>
      <c r="AO67" s="178">
        <f t="shared" si="75"/>
        <v>0</v>
      </c>
      <c r="AP67" s="178">
        <f t="shared" si="75"/>
        <v>0</v>
      </c>
      <c r="AQ67" s="178">
        <f t="shared" si="75"/>
        <v>0</v>
      </c>
      <c r="AR67" s="178">
        <f t="shared" si="75"/>
        <v>0</v>
      </c>
      <c r="AS67" s="178">
        <f t="shared" si="75"/>
        <v>0</v>
      </c>
      <c r="AT67" s="168">
        <f t="shared" si="75"/>
        <v>0</v>
      </c>
      <c r="AU67" s="169">
        <f t="shared" si="77"/>
        <v>0</v>
      </c>
      <c r="AV67" s="179">
        <f t="shared" si="78"/>
        <v>0</v>
      </c>
      <c r="AW67" s="180">
        <f t="shared" si="105"/>
        <v>0</v>
      </c>
      <c r="AX67" s="178">
        <f t="shared" si="105"/>
        <v>0</v>
      </c>
      <c r="AY67" s="178">
        <f t="shared" si="105"/>
        <v>0</v>
      </c>
      <c r="AZ67" s="178">
        <f t="shared" si="105"/>
        <v>0</v>
      </c>
      <c r="BA67" s="178">
        <f t="shared" si="105"/>
        <v>0</v>
      </c>
      <c r="BB67" s="178">
        <f t="shared" si="105"/>
        <v>0</v>
      </c>
      <c r="BC67" s="178">
        <f t="shared" si="105"/>
        <v>0</v>
      </c>
      <c r="BD67" s="178">
        <f t="shared" si="105"/>
        <v>0</v>
      </c>
      <c r="BE67" s="178">
        <f t="shared" si="105"/>
        <v>0</v>
      </c>
      <c r="BF67" s="178">
        <f t="shared" si="105"/>
        <v>0</v>
      </c>
      <c r="BG67" s="178">
        <f t="shared" si="105"/>
        <v>0</v>
      </c>
      <c r="BH67" s="168">
        <f t="shared" si="105"/>
        <v>0</v>
      </c>
      <c r="BI67" s="169">
        <f t="shared" si="80"/>
        <v>0</v>
      </c>
      <c r="BJ67" s="179">
        <f t="shared" si="81"/>
        <v>0</v>
      </c>
      <c r="BK67" s="180">
        <f t="shared" si="106"/>
        <v>0</v>
      </c>
      <c r="BL67" s="178">
        <f t="shared" si="106"/>
        <v>0</v>
      </c>
      <c r="BM67" s="178">
        <f t="shared" si="106"/>
        <v>0</v>
      </c>
      <c r="BN67" s="178">
        <f t="shared" si="106"/>
        <v>0</v>
      </c>
      <c r="BO67" s="178">
        <f t="shared" si="106"/>
        <v>0</v>
      </c>
      <c r="BP67" s="178">
        <f t="shared" si="106"/>
        <v>0</v>
      </c>
      <c r="BQ67" s="178">
        <f t="shared" si="106"/>
        <v>0</v>
      </c>
      <c r="BR67" s="178">
        <f t="shared" si="106"/>
        <v>0</v>
      </c>
      <c r="BS67" s="178">
        <f t="shared" si="106"/>
        <v>0</v>
      </c>
      <c r="BT67" s="178">
        <f t="shared" si="106"/>
        <v>0</v>
      </c>
      <c r="BU67" s="178">
        <f t="shared" si="106"/>
        <v>0</v>
      </c>
      <c r="BV67" s="168">
        <f t="shared" si="106"/>
        <v>0</v>
      </c>
      <c r="BW67" s="169">
        <f t="shared" si="83"/>
        <v>0</v>
      </c>
      <c r="BX67" s="179">
        <f t="shared" si="84"/>
        <v>0</v>
      </c>
      <c r="BY67" s="180">
        <f t="shared" si="107"/>
        <v>0</v>
      </c>
      <c r="BZ67" s="178">
        <f t="shared" si="107"/>
        <v>0</v>
      </c>
      <c r="CA67" s="178">
        <f t="shared" si="107"/>
        <v>0</v>
      </c>
      <c r="CB67" s="178">
        <f t="shared" si="107"/>
        <v>0</v>
      </c>
      <c r="CC67" s="178">
        <f t="shared" si="107"/>
        <v>0</v>
      </c>
      <c r="CD67" s="178">
        <f t="shared" si="107"/>
        <v>0</v>
      </c>
      <c r="CE67" s="178">
        <f t="shared" si="107"/>
        <v>0</v>
      </c>
      <c r="CF67" s="178">
        <f t="shared" si="107"/>
        <v>0</v>
      </c>
      <c r="CG67" s="178">
        <f t="shared" si="107"/>
        <v>0</v>
      </c>
      <c r="CH67" s="178">
        <f t="shared" si="107"/>
        <v>0</v>
      </c>
      <c r="CI67" s="178">
        <f t="shared" si="107"/>
        <v>0</v>
      </c>
      <c r="CJ67" s="168">
        <f t="shared" si="107"/>
        <v>0</v>
      </c>
      <c r="CK67" s="169">
        <f t="shared" si="86"/>
        <v>0</v>
      </c>
      <c r="CL67" s="179">
        <f t="shared" si="87"/>
        <v>0</v>
      </c>
      <c r="CM67" s="180">
        <f t="shared" si="108"/>
        <v>0</v>
      </c>
      <c r="CN67" s="178">
        <f t="shared" si="108"/>
        <v>0</v>
      </c>
      <c r="CO67" s="178">
        <f t="shared" si="108"/>
        <v>0</v>
      </c>
      <c r="CP67" s="178">
        <f t="shared" si="108"/>
        <v>0</v>
      </c>
      <c r="CQ67" s="178">
        <f t="shared" si="108"/>
        <v>0</v>
      </c>
      <c r="CR67" s="178">
        <f t="shared" si="108"/>
        <v>0</v>
      </c>
      <c r="CS67" s="178">
        <f t="shared" si="108"/>
        <v>0</v>
      </c>
      <c r="CT67" s="178">
        <f t="shared" si="108"/>
        <v>0</v>
      </c>
      <c r="CU67" s="178">
        <f t="shared" si="108"/>
        <v>0</v>
      </c>
      <c r="CV67" s="178">
        <f t="shared" si="108"/>
        <v>0</v>
      </c>
      <c r="CW67" s="178">
        <f t="shared" si="108"/>
        <v>0</v>
      </c>
      <c r="CX67" s="168">
        <f t="shared" si="108"/>
        <v>0</v>
      </c>
      <c r="CY67" s="169">
        <f t="shared" si="89"/>
        <v>0</v>
      </c>
      <c r="CZ67" s="179">
        <f t="shared" si="90"/>
        <v>0</v>
      </c>
      <c r="DA67" s="180">
        <f t="shared" si="109"/>
        <v>0</v>
      </c>
      <c r="DB67" s="178">
        <f t="shared" si="109"/>
        <v>0</v>
      </c>
      <c r="DC67" s="178">
        <f t="shared" si="109"/>
        <v>0</v>
      </c>
      <c r="DD67" s="178">
        <f t="shared" si="109"/>
        <v>0</v>
      </c>
      <c r="DE67" s="178">
        <f t="shared" si="109"/>
        <v>0</v>
      </c>
      <c r="DF67" s="178">
        <f t="shared" si="109"/>
        <v>0</v>
      </c>
      <c r="DG67" s="178">
        <f t="shared" si="109"/>
        <v>0</v>
      </c>
      <c r="DH67" s="178">
        <f t="shared" si="109"/>
        <v>0</v>
      </c>
      <c r="DI67" s="178">
        <f t="shared" si="109"/>
        <v>0</v>
      </c>
      <c r="DJ67" s="178">
        <f t="shared" si="109"/>
        <v>0</v>
      </c>
      <c r="DK67" s="178">
        <f t="shared" si="109"/>
        <v>0</v>
      </c>
      <c r="DL67" s="168">
        <f t="shared" si="109"/>
        <v>0</v>
      </c>
      <c r="DM67" s="169">
        <f t="shared" si="92"/>
        <v>0</v>
      </c>
      <c r="DN67" s="171">
        <f t="shared" si="93"/>
        <v>0</v>
      </c>
      <c r="DO67" s="180">
        <f t="shared" si="110"/>
        <v>0</v>
      </c>
      <c r="DP67" s="178">
        <f t="shared" si="110"/>
        <v>0</v>
      </c>
      <c r="DQ67" s="178">
        <f t="shared" si="110"/>
        <v>0</v>
      </c>
      <c r="DR67" s="178">
        <f t="shared" si="110"/>
        <v>0</v>
      </c>
      <c r="DS67" s="178">
        <f t="shared" si="110"/>
        <v>0</v>
      </c>
      <c r="DT67" s="178">
        <f t="shared" si="110"/>
        <v>0</v>
      </c>
      <c r="DU67" s="178">
        <f t="shared" si="110"/>
        <v>0</v>
      </c>
      <c r="DV67" s="178">
        <f t="shared" si="110"/>
        <v>0</v>
      </c>
      <c r="DW67" s="178">
        <f t="shared" si="110"/>
        <v>0</v>
      </c>
      <c r="DX67" s="178">
        <f t="shared" si="110"/>
        <v>0</v>
      </c>
      <c r="DY67" s="178">
        <f t="shared" si="110"/>
        <v>0</v>
      </c>
      <c r="DZ67" s="168">
        <f t="shared" si="110"/>
        <v>0</v>
      </c>
      <c r="EA67" s="169">
        <f t="shared" si="95"/>
        <v>0</v>
      </c>
      <c r="EB67" s="171">
        <f t="shared" si="96"/>
        <v>0</v>
      </c>
    </row>
    <row r="68" spans="1:132" s="177" customFormat="1" ht="15.75">
      <c r="A68" s="183"/>
      <c r="B68" s="164"/>
      <c r="C68" s="184"/>
      <c r="D68" s="185"/>
      <c r="E68" s="167">
        <v>3</v>
      </c>
      <c r="F68" s="168">
        <f t="shared" si="68"/>
        <v>0</v>
      </c>
      <c r="G68" s="169">
        <f t="shared" si="113"/>
        <v>0</v>
      </c>
      <c r="H68" s="178">
        <f t="shared" si="113"/>
        <v>0</v>
      </c>
      <c r="I68" s="178">
        <f t="shared" si="113"/>
        <v>0</v>
      </c>
      <c r="J68" s="178">
        <f t="shared" si="113"/>
        <v>0</v>
      </c>
      <c r="K68" s="178">
        <f t="shared" si="113"/>
        <v>0</v>
      </c>
      <c r="L68" s="178">
        <f t="shared" si="113"/>
        <v>0</v>
      </c>
      <c r="M68" s="178">
        <f t="shared" si="113"/>
        <v>0</v>
      </c>
      <c r="N68" s="178">
        <f t="shared" si="113"/>
        <v>0</v>
      </c>
      <c r="O68" s="178">
        <f t="shared" si="113"/>
        <v>0</v>
      </c>
      <c r="P68" s="178">
        <f t="shared" si="113"/>
        <v>0</v>
      </c>
      <c r="Q68" s="178">
        <f t="shared" si="113"/>
        <v>0</v>
      </c>
      <c r="R68" s="179">
        <f t="shared" si="113"/>
        <v>0</v>
      </c>
      <c r="S68" s="169">
        <f t="shared" si="70"/>
        <v>0</v>
      </c>
      <c r="T68" s="179">
        <f t="shared" si="71"/>
        <v>0</v>
      </c>
      <c r="U68" s="180">
        <f t="shared" si="104"/>
        <v>0</v>
      </c>
      <c r="V68" s="178">
        <f t="shared" si="104"/>
        <v>0</v>
      </c>
      <c r="W68" s="178">
        <f t="shared" si="104"/>
        <v>0</v>
      </c>
      <c r="X68" s="178">
        <f t="shared" si="104"/>
        <v>0</v>
      </c>
      <c r="Y68" s="178">
        <f t="shared" si="104"/>
        <v>0</v>
      </c>
      <c r="Z68" s="178">
        <f t="shared" si="104"/>
        <v>0</v>
      </c>
      <c r="AA68" s="178">
        <f t="shared" si="104"/>
        <v>0</v>
      </c>
      <c r="AB68" s="178">
        <f t="shared" si="104"/>
        <v>0</v>
      </c>
      <c r="AC68" s="178">
        <f t="shared" si="104"/>
        <v>0</v>
      </c>
      <c r="AD68" s="178">
        <f t="shared" si="104"/>
        <v>0</v>
      </c>
      <c r="AE68" s="178">
        <f t="shared" si="104"/>
        <v>0</v>
      </c>
      <c r="AF68" s="168">
        <f t="shared" si="104"/>
        <v>0</v>
      </c>
      <c r="AG68" s="169">
        <f t="shared" si="73"/>
        <v>0</v>
      </c>
      <c r="AH68" s="179">
        <f t="shared" si="74"/>
        <v>0</v>
      </c>
      <c r="AI68" s="180">
        <f t="shared" si="75"/>
        <v>0</v>
      </c>
      <c r="AJ68" s="178">
        <f t="shared" si="75"/>
        <v>0</v>
      </c>
      <c r="AK68" s="178">
        <f t="shared" si="75"/>
        <v>0</v>
      </c>
      <c r="AL68" s="178">
        <f t="shared" si="75"/>
        <v>0</v>
      </c>
      <c r="AM68" s="178">
        <f t="shared" si="75"/>
        <v>0</v>
      </c>
      <c r="AN68" s="178">
        <f t="shared" si="75"/>
        <v>0</v>
      </c>
      <c r="AO68" s="178">
        <f t="shared" si="75"/>
        <v>0</v>
      </c>
      <c r="AP68" s="178">
        <f t="shared" si="75"/>
        <v>0</v>
      </c>
      <c r="AQ68" s="178">
        <f t="shared" si="75"/>
        <v>0</v>
      </c>
      <c r="AR68" s="178">
        <f t="shared" si="75"/>
        <v>0</v>
      </c>
      <c r="AS68" s="178">
        <f t="shared" si="75"/>
        <v>0</v>
      </c>
      <c r="AT68" s="168">
        <f t="shared" si="75"/>
        <v>0</v>
      </c>
      <c r="AU68" s="169">
        <f t="shared" si="77"/>
        <v>0</v>
      </c>
      <c r="AV68" s="179">
        <f t="shared" si="78"/>
        <v>0</v>
      </c>
      <c r="AW68" s="180">
        <f t="shared" si="105"/>
        <v>0</v>
      </c>
      <c r="AX68" s="178">
        <f t="shared" si="105"/>
        <v>0</v>
      </c>
      <c r="AY68" s="178">
        <f t="shared" si="105"/>
        <v>0</v>
      </c>
      <c r="AZ68" s="178">
        <f t="shared" si="105"/>
        <v>0</v>
      </c>
      <c r="BA68" s="178">
        <f t="shared" si="105"/>
        <v>0</v>
      </c>
      <c r="BB68" s="178">
        <f t="shared" si="105"/>
        <v>0</v>
      </c>
      <c r="BC68" s="178">
        <f t="shared" si="105"/>
        <v>0</v>
      </c>
      <c r="BD68" s="178">
        <f t="shared" si="105"/>
        <v>0</v>
      </c>
      <c r="BE68" s="178">
        <f t="shared" si="105"/>
        <v>0</v>
      </c>
      <c r="BF68" s="178">
        <f t="shared" si="105"/>
        <v>0</v>
      </c>
      <c r="BG68" s="178">
        <f t="shared" si="105"/>
        <v>0</v>
      </c>
      <c r="BH68" s="168">
        <f t="shared" si="105"/>
        <v>0</v>
      </c>
      <c r="BI68" s="169">
        <f t="shared" si="80"/>
        <v>0</v>
      </c>
      <c r="BJ68" s="179">
        <f t="shared" si="81"/>
        <v>0</v>
      </c>
      <c r="BK68" s="180">
        <f t="shared" si="106"/>
        <v>0</v>
      </c>
      <c r="BL68" s="178">
        <f t="shared" si="106"/>
        <v>0</v>
      </c>
      <c r="BM68" s="178">
        <f t="shared" si="106"/>
        <v>0</v>
      </c>
      <c r="BN68" s="178">
        <f t="shared" si="106"/>
        <v>0</v>
      </c>
      <c r="BO68" s="178">
        <f t="shared" si="106"/>
        <v>0</v>
      </c>
      <c r="BP68" s="178">
        <f t="shared" si="106"/>
        <v>0</v>
      </c>
      <c r="BQ68" s="178">
        <f t="shared" si="106"/>
        <v>0</v>
      </c>
      <c r="BR68" s="178">
        <f t="shared" si="106"/>
        <v>0</v>
      </c>
      <c r="BS68" s="178">
        <f t="shared" si="106"/>
        <v>0</v>
      </c>
      <c r="BT68" s="178">
        <f t="shared" si="106"/>
        <v>0</v>
      </c>
      <c r="BU68" s="178">
        <f t="shared" si="106"/>
        <v>0</v>
      </c>
      <c r="BV68" s="168">
        <f t="shared" si="106"/>
        <v>0</v>
      </c>
      <c r="BW68" s="169">
        <f t="shared" si="83"/>
        <v>0</v>
      </c>
      <c r="BX68" s="179">
        <f t="shared" si="84"/>
        <v>0</v>
      </c>
      <c r="BY68" s="180">
        <f t="shared" si="107"/>
        <v>0</v>
      </c>
      <c r="BZ68" s="178">
        <f t="shared" si="107"/>
        <v>0</v>
      </c>
      <c r="CA68" s="178">
        <f t="shared" si="107"/>
        <v>0</v>
      </c>
      <c r="CB68" s="178">
        <f t="shared" si="107"/>
        <v>0</v>
      </c>
      <c r="CC68" s="178">
        <f t="shared" si="107"/>
        <v>0</v>
      </c>
      <c r="CD68" s="178">
        <f t="shared" si="107"/>
        <v>0</v>
      </c>
      <c r="CE68" s="178">
        <f t="shared" si="107"/>
        <v>0</v>
      </c>
      <c r="CF68" s="178">
        <f t="shared" si="107"/>
        <v>0</v>
      </c>
      <c r="CG68" s="178">
        <f t="shared" si="107"/>
        <v>0</v>
      </c>
      <c r="CH68" s="178">
        <f t="shared" si="107"/>
        <v>0</v>
      </c>
      <c r="CI68" s="178">
        <f t="shared" si="107"/>
        <v>0</v>
      </c>
      <c r="CJ68" s="168">
        <f t="shared" si="107"/>
        <v>0</v>
      </c>
      <c r="CK68" s="169">
        <f t="shared" si="86"/>
        <v>0</v>
      </c>
      <c r="CL68" s="179">
        <f t="shared" si="87"/>
        <v>0</v>
      </c>
      <c r="CM68" s="180">
        <f t="shared" si="108"/>
        <v>0</v>
      </c>
      <c r="CN68" s="178">
        <f t="shared" si="108"/>
        <v>0</v>
      </c>
      <c r="CO68" s="178">
        <f t="shared" si="108"/>
        <v>0</v>
      </c>
      <c r="CP68" s="178">
        <f t="shared" si="108"/>
        <v>0</v>
      </c>
      <c r="CQ68" s="178">
        <f t="shared" si="108"/>
        <v>0</v>
      </c>
      <c r="CR68" s="178">
        <f t="shared" si="108"/>
        <v>0</v>
      </c>
      <c r="CS68" s="178">
        <f t="shared" si="108"/>
        <v>0</v>
      </c>
      <c r="CT68" s="178">
        <f t="shared" si="108"/>
        <v>0</v>
      </c>
      <c r="CU68" s="178">
        <f t="shared" si="108"/>
        <v>0</v>
      </c>
      <c r="CV68" s="178">
        <f t="shared" si="108"/>
        <v>0</v>
      </c>
      <c r="CW68" s="178">
        <f t="shared" si="108"/>
        <v>0</v>
      </c>
      <c r="CX68" s="168">
        <f t="shared" si="108"/>
        <v>0</v>
      </c>
      <c r="CY68" s="169">
        <f t="shared" si="89"/>
        <v>0</v>
      </c>
      <c r="CZ68" s="179">
        <f t="shared" si="90"/>
        <v>0</v>
      </c>
      <c r="DA68" s="180">
        <f t="shared" si="109"/>
        <v>0</v>
      </c>
      <c r="DB68" s="178">
        <f t="shared" si="109"/>
        <v>0</v>
      </c>
      <c r="DC68" s="178">
        <f t="shared" si="109"/>
        <v>0</v>
      </c>
      <c r="DD68" s="178">
        <f t="shared" si="109"/>
        <v>0</v>
      </c>
      <c r="DE68" s="178">
        <f t="shared" si="109"/>
        <v>0</v>
      </c>
      <c r="DF68" s="178">
        <f t="shared" si="109"/>
        <v>0</v>
      </c>
      <c r="DG68" s="178">
        <f t="shared" si="109"/>
        <v>0</v>
      </c>
      <c r="DH68" s="178">
        <f t="shared" si="109"/>
        <v>0</v>
      </c>
      <c r="DI68" s="178">
        <f t="shared" si="109"/>
        <v>0</v>
      </c>
      <c r="DJ68" s="178">
        <f t="shared" si="109"/>
        <v>0</v>
      </c>
      <c r="DK68" s="178">
        <f t="shared" si="109"/>
        <v>0</v>
      </c>
      <c r="DL68" s="168">
        <f t="shared" si="109"/>
        <v>0</v>
      </c>
      <c r="DM68" s="169">
        <f t="shared" si="92"/>
        <v>0</v>
      </c>
      <c r="DN68" s="171">
        <f t="shared" si="93"/>
        <v>0</v>
      </c>
      <c r="DO68" s="180">
        <f t="shared" si="110"/>
        <v>0</v>
      </c>
      <c r="DP68" s="178">
        <f t="shared" si="110"/>
        <v>0</v>
      </c>
      <c r="DQ68" s="178">
        <f t="shared" si="110"/>
        <v>0</v>
      </c>
      <c r="DR68" s="178">
        <f t="shared" si="110"/>
        <v>0</v>
      </c>
      <c r="DS68" s="178">
        <f t="shared" si="110"/>
        <v>0</v>
      </c>
      <c r="DT68" s="178">
        <f t="shared" si="110"/>
        <v>0</v>
      </c>
      <c r="DU68" s="178">
        <f t="shared" si="110"/>
        <v>0</v>
      </c>
      <c r="DV68" s="178">
        <f t="shared" si="110"/>
        <v>0</v>
      </c>
      <c r="DW68" s="178">
        <f t="shared" si="110"/>
        <v>0</v>
      </c>
      <c r="DX68" s="178">
        <f t="shared" si="110"/>
        <v>0</v>
      </c>
      <c r="DY68" s="178">
        <f t="shared" si="110"/>
        <v>0</v>
      </c>
      <c r="DZ68" s="168">
        <f t="shared" si="110"/>
        <v>0</v>
      </c>
      <c r="EA68" s="169">
        <f t="shared" si="95"/>
        <v>0</v>
      </c>
      <c r="EB68" s="171">
        <f t="shared" si="96"/>
        <v>0</v>
      </c>
    </row>
    <row r="69" spans="1:132" s="177" customFormat="1" ht="15.75">
      <c r="A69" s="183"/>
      <c r="B69" s="164"/>
      <c r="C69" s="184"/>
      <c r="D69" s="185"/>
      <c r="E69" s="167">
        <v>3</v>
      </c>
      <c r="F69" s="168">
        <f t="shared" si="68"/>
        <v>0</v>
      </c>
      <c r="G69" s="169">
        <f t="shared" si="113"/>
        <v>0</v>
      </c>
      <c r="H69" s="178">
        <f t="shared" si="113"/>
        <v>0</v>
      </c>
      <c r="I69" s="178">
        <f t="shared" si="113"/>
        <v>0</v>
      </c>
      <c r="J69" s="178">
        <f t="shared" si="113"/>
        <v>0</v>
      </c>
      <c r="K69" s="178">
        <f t="shared" si="113"/>
        <v>0</v>
      </c>
      <c r="L69" s="178">
        <f t="shared" si="113"/>
        <v>0</v>
      </c>
      <c r="M69" s="178">
        <f t="shared" si="113"/>
        <v>0</v>
      </c>
      <c r="N69" s="178">
        <f t="shared" si="113"/>
        <v>0</v>
      </c>
      <c r="O69" s="178">
        <f t="shared" si="113"/>
        <v>0</v>
      </c>
      <c r="P69" s="178">
        <f t="shared" si="113"/>
        <v>0</v>
      </c>
      <c r="Q69" s="178">
        <f t="shared" si="113"/>
        <v>0</v>
      </c>
      <c r="R69" s="179">
        <f t="shared" si="113"/>
        <v>0</v>
      </c>
      <c r="S69" s="169">
        <f t="shared" si="70"/>
        <v>0</v>
      </c>
      <c r="T69" s="179">
        <f t="shared" si="71"/>
        <v>0</v>
      </c>
      <c r="U69" s="180">
        <f t="shared" si="104"/>
        <v>0</v>
      </c>
      <c r="V69" s="178">
        <f t="shared" si="104"/>
        <v>0</v>
      </c>
      <c r="W69" s="178">
        <f t="shared" si="104"/>
        <v>0</v>
      </c>
      <c r="X69" s="178">
        <f t="shared" si="104"/>
        <v>0</v>
      </c>
      <c r="Y69" s="178">
        <f t="shared" si="104"/>
        <v>0</v>
      </c>
      <c r="Z69" s="178">
        <f t="shared" si="104"/>
        <v>0</v>
      </c>
      <c r="AA69" s="178">
        <f t="shared" si="104"/>
        <v>0</v>
      </c>
      <c r="AB69" s="178">
        <f t="shared" si="104"/>
        <v>0</v>
      </c>
      <c r="AC69" s="178">
        <f t="shared" si="104"/>
        <v>0</v>
      </c>
      <c r="AD69" s="178">
        <f t="shared" si="104"/>
        <v>0</v>
      </c>
      <c r="AE69" s="178">
        <f t="shared" si="104"/>
        <v>0</v>
      </c>
      <c r="AF69" s="168">
        <f t="shared" si="104"/>
        <v>0</v>
      </c>
      <c r="AG69" s="169">
        <f t="shared" si="73"/>
        <v>0</v>
      </c>
      <c r="AH69" s="179">
        <f t="shared" si="74"/>
        <v>0</v>
      </c>
      <c r="AI69" s="180">
        <f t="shared" si="75"/>
        <v>0</v>
      </c>
      <c r="AJ69" s="178">
        <f t="shared" si="75"/>
        <v>0</v>
      </c>
      <c r="AK69" s="178">
        <f t="shared" si="75"/>
        <v>0</v>
      </c>
      <c r="AL69" s="178">
        <f t="shared" si="75"/>
        <v>0</v>
      </c>
      <c r="AM69" s="178">
        <f t="shared" si="75"/>
        <v>0</v>
      </c>
      <c r="AN69" s="178">
        <f t="shared" si="75"/>
        <v>0</v>
      </c>
      <c r="AO69" s="178">
        <f t="shared" si="75"/>
        <v>0</v>
      </c>
      <c r="AP69" s="178">
        <f t="shared" si="75"/>
        <v>0</v>
      </c>
      <c r="AQ69" s="178">
        <f t="shared" si="75"/>
        <v>0</v>
      </c>
      <c r="AR69" s="178">
        <f t="shared" si="75"/>
        <v>0</v>
      </c>
      <c r="AS69" s="178">
        <f t="shared" si="75"/>
        <v>0</v>
      </c>
      <c r="AT69" s="168">
        <f t="shared" si="75"/>
        <v>0</v>
      </c>
      <c r="AU69" s="169">
        <f t="shared" si="77"/>
        <v>0</v>
      </c>
      <c r="AV69" s="179">
        <f t="shared" si="78"/>
        <v>0</v>
      </c>
      <c r="AW69" s="180">
        <f t="shared" si="105"/>
        <v>0</v>
      </c>
      <c r="AX69" s="178">
        <f t="shared" si="105"/>
        <v>0</v>
      </c>
      <c r="AY69" s="178">
        <f t="shared" si="105"/>
        <v>0</v>
      </c>
      <c r="AZ69" s="178">
        <f t="shared" si="105"/>
        <v>0</v>
      </c>
      <c r="BA69" s="178">
        <f t="shared" si="105"/>
        <v>0</v>
      </c>
      <c r="BB69" s="178">
        <f t="shared" si="105"/>
        <v>0</v>
      </c>
      <c r="BC69" s="178">
        <f t="shared" si="105"/>
        <v>0</v>
      </c>
      <c r="BD69" s="178">
        <f t="shared" si="105"/>
        <v>0</v>
      </c>
      <c r="BE69" s="178">
        <f t="shared" si="105"/>
        <v>0</v>
      </c>
      <c r="BF69" s="178">
        <f t="shared" si="105"/>
        <v>0</v>
      </c>
      <c r="BG69" s="178">
        <f t="shared" si="105"/>
        <v>0</v>
      </c>
      <c r="BH69" s="168">
        <f t="shared" si="105"/>
        <v>0</v>
      </c>
      <c r="BI69" s="169">
        <f t="shared" si="80"/>
        <v>0</v>
      </c>
      <c r="BJ69" s="179">
        <f t="shared" si="81"/>
        <v>0</v>
      </c>
      <c r="BK69" s="180">
        <f t="shared" si="106"/>
        <v>0</v>
      </c>
      <c r="BL69" s="178">
        <f t="shared" si="106"/>
        <v>0</v>
      </c>
      <c r="BM69" s="178">
        <f t="shared" si="106"/>
        <v>0</v>
      </c>
      <c r="BN69" s="178">
        <f t="shared" si="106"/>
        <v>0</v>
      </c>
      <c r="BO69" s="178">
        <f t="shared" si="106"/>
        <v>0</v>
      </c>
      <c r="BP69" s="178">
        <f t="shared" si="106"/>
        <v>0</v>
      </c>
      <c r="BQ69" s="178">
        <f t="shared" si="106"/>
        <v>0</v>
      </c>
      <c r="BR69" s="178">
        <f t="shared" si="106"/>
        <v>0</v>
      </c>
      <c r="BS69" s="178">
        <f t="shared" si="106"/>
        <v>0</v>
      </c>
      <c r="BT69" s="178">
        <f t="shared" si="106"/>
        <v>0</v>
      </c>
      <c r="BU69" s="178">
        <f t="shared" si="106"/>
        <v>0</v>
      </c>
      <c r="BV69" s="168">
        <f t="shared" si="106"/>
        <v>0</v>
      </c>
      <c r="BW69" s="169">
        <f t="shared" si="83"/>
        <v>0</v>
      </c>
      <c r="BX69" s="179">
        <f t="shared" si="84"/>
        <v>0</v>
      </c>
      <c r="BY69" s="180">
        <f t="shared" si="107"/>
        <v>0</v>
      </c>
      <c r="BZ69" s="178">
        <f t="shared" si="107"/>
        <v>0</v>
      </c>
      <c r="CA69" s="178">
        <f t="shared" si="107"/>
        <v>0</v>
      </c>
      <c r="CB69" s="178">
        <f t="shared" si="107"/>
        <v>0</v>
      </c>
      <c r="CC69" s="178">
        <f t="shared" si="107"/>
        <v>0</v>
      </c>
      <c r="CD69" s="178">
        <f t="shared" si="107"/>
        <v>0</v>
      </c>
      <c r="CE69" s="178">
        <f t="shared" si="107"/>
        <v>0</v>
      </c>
      <c r="CF69" s="178">
        <f t="shared" si="107"/>
        <v>0</v>
      </c>
      <c r="CG69" s="178">
        <f t="shared" si="107"/>
        <v>0</v>
      </c>
      <c r="CH69" s="178">
        <f t="shared" si="107"/>
        <v>0</v>
      </c>
      <c r="CI69" s="178">
        <f t="shared" si="107"/>
        <v>0</v>
      </c>
      <c r="CJ69" s="168">
        <f t="shared" si="107"/>
        <v>0</v>
      </c>
      <c r="CK69" s="169">
        <f t="shared" si="86"/>
        <v>0</v>
      </c>
      <c r="CL69" s="179">
        <f t="shared" si="87"/>
        <v>0</v>
      </c>
      <c r="CM69" s="180">
        <f t="shared" si="108"/>
        <v>0</v>
      </c>
      <c r="CN69" s="178">
        <f t="shared" si="108"/>
        <v>0</v>
      </c>
      <c r="CO69" s="178">
        <f t="shared" si="108"/>
        <v>0</v>
      </c>
      <c r="CP69" s="178">
        <f t="shared" si="108"/>
        <v>0</v>
      </c>
      <c r="CQ69" s="178">
        <f t="shared" si="108"/>
        <v>0</v>
      </c>
      <c r="CR69" s="178">
        <f t="shared" si="108"/>
        <v>0</v>
      </c>
      <c r="CS69" s="178">
        <f t="shared" si="108"/>
        <v>0</v>
      </c>
      <c r="CT69" s="178">
        <f t="shared" si="108"/>
        <v>0</v>
      </c>
      <c r="CU69" s="178">
        <f t="shared" si="108"/>
        <v>0</v>
      </c>
      <c r="CV69" s="178">
        <f t="shared" si="108"/>
        <v>0</v>
      </c>
      <c r="CW69" s="178">
        <f t="shared" si="108"/>
        <v>0</v>
      </c>
      <c r="CX69" s="168">
        <f t="shared" si="108"/>
        <v>0</v>
      </c>
      <c r="CY69" s="169">
        <f t="shared" si="89"/>
        <v>0</v>
      </c>
      <c r="CZ69" s="179">
        <f t="shared" si="90"/>
        <v>0</v>
      </c>
      <c r="DA69" s="180">
        <f t="shared" si="109"/>
        <v>0</v>
      </c>
      <c r="DB69" s="178">
        <f t="shared" si="109"/>
        <v>0</v>
      </c>
      <c r="DC69" s="178">
        <f t="shared" si="109"/>
        <v>0</v>
      </c>
      <c r="DD69" s="178">
        <f t="shared" si="109"/>
        <v>0</v>
      </c>
      <c r="DE69" s="178">
        <f t="shared" si="109"/>
        <v>0</v>
      </c>
      <c r="DF69" s="178">
        <f t="shared" si="109"/>
        <v>0</v>
      </c>
      <c r="DG69" s="178">
        <f t="shared" si="109"/>
        <v>0</v>
      </c>
      <c r="DH69" s="178">
        <f t="shared" si="109"/>
        <v>0</v>
      </c>
      <c r="DI69" s="178">
        <f t="shared" si="109"/>
        <v>0</v>
      </c>
      <c r="DJ69" s="178">
        <f t="shared" si="109"/>
        <v>0</v>
      </c>
      <c r="DK69" s="178">
        <f t="shared" si="109"/>
        <v>0</v>
      </c>
      <c r="DL69" s="168">
        <f t="shared" si="109"/>
        <v>0</v>
      </c>
      <c r="DM69" s="169">
        <f t="shared" si="92"/>
        <v>0</v>
      </c>
      <c r="DN69" s="171">
        <f t="shared" si="93"/>
        <v>0</v>
      </c>
      <c r="DO69" s="180">
        <f t="shared" si="110"/>
        <v>0</v>
      </c>
      <c r="DP69" s="178">
        <f t="shared" si="110"/>
        <v>0</v>
      </c>
      <c r="DQ69" s="178">
        <f t="shared" si="110"/>
        <v>0</v>
      </c>
      <c r="DR69" s="178">
        <f t="shared" si="110"/>
        <v>0</v>
      </c>
      <c r="DS69" s="178">
        <f t="shared" si="110"/>
        <v>0</v>
      </c>
      <c r="DT69" s="178">
        <f t="shared" si="110"/>
        <v>0</v>
      </c>
      <c r="DU69" s="178">
        <f t="shared" si="110"/>
        <v>0</v>
      </c>
      <c r="DV69" s="178">
        <f t="shared" si="110"/>
        <v>0</v>
      </c>
      <c r="DW69" s="178">
        <f t="shared" si="110"/>
        <v>0</v>
      </c>
      <c r="DX69" s="178">
        <f t="shared" si="110"/>
        <v>0</v>
      </c>
      <c r="DY69" s="178">
        <f t="shared" si="110"/>
        <v>0</v>
      </c>
      <c r="DZ69" s="168">
        <f t="shared" si="110"/>
        <v>0</v>
      </c>
      <c r="EA69" s="169">
        <f t="shared" si="95"/>
        <v>0</v>
      </c>
      <c r="EB69" s="171">
        <f t="shared" si="96"/>
        <v>0</v>
      </c>
    </row>
    <row r="70" spans="1:132" s="177" customFormat="1" ht="15.75">
      <c r="A70" s="183"/>
      <c r="B70" s="164"/>
      <c r="C70" s="184"/>
      <c r="D70" s="185"/>
      <c r="E70" s="167">
        <v>3</v>
      </c>
      <c r="F70" s="168">
        <f t="shared" si="68"/>
        <v>0</v>
      </c>
      <c r="G70" s="169">
        <f t="shared" si="113"/>
        <v>0</v>
      </c>
      <c r="H70" s="178">
        <f t="shared" si="113"/>
        <v>0</v>
      </c>
      <c r="I70" s="178">
        <f t="shared" si="113"/>
        <v>0</v>
      </c>
      <c r="J70" s="178">
        <f t="shared" si="113"/>
        <v>0</v>
      </c>
      <c r="K70" s="178">
        <f t="shared" si="113"/>
        <v>0</v>
      </c>
      <c r="L70" s="178">
        <f t="shared" si="113"/>
        <v>0</v>
      </c>
      <c r="M70" s="178">
        <f t="shared" si="113"/>
        <v>0</v>
      </c>
      <c r="N70" s="178">
        <f t="shared" si="113"/>
        <v>0</v>
      </c>
      <c r="O70" s="178">
        <f t="shared" si="113"/>
        <v>0</v>
      </c>
      <c r="P70" s="178">
        <f t="shared" si="113"/>
        <v>0</v>
      </c>
      <c r="Q70" s="178">
        <f t="shared" si="113"/>
        <v>0</v>
      </c>
      <c r="R70" s="179">
        <f t="shared" si="113"/>
        <v>0</v>
      </c>
      <c r="S70" s="169">
        <f t="shared" si="70"/>
        <v>0</v>
      </c>
      <c r="T70" s="179">
        <f t="shared" si="71"/>
        <v>0</v>
      </c>
      <c r="U70" s="180">
        <f t="shared" si="104"/>
        <v>0</v>
      </c>
      <c r="V70" s="178">
        <f t="shared" si="104"/>
        <v>0</v>
      </c>
      <c r="W70" s="178">
        <f t="shared" si="104"/>
        <v>0</v>
      </c>
      <c r="X70" s="178">
        <f t="shared" si="104"/>
        <v>0</v>
      </c>
      <c r="Y70" s="178">
        <f t="shared" si="104"/>
        <v>0</v>
      </c>
      <c r="Z70" s="178">
        <f t="shared" si="104"/>
        <v>0</v>
      </c>
      <c r="AA70" s="178">
        <f t="shared" si="104"/>
        <v>0</v>
      </c>
      <c r="AB70" s="178">
        <f t="shared" si="104"/>
        <v>0</v>
      </c>
      <c r="AC70" s="178">
        <f t="shared" si="104"/>
        <v>0</v>
      </c>
      <c r="AD70" s="178">
        <f t="shared" si="104"/>
        <v>0</v>
      </c>
      <c r="AE70" s="178">
        <f t="shared" si="104"/>
        <v>0</v>
      </c>
      <c r="AF70" s="168">
        <f t="shared" si="104"/>
        <v>0</v>
      </c>
      <c r="AG70" s="169">
        <f t="shared" si="73"/>
        <v>0</v>
      </c>
      <c r="AH70" s="179">
        <f t="shared" si="74"/>
        <v>0</v>
      </c>
      <c r="AI70" s="180">
        <f t="shared" si="75"/>
        <v>0</v>
      </c>
      <c r="AJ70" s="178">
        <f t="shared" si="75"/>
        <v>0</v>
      </c>
      <c r="AK70" s="178">
        <f t="shared" si="75"/>
        <v>0</v>
      </c>
      <c r="AL70" s="178">
        <f t="shared" si="75"/>
        <v>0</v>
      </c>
      <c r="AM70" s="178">
        <f t="shared" si="75"/>
        <v>0</v>
      </c>
      <c r="AN70" s="178">
        <f t="shared" si="75"/>
        <v>0</v>
      </c>
      <c r="AO70" s="178">
        <f t="shared" si="75"/>
        <v>0</v>
      </c>
      <c r="AP70" s="178">
        <f t="shared" si="75"/>
        <v>0</v>
      </c>
      <c r="AQ70" s="178">
        <f t="shared" si="75"/>
        <v>0</v>
      </c>
      <c r="AR70" s="178">
        <f t="shared" si="75"/>
        <v>0</v>
      </c>
      <c r="AS70" s="178">
        <f t="shared" si="75"/>
        <v>0</v>
      </c>
      <c r="AT70" s="168">
        <f t="shared" si="75"/>
        <v>0</v>
      </c>
      <c r="AU70" s="169">
        <f t="shared" si="77"/>
        <v>0</v>
      </c>
      <c r="AV70" s="179">
        <f t="shared" si="78"/>
        <v>0</v>
      </c>
      <c r="AW70" s="180">
        <f t="shared" si="105"/>
        <v>0</v>
      </c>
      <c r="AX70" s="178">
        <f t="shared" si="105"/>
        <v>0</v>
      </c>
      <c r="AY70" s="178">
        <f t="shared" si="105"/>
        <v>0</v>
      </c>
      <c r="AZ70" s="178">
        <f t="shared" si="105"/>
        <v>0</v>
      </c>
      <c r="BA70" s="178">
        <f t="shared" si="105"/>
        <v>0</v>
      </c>
      <c r="BB70" s="178">
        <f t="shared" si="105"/>
        <v>0</v>
      </c>
      <c r="BC70" s="178">
        <f t="shared" si="105"/>
        <v>0</v>
      </c>
      <c r="BD70" s="178">
        <f t="shared" si="105"/>
        <v>0</v>
      </c>
      <c r="BE70" s="178">
        <f t="shared" si="105"/>
        <v>0</v>
      </c>
      <c r="BF70" s="178">
        <f t="shared" si="105"/>
        <v>0</v>
      </c>
      <c r="BG70" s="178">
        <f t="shared" si="105"/>
        <v>0</v>
      </c>
      <c r="BH70" s="168">
        <f t="shared" si="105"/>
        <v>0</v>
      </c>
      <c r="BI70" s="169">
        <f t="shared" si="80"/>
        <v>0</v>
      </c>
      <c r="BJ70" s="179">
        <f t="shared" si="81"/>
        <v>0</v>
      </c>
      <c r="BK70" s="180">
        <f t="shared" si="106"/>
        <v>0</v>
      </c>
      <c r="BL70" s="178">
        <f t="shared" si="106"/>
        <v>0</v>
      </c>
      <c r="BM70" s="178">
        <f t="shared" si="106"/>
        <v>0</v>
      </c>
      <c r="BN70" s="178">
        <f t="shared" si="106"/>
        <v>0</v>
      </c>
      <c r="BO70" s="178">
        <f t="shared" si="106"/>
        <v>0</v>
      </c>
      <c r="BP70" s="178">
        <f t="shared" si="106"/>
        <v>0</v>
      </c>
      <c r="BQ70" s="178">
        <f t="shared" si="106"/>
        <v>0</v>
      </c>
      <c r="BR70" s="178">
        <f t="shared" si="106"/>
        <v>0</v>
      </c>
      <c r="BS70" s="178">
        <f t="shared" si="106"/>
        <v>0</v>
      </c>
      <c r="BT70" s="178">
        <f t="shared" si="106"/>
        <v>0</v>
      </c>
      <c r="BU70" s="178">
        <f t="shared" si="106"/>
        <v>0</v>
      </c>
      <c r="BV70" s="168">
        <f t="shared" si="106"/>
        <v>0</v>
      </c>
      <c r="BW70" s="169">
        <f t="shared" si="83"/>
        <v>0</v>
      </c>
      <c r="BX70" s="179">
        <f t="shared" si="84"/>
        <v>0</v>
      </c>
      <c r="BY70" s="180">
        <f t="shared" si="107"/>
        <v>0</v>
      </c>
      <c r="BZ70" s="178">
        <f t="shared" si="107"/>
        <v>0</v>
      </c>
      <c r="CA70" s="178">
        <f t="shared" si="107"/>
        <v>0</v>
      </c>
      <c r="CB70" s="178">
        <f t="shared" si="107"/>
        <v>0</v>
      </c>
      <c r="CC70" s="178">
        <f t="shared" si="107"/>
        <v>0</v>
      </c>
      <c r="CD70" s="178">
        <f t="shared" si="107"/>
        <v>0</v>
      </c>
      <c r="CE70" s="178">
        <f t="shared" si="107"/>
        <v>0</v>
      </c>
      <c r="CF70" s="178">
        <f t="shared" si="107"/>
        <v>0</v>
      </c>
      <c r="CG70" s="178">
        <f t="shared" si="107"/>
        <v>0</v>
      </c>
      <c r="CH70" s="178">
        <f t="shared" si="107"/>
        <v>0</v>
      </c>
      <c r="CI70" s="178">
        <f t="shared" si="107"/>
        <v>0</v>
      </c>
      <c r="CJ70" s="168">
        <f t="shared" si="107"/>
        <v>0</v>
      </c>
      <c r="CK70" s="169">
        <f t="shared" si="86"/>
        <v>0</v>
      </c>
      <c r="CL70" s="179">
        <f t="shared" si="87"/>
        <v>0</v>
      </c>
      <c r="CM70" s="180">
        <f t="shared" si="108"/>
        <v>0</v>
      </c>
      <c r="CN70" s="178">
        <f t="shared" si="108"/>
        <v>0</v>
      </c>
      <c r="CO70" s="178">
        <f t="shared" si="108"/>
        <v>0</v>
      </c>
      <c r="CP70" s="178">
        <f t="shared" si="108"/>
        <v>0</v>
      </c>
      <c r="CQ70" s="178">
        <f t="shared" si="108"/>
        <v>0</v>
      </c>
      <c r="CR70" s="178">
        <f t="shared" si="108"/>
        <v>0</v>
      </c>
      <c r="CS70" s="178">
        <f t="shared" si="108"/>
        <v>0</v>
      </c>
      <c r="CT70" s="178">
        <f t="shared" si="108"/>
        <v>0</v>
      </c>
      <c r="CU70" s="178">
        <f t="shared" si="108"/>
        <v>0</v>
      </c>
      <c r="CV70" s="178">
        <f t="shared" si="108"/>
        <v>0</v>
      </c>
      <c r="CW70" s="178">
        <f t="shared" si="108"/>
        <v>0</v>
      </c>
      <c r="CX70" s="168">
        <f t="shared" si="108"/>
        <v>0</v>
      </c>
      <c r="CY70" s="169">
        <f t="shared" si="89"/>
        <v>0</v>
      </c>
      <c r="CZ70" s="179">
        <f t="shared" si="90"/>
        <v>0</v>
      </c>
      <c r="DA70" s="180">
        <f t="shared" si="109"/>
        <v>0</v>
      </c>
      <c r="DB70" s="178">
        <f t="shared" si="109"/>
        <v>0</v>
      </c>
      <c r="DC70" s="178">
        <f t="shared" si="109"/>
        <v>0</v>
      </c>
      <c r="DD70" s="178">
        <f t="shared" si="109"/>
        <v>0</v>
      </c>
      <c r="DE70" s="178">
        <f t="shared" si="109"/>
        <v>0</v>
      </c>
      <c r="DF70" s="178">
        <f t="shared" si="109"/>
        <v>0</v>
      </c>
      <c r="DG70" s="178">
        <f t="shared" si="109"/>
        <v>0</v>
      </c>
      <c r="DH70" s="178">
        <f t="shared" si="109"/>
        <v>0</v>
      </c>
      <c r="DI70" s="178">
        <f t="shared" si="109"/>
        <v>0</v>
      </c>
      <c r="DJ70" s="178">
        <f t="shared" si="109"/>
        <v>0</v>
      </c>
      <c r="DK70" s="178">
        <f t="shared" si="109"/>
        <v>0</v>
      </c>
      <c r="DL70" s="168">
        <f t="shared" si="109"/>
        <v>0</v>
      </c>
      <c r="DM70" s="169">
        <f t="shared" si="92"/>
        <v>0</v>
      </c>
      <c r="DN70" s="171">
        <f t="shared" si="93"/>
        <v>0</v>
      </c>
      <c r="DO70" s="180">
        <f t="shared" si="110"/>
        <v>0</v>
      </c>
      <c r="DP70" s="178">
        <f t="shared" si="110"/>
        <v>0</v>
      </c>
      <c r="DQ70" s="178">
        <f t="shared" si="110"/>
        <v>0</v>
      </c>
      <c r="DR70" s="178">
        <f t="shared" si="110"/>
        <v>0</v>
      </c>
      <c r="DS70" s="178">
        <f t="shared" si="110"/>
        <v>0</v>
      </c>
      <c r="DT70" s="178">
        <f t="shared" si="110"/>
        <v>0</v>
      </c>
      <c r="DU70" s="178">
        <f t="shared" si="110"/>
        <v>0</v>
      </c>
      <c r="DV70" s="178">
        <f t="shared" si="110"/>
        <v>0</v>
      </c>
      <c r="DW70" s="178">
        <f t="shared" si="110"/>
        <v>0</v>
      </c>
      <c r="DX70" s="178">
        <f t="shared" si="110"/>
        <v>0</v>
      </c>
      <c r="DY70" s="178">
        <f t="shared" si="110"/>
        <v>0</v>
      </c>
      <c r="DZ70" s="168">
        <f t="shared" si="110"/>
        <v>0</v>
      </c>
      <c r="EA70" s="169">
        <f t="shared" si="95"/>
        <v>0</v>
      </c>
      <c r="EB70" s="171">
        <f t="shared" si="96"/>
        <v>0</v>
      </c>
    </row>
    <row r="71" spans="1:132" s="177" customFormat="1" ht="15.75">
      <c r="A71" s="183"/>
      <c r="B71" s="164"/>
      <c r="C71" s="184"/>
      <c r="D71" s="185"/>
      <c r="E71" s="167">
        <v>3</v>
      </c>
      <c r="F71" s="168">
        <f t="shared" si="68"/>
        <v>0</v>
      </c>
      <c r="G71" s="169">
        <f t="shared" si="113"/>
        <v>0</v>
      </c>
      <c r="H71" s="178">
        <f t="shared" si="113"/>
        <v>0</v>
      </c>
      <c r="I71" s="178">
        <f t="shared" si="113"/>
        <v>0</v>
      </c>
      <c r="J71" s="178">
        <f t="shared" si="113"/>
        <v>0</v>
      </c>
      <c r="K71" s="178">
        <f t="shared" si="113"/>
        <v>0</v>
      </c>
      <c r="L71" s="178">
        <f t="shared" si="113"/>
        <v>0</v>
      </c>
      <c r="M71" s="178">
        <f t="shared" si="113"/>
        <v>0</v>
      </c>
      <c r="N71" s="178">
        <f t="shared" si="113"/>
        <v>0</v>
      </c>
      <c r="O71" s="178">
        <f t="shared" si="113"/>
        <v>0</v>
      </c>
      <c r="P71" s="178">
        <f t="shared" si="113"/>
        <v>0</v>
      </c>
      <c r="Q71" s="178">
        <f t="shared" si="113"/>
        <v>0</v>
      </c>
      <c r="R71" s="179">
        <f t="shared" si="113"/>
        <v>0</v>
      </c>
      <c r="S71" s="169">
        <f t="shared" si="70"/>
        <v>0</v>
      </c>
      <c r="T71" s="179">
        <f t="shared" si="71"/>
        <v>0</v>
      </c>
      <c r="U71" s="180">
        <f t="shared" si="104"/>
        <v>0</v>
      </c>
      <c r="V71" s="178">
        <f t="shared" si="104"/>
        <v>0</v>
      </c>
      <c r="W71" s="178">
        <f t="shared" si="104"/>
        <v>0</v>
      </c>
      <c r="X71" s="178">
        <f t="shared" si="104"/>
        <v>0</v>
      </c>
      <c r="Y71" s="178">
        <f t="shared" si="104"/>
        <v>0</v>
      </c>
      <c r="Z71" s="178">
        <f t="shared" si="104"/>
        <v>0</v>
      </c>
      <c r="AA71" s="178">
        <f t="shared" si="104"/>
        <v>0</v>
      </c>
      <c r="AB71" s="178">
        <f t="shared" si="104"/>
        <v>0</v>
      </c>
      <c r="AC71" s="178">
        <f t="shared" si="104"/>
        <v>0</v>
      </c>
      <c r="AD71" s="178">
        <f t="shared" si="104"/>
        <v>0</v>
      </c>
      <c r="AE71" s="178">
        <f t="shared" si="104"/>
        <v>0</v>
      </c>
      <c r="AF71" s="168">
        <f t="shared" si="104"/>
        <v>0</v>
      </c>
      <c r="AG71" s="169">
        <f t="shared" si="73"/>
        <v>0</v>
      </c>
      <c r="AH71" s="179">
        <f t="shared" si="74"/>
        <v>0</v>
      </c>
      <c r="AI71" s="180">
        <f t="shared" si="75"/>
        <v>0</v>
      </c>
      <c r="AJ71" s="178">
        <f t="shared" si="75"/>
        <v>0</v>
      </c>
      <c r="AK71" s="178">
        <f t="shared" si="75"/>
        <v>0</v>
      </c>
      <c r="AL71" s="178">
        <f t="shared" si="75"/>
        <v>0</v>
      </c>
      <c r="AM71" s="178">
        <f t="shared" si="75"/>
        <v>0</v>
      </c>
      <c r="AN71" s="178">
        <f t="shared" si="75"/>
        <v>0</v>
      </c>
      <c r="AO71" s="178">
        <f t="shared" si="75"/>
        <v>0</v>
      </c>
      <c r="AP71" s="178">
        <f t="shared" si="75"/>
        <v>0</v>
      </c>
      <c r="AQ71" s="178">
        <f t="shared" si="75"/>
        <v>0</v>
      </c>
      <c r="AR71" s="178">
        <f t="shared" si="75"/>
        <v>0</v>
      </c>
      <c r="AS71" s="178">
        <f t="shared" si="75"/>
        <v>0</v>
      </c>
      <c r="AT71" s="168">
        <f t="shared" si="75"/>
        <v>0</v>
      </c>
      <c r="AU71" s="169">
        <f t="shared" si="77"/>
        <v>0</v>
      </c>
      <c r="AV71" s="179">
        <f t="shared" si="78"/>
        <v>0</v>
      </c>
      <c r="AW71" s="180">
        <f t="shared" si="105"/>
        <v>0</v>
      </c>
      <c r="AX71" s="178">
        <f t="shared" si="105"/>
        <v>0</v>
      </c>
      <c r="AY71" s="178">
        <f t="shared" si="105"/>
        <v>0</v>
      </c>
      <c r="AZ71" s="178">
        <f t="shared" si="105"/>
        <v>0</v>
      </c>
      <c r="BA71" s="178">
        <f t="shared" si="105"/>
        <v>0</v>
      </c>
      <c r="BB71" s="178">
        <f t="shared" si="105"/>
        <v>0</v>
      </c>
      <c r="BC71" s="178">
        <f t="shared" si="105"/>
        <v>0</v>
      </c>
      <c r="BD71" s="178">
        <f t="shared" si="105"/>
        <v>0</v>
      </c>
      <c r="BE71" s="178">
        <f t="shared" si="105"/>
        <v>0</v>
      </c>
      <c r="BF71" s="178">
        <f t="shared" si="105"/>
        <v>0</v>
      </c>
      <c r="BG71" s="178">
        <f t="shared" si="105"/>
        <v>0</v>
      </c>
      <c r="BH71" s="168">
        <f t="shared" si="105"/>
        <v>0</v>
      </c>
      <c r="BI71" s="169">
        <f t="shared" si="80"/>
        <v>0</v>
      </c>
      <c r="BJ71" s="179">
        <f t="shared" si="81"/>
        <v>0</v>
      </c>
      <c r="BK71" s="180">
        <f t="shared" si="106"/>
        <v>0</v>
      </c>
      <c r="BL71" s="178">
        <f t="shared" si="106"/>
        <v>0</v>
      </c>
      <c r="BM71" s="178">
        <f t="shared" si="106"/>
        <v>0</v>
      </c>
      <c r="BN71" s="178">
        <f t="shared" si="106"/>
        <v>0</v>
      </c>
      <c r="BO71" s="178">
        <f t="shared" si="106"/>
        <v>0</v>
      </c>
      <c r="BP71" s="178">
        <f t="shared" si="106"/>
        <v>0</v>
      </c>
      <c r="BQ71" s="178">
        <f t="shared" si="106"/>
        <v>0</v>
      </c>
      <c r="BR71" s="178">
        <f t="shared" si="106"/>
        <v>0</v>
      </c>
      <c r="BS71" s="178">
        <f t="shared" si="106"/>
        <v>0</v>
      </c>
      <c r="BT71" s="178">
        <f t="shared" si="106"/>
        <v>0</v>
      </c>
      <c r="BU71" s="178">
        <f t="shared" si="106"/>
        <v>0</v>
      </c>
      <c r="BV71" s="168">
        <f t="shared" si="106"/>
        <v>0</v>
      </c>
      <c r="BW71" s="169">
        <f t="shared" si="83"/>
        <v>0</v>
      </c>
      <c r="BX71" s="179">
        <f t="shared" si="84"/>
        <v>0</v>
      </c>
      <c r="BY71" s="180">
        <f t="shared" si="107"/>
        <v>0</v>
      </c>
      <c r="BZ71" s="178">
        <f t="shared" si="107"/>
        <v>0</v>
      </c>
      <c r="CA71" s="178">
        <f t="shared" si="107"/>
        <v>0</v>
      </c>
      <c r="CB71" s="178">
        <f t="shared" si="107"/>
        <v>0</v>
      </c>
      <c r="CC71" s="178">
        <f t="shared" si="107"/>
        <v>0</v>
      </c>
      <c r="CD71" s="178">
        <f t="shared" si="107"/>
        <v>0</v>
      </c>
      <c r="CE71" s="178">
        <f t="shared" si="107"/>
        <v>0</v>
      </c>
      <c r="CF71" s="178">
        <f t="shared" si="107"/>
        <v>0</v>
      </c>
      <c r="CG71" s="178">
        <f t="shared" si="107"/>
        <v>0</v>
      </c>
      <c r="CH71" s="178">
        <f t="shared" si="107"/>
        <v>0</v>
      </c>
      <c r="CI71" s="178">
        <f t="shared" si="107"/>
        <v>0</v>
      </c>
      <c r="CJ71" s="168">
        <f t="shared" si="107"/>
        <v>0</v>
      </c>
      <c r="CK71" s="169">
        <f t="shared" si="86"/>
        <v>0</v>
      </c>
      <c r="CL71" s="179">
        <f t="shared" si="87"/>
        <v>0</v>
      </c>
      <c r="CM71" s="180">
        <f t="shared" si="108"/>
        <v>0</v>
      </c>
      <c r="CN71" s="178">
        <f t="shared" si="108"/>
        <v>0</v>
      </c>
      <c r="CO71" s="178">
        <f t="shared" si="108"/>
        <v>0</v>
      </c>
      <c r="CP71" s="178">
        <f t="shared" si="108"/>
        <v>0</v>
      </c>
      <c r="CQ71" s="178">
        <f t="shared" si="108"/>
        <v>0</v>
      </c>
      <c r="CR71" s="178">
        <f t="shared" si="108"/>
        <v>0</v>
      </c>
      <c r="CS71" s="178">
        <f t="shared" si="108"/>
        <v>0</v>
      </c>
      <c r="CT71" s="178">
        <f t="shared" si="108"/>
        <v>0</v>
      </c>
      <c r="CU71" s="178">
        <f t="shared" si="108"/>
        <v>0</v>
      </c>
      <c r="CV71" s="178">
        <f t="shared" si="108"/>
        <v>0</v>
      </c>
      <c r="CW71" s="178">
        <f t="shared" si="108"/>
        <v>0</v>
      </c>
      <c r="CX71" s="168">
        <f t="shared" si="108"/>
        <v>0</v>
      </c>
      <c r="CY71" s="169">
        <f t="shared" si="89"/>
        <v>0</v>
      </c>
      <c r="CZ71" s="179">
        <f t="shared" si="90"/>
        <v>0</v>
      </c>
      <c r="DA71" s="180">
        <f t="shared" si="109"/>
        <v>0</v>
      </c>
      <c r="DB71" s="178">
        <f t="shared" si="109"/>
        <v>0</v>
      </c>
      <c r="DC71" s="178">
        <f t="shared" si="109"/>
        <v>0</v>
      </c>
      <c r="DD71" s="178">
        <f t="shared" si="109"/>
        <v>0</v>
      </c>
      <c r="DE71" s="178">
        <f t="shared" si="109"/>
        <v>0</v>
      </c>
      <c r="DF71" s="178">
        <f t="shared" si="109"/>
        <v>0</v>
      </c>
      <c r="DG71" s="178">
        <f t="shared" si="109"/>
        <v>0</v>
      </c>
      <c r="DH71" s="178">
        <f t="shared" si="109"/>
        <v>0</v>
      </c>
      <c r="DI71" s="178">
        <f t="shared" si="109"/>
        <v>0</v>
      </c>
      <c r="DJ71" s="178">
        <f t="shared" si="109"/>
        <v>0</v>
      </c>
      <c r="DK71" s="178">
        <f t="shared" si="109"/>
        <v>0</v>
      </c>
      <c r="DL71" s="168">
        <f t="shared" si="109"/>
        <v>0</v>
      </c>
      <c r="DM71" s="169">
        <f t="shared" si="92"/>
        <v>0</v>
      </c>
      <c r="DN71" s="171">
        <f t="shared" si="93"/>
        <v>0</v>
      </c>
      <c r="DO71" s="180">
        <f t="shared" si="110"/>
        <v>0</v>
      </c>
      <c r="DP71" s="178">
        <f t="shared" si="110"/>
        <v>0</v>
      </c>
      <c r="DQ71" s="178">
        <f t="shared" si="110"/>
        <v>0</v>
      </c>
      <c r="DR71" s="178">
        <f t="shared" si="110"/>
        <v>0</v>
      </c>
      <c r="DS71" s="178">
        <f t="shared" si="110"/>
        <v>0</v>
      </c>
      <c r="DT71" s="178">
        <f t="shared" si="110"/>
        <v>0</v>
      </c>
      <c r="DU71" s="178">
        <f t="shared" si="110"/>
        <v>0</v>
      </c>
      <c r="DV71" s="178">
        <f t="shared" si="110"/>
        <v>0</v>
      </c>
      <c r="DW71" s="178">
        <f t="shared" si="110"/>
        <v>0</v>
      </c>
      <c r="DX71" s="178">
        <f t="shared" si="110"/>
        <v>0</v>
      </c>
      <c r="DY71" s="178">
        <f t="shared" si="110"/>
        <v>0</v>
      </c>
      <c r="DZ71" s="168">
        <f t="shared" si="110"/>
        <v>0</v>
      </c>
      <c r="EA71" s="169">
        <f t="shared" si="95"/>
        <v>0</v>
      </c>
      <c r="EB71" s="171">
        <f t="shared" si="96"/>
        <v>0</v>
      </c>
    </row>
    <row r="72" spans="1:132" s="177" customFormat="1" ht="15.75">
      <c r="A72" s="183"/>
      <c r="B72" s="164"/>
      <c r="C72" s="184"/>
      <c r="D72" s="185"/>
      <c r="E72" s="167">
        <v>3</v>
      </c>
      <c r="F72" s="168">
        <f t="shared" si="68"/>
        <v>0</v>
      </c>
      <c r="G72" s="169">
        <f t="shared" si="113"/>
        <v>0</v>
      </c>
      <c r="H72" s="178">
        <f t="shared" si="113"/>
        <v>0</v>
      </c>
      <c r="I72" s="178">
        <f t="shared" si="113"/>
        <v>0</v>
      </c>
      <c r="J72" s="178">
        <f t="shared" si="113"/>
        <v>0</v>
      </c>
      <c r="K72" s="178">
        <f t="shared" si="113"/>
        <v>0</v>
      </c>
      <c r="L72" s="178">
        <f t="shared" si="113"/>
        <v>0</v>
      </c>
      <c r="M72" s="178">
        <f t="shared" si="113"/>
        <v>0</v>
      </c>
      <c r="N72" s="178">
        <f t="shared" si="113"/>
        <v>0</v>
      </c>
      <c r="O72" s="178">
        <f t="shared" si="113"/>
        <v>0</v>
      </c>
      <c r="P72" s="178">
        <f t="shared" si="113"/>
        <v>0</v>
      </c>
      <c r="Q72" s="178">
        <f t="shared" si="113"/>
        <v>0</v>
      </c>
      <c r="R72" s="179">
        <f t="shared" si="113"/>
        <v>0</v>
      </c>
      <c r="S72" s="169">
        <f t="shared" si="70"/>
        <v>0</v>
      </c>
      <c r="T72" s="179">
        <f t="shared" si="71"/>
        <v>0</v>
      </c>
      <c r="U72" s="180">
        <f t="shared" si="104"/>
        <v>0</v>
      </c>
      <c r="V72" s="178">
        <f t="shared" si="104"/>
        <v>0</v>
      </c>
      <c r="W72" s="178">
        <f t="shared" si="104"/>
        <v>0</v>
      </c>
      <c r="X72" s="178">
        <f t="shared" si="104"/>
        <v>0</v>
      </c>
      <c r="Y72" s="178">
        <f t="shared" si="104"/>
        <v>0</v>
      </c>
      <c r="Z72" s="178">
        <f t="shared" si="104"/>
        <v>0</v>
      </c>
      <c r="AA72" s="178">
        <f t="shared" si="104"/>
        <v>0</v>
      </c>
      <c r="AB72" s="178">
        <f t="shared" si="104"/>
        <v>0</v>
      </c>
      <c r="AC72" s="178">
        <f t="shared" si="104"/>
        <v>0</v>
      </c>
      <c r="AD72" s="178">
        <f t="shared" si="104"/>
        <v>0</v>
      </c>
      <c r="AE72" s="178">
        <f t="shared" si="104"/>
        <v>0</v>
      </c>
      <c r="AF72" s="168">
        <f t="shared" si="104"/>
        <v>0</v>
      </c>
      <c r="AG72" s="169">
        <f t="shared" si="73"/>
        <v>0</v>
      </c>
      <c r="AH72" s="179">
        <f t="shared" si="74"/>
        <v>0</v>
      </c>
      <c r="AI72" s="180">
        <f t="shared" si="75"/>
        <v>0</v>
      </c>
      <c r="AJ72" s="178">
        <f t="shared" si="75"/>
        <v>0</v>
      </c>
      <c r="AK72" s="178">
        <f t="shared" si="75"/>
        <v>0</v>
      </c>
      <c r="AL72" s="178">
        <f t="shared" si="75"/>
        <v>0</v>
      </c>
      <c r="AM72" s="178">
        <f t="shared" si="75"/>
        <v>0</v>
      </c>
      <c r="AN72" s="178">
        <f t="shared" si="75"/>
        <v>0</v>
      </c>
      <c r="AO72" s="178">
        <f t="shared" si="75"/>
        <v>0</v>
      </c>
      <c r="AP72" s="178">
        <f t="shared" si="75"/>
        <v>0</v>
      </c>
      <c r="AQ72" s="178">
        <f t="shared" si="75"/>
        <v>0</v>
      </c>
      <c r="AR72" s="178">
        <f t="shared" si="75"/>
        <v>0</v>
      </c>
      <c r="AS72" s="178">
        <f t="shared" si="75"/>
        <v>0</v>
      </c>
      <c r="AT72" s="168">
        <f t="shared" si="75"/>
        <v>0</v>
      </c>
      <c r="AU72" s="169">
        <f t="shared" si="77"/>
        <v>0</v>
      </c>
      <c r="AV72" s="179">
        <f t="shared" si="78"/>
        <v>0</v>
      </c>
      <c r="AW72" s="180">
        <f t="shared" si="105"/>
        <v>0</v>
      </c>
      <c r="AX72" s="178">
        <f t="shared" si="105"/>
        <v>0</v>
      </c>
      <c r="AY72" s="178">
        <f t="shared" si="105"/>
        <v>0</v>
      </c>
      <c r="AZ72" s="178">
        <f t="shared" si="105"/>
        <v>0</v>
      </c>
      <c r="BA72" s="178">
        <f t="shared" si="105"/>
        <v>0</v>
      </c>
      <c r="BB72" s="178">
        <f t="shared" si="105"/>
        <v>0</v>
      </c>
      <c r="BC72" s="178">
        <f t="shared" si="105"/>
        <v>0</v>
      </c>
      <c r="BD72" s="178">
        <f t="shared" si="105"/>
        <v>0</v>
      </c>
      <c r="BE72" s="178">
        <f t="shared" si="105"/>
        <v>0</v>
      </c>
      <c r="BF72" s="178">
        <f t="shared" si="105"/>
        <v>0</v>
      </c>
      <c r="BG72" s="178">
        <f t="shared" si="105"/>
        <v>0</v>
      </c>
      <c r="BH72" s="168">
        <f t="shared" si="105"/>
        <v>0</v>
      </c>
      <c r="BI72" s="169">
        <f t="shared" si="80"/>
        <v>0</v>
      </c>
      <c r="BJ72" s="179">
        <f t="shared" si="81"/>
        <v>0</v>
      </c>
      <c r="BK72" s="180">
        <f t="shared" si="106"/>
        <v>0</v>
      </c>
      <c r="BL72" s="178">
        <f t="shared" si="106"/>
        <v>0</v>
      </c>
      <c r="BM72" s="178">
        <f t="shared" si="106"/>
        <v>0</v>
      </c>
      <c r="BN72" s="178">
        <f t="shared" si="106"/>
        <v>0</v>
      </c>
      <c r="BO72" s="178">
        <f t="shared" si="106"/>
        <v>0</v>
      </c>
      <c r="BP72" s="178">
        <f t="shared" si="106"/>
        <v>0</v>
      </c>
      <c r="BQ72" s="178">
        <f t="shared" si="106"/>
        <v>0</v>
      </c>
      <c r="BR72" s="178">
        <f t="shared" si="106"/>
        <v>0</v>
      </c>
      <c r="BS72" s="178">
        <f t="shared" si="106"/>
        <v>0</v>
      </c>
      <c r="BT72" s="178">
        <f t="shared" si="106"/>
        <v>0</v>
      </c>
      <c r="BU72" s="178">
        <f t="shared" si="106"/>
        <v>0</v>
      </c>
      <c r="BV72" s="168">
        <f t="shared" si="106"/>
        <v>0</v>
      </c>
      <c r="BW72" s="169">
        <f t="shared" si="83"/>
        <v>0</v>
      </c>
      <c r="BX72" s="179">
        <f t="shared" si="84"/>
        <v>0</v>
      </c>
      <c r="BY72" s="180">
        <f t="shared" si="107"/>
        <v>0</v>
      </c>
      <c r="BZ72" s="178">
        <f t="shared" si="107"/>
        <v>0</v>
      </c>
      <c r="CA72" s="178">
        <f t="shared" si="107"/>
        <v>0</v>
      </c>
      <c r="CB72" s="178">
        <f t="shared" si="107"/>
        <v>0</v>
      </c>
      <c r="CC72" s="178">
        <f t="shared" si="107"/>
        <v>0</v>
      </c>
      <c r="CD72" s="178">
        <f t="shared" si="107"/>
        <v>0</v>
      </c>
      <c r="CE72" s="178">
        <f t="shared" si="107"/>
        <v>0</v>
      </c>
      <c r="CF72" s="178">
        <f t="shared" si="107"/>
        <v>0</v>
      </c>
      <c r="CG72" s="178">
        <f t="shared" si="107"/>
        <v>0</v>
      </c>
      <c r="CH72" s="178">
        <f t="shared" si="107"/>
        <v>0</v>
      </c>
      <c r="CI72" s="178">
        <f t="shared" si="107"/>
        <v>0</v>
      </c>
      <c r="CJ72" s="168">
        <f t="shared" si="107"/>
        <v>0</v>
      </c>
      <c r="CK72" s="169">
        <f t="shared" si="86"/>
        <v>0</v>
      </c>
      <c r="CL72" s="179">
        <f t="shared" si="87"/>
        <v>0</v>
      </c>
      <c r="CM72" s="180">
        <f t="shared" si="108"/>
        <v>0</v>
      </c>
      <c r="CN72" s="178">
        <f t="shared" si="108"/>
        <v>0</v>
      </c>
      <c r="CO72" s="178">
        <f t="shared" si="108"/>
        <v>0</v>
      </c>
      <c r="CP72" s="178">
        <f t="shared" si="108"/>
        <v>0</v>
      </c>
      <c r="CQ72" s="178">
        <f t="shared" si="108"/>
        <v>0</v>
      </c>
      <c r="CR72" s="178">
        <f t="shared" si="108"/>
        <v>0</v>
      </c>
      <c r="CS72" s="178">
        <f t="shared" si="108"/>
        <v>0</v>
      </c>
      <c r="CT72" s="178">
        <f t="shared" si="108"/>
        <v>0</v>
      </c>
      <c r="CU72" s="178">
        <f t="shared" si="108"/>
        <v>0</v>
      </c>
      <c r="CV72" s="178">
        <f t="shared" si="108"/>
        <v>0</v>
      </c>
      <c r="CW72" s="178">
        <f t="shared" si="108"/>
        <v>0</v>
      </c>
      <c r="CX72" s="168">
        <f t="shared" si="108"/>
        <v>0</v>
      </c>
      <c r="CY72" s="169">
        <f t="shared" si="89"/>
        <v>0</v>
      </c>
      <c r="CZ72" s="179">
        <f t="shared" si="90"/>
        <v>0</v>
      </c>
      <c r="DA72" s="180">
        <f t="shared" si="109"/>
        <v>0</v>
      </c>
      <c r="DB72" s="178">
        <f t="shared" si="109"/>
        <v>0</v>
      </c>
      <c r="DC72" s="178">
        <f t="shared" si="109"/>
        <v>0</v>
      </c>
      <c r="DD72" s="178">
        <f t="shared" si="109"/>
        <v>0</v>
      </c>
      <c r="DE72" s="178">
        <f t="shared" si="109"/>
        <v>0</v>
      </c>
      <c r="DF72" s="178">
        <f t="shared" si="109"/>
        <v>0</v>
      </c>
      <c r="DG72" s="178">
        <f t="shared" si="109"/>
        <v>0</v>
      </c>
      <c r="DH72" s="178">
        <f t="shared" si="109"/>
        <v>0</v>
      </c>
      <c r="DI72" s="178">
        <f t="shared" si="109"/>
        <v>0</v>
      </c>
      <c r="DJ72" s="178">
        <f t="shared" si="109"/>
        <v>0</v>
      </c>
      <c r="DK72" s="178">
        <f t="shared" si="109"/>
        <v>0</v>
      </c>
      <c r="DL72" s="168">
        <f t="shared" si="109"/>
        <v>0</v>
      </c>
      <c r="DM72" s="169">
        <f t="shared" si="92"/>
        <v>0</v>
      </c>
      <c r="DN72" s="171">
        <f t="shared" si="93"/>
        <v>0</v>
      </c>
      <c r="DO72" s="180">
        <f t="shared" si="110"/>
        <v>0</v>
      </c>
      <c r="DP72" s="178">
        <f t="shared" si="110"/>
        <v>0</v>
      </c>
      <c r="DQ72" s="178">
        <f t="shared" si="110"/>
        <v>0</v>
      </c>
      <c r="DR72" s="178">
        <f t="shared" si="110"/>
        <v>0</v>
      </c>
      <c r="DS72" s="178">
        <f t="shared" si="110"/>
        <v>0</v>
      </c>
      <c r="DT72" s="178">
        <f t="shared" si="110"/>
        <v>0</v>
      </c>
      <c r="DU72" s="178">
        <f t="shared" si="110"/>
        <v>0</v>
      </c>
      <c r="DV72" s="178">
        <f t="shared" si="110"/>
        <v>0</v>
      </c>
      <c r="DW72" s="178">
        <f t="shared" si="110"/>
        <v>0</v>
      </c>
      <c r="DX72" s="178">
        <f t="shared" si="110"/>
        <v>0</v>
      </c>
      <c r="DY72" s="178">
        <f t="shared" si="110"/>
        <v>0</v>
      </c>
      <c r="DZ72" s="168">
        <f t="shared" si="110"/>
        <v>0</v>
      </c>
      <c r="EA72" s="169">
        <f t="shared" si="95"/>
        <v>0</v>
      </c>
      <c r="EB72" s="171">
        <f t="shared" si="96"/>
        <v>0</v>
      </c>
    </row>
    <row r="73" spans="1:132" s="177" customFormat="1" ht="15.75">
      <c r="A73" s="183"/>
      <c r="B73" s="164"/>
      <c r="C73" s="184"/>
      <c r="D73" s="185"/>
      <c r="E73" s="167">
        <v>3</v>
      </c>
      <c r="F73" s="168">
        <f t="shared" si="68"/>
        <v>0</v>
      </c>
      <c r="G73" s="169">
        <f t="shared" si="113"/>
        <v>0</v>
      </c>
      <c r="H73" s="178">
        <f t="shared" si="113"/>
        <v>0</v>
      </c>
      <c r="I73" s="178">
        <f t="shared" si="113"/>
        <v>0</v>
      </c>
      <c r="J73" s="178">
        <f t="shared" si="113"/>
        <v>0</v>
      </c>
      <c r="K73" s="178">
        <f t="shared" si="113"/>
        <v>0</v>
      </c>
      <c r="L73" s="178">
        <f t="shared" si="113"/>
        <v>0</v>
      </c>
      <c r="M73" s="178">
        <f t="shared" si="113"/>
        <v>0</v>
      </c>
      <c r="N73" s="178">
        <f t="shared" si="113"/>
        <v>0</v>
      </c>
      <c r="O73" s="178">
        <f t="shared" si="113"/>
        <v>0</v>
      </c>
      <c r="P73" s="178">
        <f t="shared" si="113"/>
        <v>0</v>
      </c>
      <c r="Q73" s="178">
        <f t="shared" si="113"/>
        <v>0</v>
      </c>
      <c r="R73" s="179">
        <f t="shared" si="113"/>
        <v>0</v>
      </c>
      <c r="S73" s="169">
        <f t="shared" si="70"/>
        <v>0</v>
      </c>
      <c r="T73" s="179">
        <f t="shared" si="71"/>
        <v>0</v>
      </c>
      <c r="U73" s="180">
        <f t="shared" si="104"/>
        <v>0</v>
      </c>
      <c r="V73" s="178">
        <f t="shared" si="104"/>
        <v>0</v>
      </c>
      <c r="W73" s="178">
        <f t="shared" si="104"/>
        <v>0</v>
      </c>
      <c r="X73" s="178">
        <f t="shared" si="104"/>
        <v>0</v>
      </c>
      <c r="Y73" s="178">
        <f t="shared" si="104"/>
        <v>0</v>
      </c>
      <c r="Z73" s="178">
        <f t="shared" si="104"/>
        <v>0</v>
      </c>
      <c r="AA73" s="178">
        <f t="shared" si="104"/>
        <v>0</v>
      </c>
      <c r="AB73" s="178">
        <f t="shared" si="104"/>
        <v>0</v>
      </c>
      <c r="AC73" s="178">
        <f t="shared" si="104"/>
        <v>0</v>
      </c>
      <c r="AD73" s="178">
        <f t="shared" si="104"/>
        <v>0</v>
      </c>
      <c r="AE73" s="178">
        <f t="shared" si="104"/>
        <v>0</v>
      </c>
      <c r="AF73" s="168">
        <f t="shared" si="104"/>
        <v>0</v>
      </c>
      <c r="AG73" s="169">
        <f t="shared" si="73"/>
        <v>0</v>
      </c>
      <c r="AH73" s="179">
        <f t="shared" si="74"/>
        <v>0</v>
      </c>
      <c r="AI73" s="180">
        <f t="shared" si="75"/>
        <v>0</v>
      </c>
      <c r="AJ73" s="178">
        <f t="shared" si="75"/>
        <v>0</v>
      </c>
      <c r="AK73" s="178">
        <f t="shared" si="75"/>
        <v>0</v>
      </c>
      <c r="AL73" s="178">
        <f t="shared" si="75"/>
        <v>0</v>
      </c>
      <c r="AM73" s="178">
        <f t="shared" si="75"/>
        <v>0</v>
      </c>
      <c r="AN73" s="178">
        <f t="shared" si="75"/>
        <v>0</v>
      </c>
      <c r="AO73" s="178">
        <f t="shared" si="75"/>
        <v>0</v>
      </c>
      <c r="AP73" s="178">
        <f t="shared" si="75"/>
        <v>0</v>
      </c>
      <c r="AQ73" s="178">
        <f t="shared" si="75"/>
        <v>0</v>
      </c>
      <c r="AR73" s="178">
        <f t="shared" si="75"/>
        <v>0</v>
      </c>
      <c r="AS73" s="178">
        <f t="shared" si="75"/>
        <v>0</v>
      </c>
      <c r="AT73" s="168">
        <f t="shared" si="75"/>
        <v>0</v>
      </c>
      <c r="AU73" s="169">
        <f t="shared" si="77"/>
        <v>0</v>
      </c>
      <c r="AV73" s="179">
        <f t="shared" si="78"/>
        <v>0</v>
      </c>
      <c r="AW73" s="180">
        <f t="shared" si="105"/>
        <v>0</v>
      </c>
      <c r="AX73" s="178">
        <f t="shared" si="105"/>
        <v>0</v>
      </c>
      <c r="AY73" s="178">
        <f t="shared" si="105"/>
        <v>0</v>
      </c>
      <c r="AZ73" s="178">
        <f t="shared" si="105"/>
        <v>0</v>
      </c>
      <c r="BA73" s="178">
        <f t="shared" si="105"/>
        <v>0</v>
      </c>
      <c r="BB73" s="178">
        <f t="shared" si="105"/>
        <v>0</v>
      </c>
      <c r="BC73" s="178">
        <f t="shared" si="105"/>
        <v>0</v>
      </c>
      <c r="BD73" s="178">
        <f t="shared" si="105"/>
        <v>0</v>
      </c>
      <c r="BE73" s="178">
        <f t="shared" si="105"/>
        <v>0</v>
      </c>
      <c r="BF73" s="178">
        <f t="shared" si="105"/>
        <v>0</v>
      </c>
      <c r="BG73" s="178">
        <f t="shared" si="105"/>
        <v>0</v>
      </c>
      <c r="BH73" s="168">
        <f t="shared" si="105"/>
        <v>0</v>
      </c>
      <c r="BI73" s="169">
        <f t="shared" si="80"/>
        <v>0</v>
      </c>
      <c r="BJ73" s="179">
        <f t="shared" si="81"/>
        <v>0</v>
      </c>
      <c r="BK73" s="180">
        <f t="shared" si="106"/>
        <v>0</v>
      </c>
      <c r="BL73" s="178">
        <f t="shared" si="106"/>
        <v>0</v>
      </c>
      <c r="BM73" s="178">
        <f t="shared" si="106"/>
        <v>0</v>
      </c>
      <c r="BN73" s="178">
        <f t="shared" si="106"/>
        <v>0</v>
      </c>
      <c r="BO73" s="178">
        <f t="shared" si="106"/>
        <v>0</v>
      </c>
      <c r="BP73" s="178">
        <f t="shared" si="106"/>
        <v>0</v>
      </c>
      <c r="BQ73" s="178">
        <f t="shared" si="106"/>
        <v>0</v>
      </c>
      <c r="BR73" s="178">
        <f t="shared" si="106"/>
        <v>0</v>
      </c>
      <c r="BS73" s="178">
        <f t="shared" si="106"/>
        <v>0</v>
      </c>
      <c r="BT73" s="178">
        <f t="shared" si="106"/>
        <v>0</v>
      </c>
      <c r="BU73" s="178">
        <f t="shared" si="106"/>
        <v>0</v>
      </c>
      <c r="BV73" s="168">
        <f t="shared" si="106"/>
        <v>0</v>
      </c>
      <c r="BW73" s="169">
        <f t="shared" si="83"/>
        <v>0</v>
      </c>
      <c r="BX73" s="179">
        <f t="shared" si="84"/>
        <v>0</v>
      </c>
      <c r="BY73" s="180">
        <f t="shared" si="107"/>
        <v>0</v>
      </c>
      <c r="BZ73" s="178">
        <f t="shared" si="107"/>
        <v>0</v>
      </c>
      <c r="CA73" s="178">
        <f t="shared" si="107"/>
        <v>0</v>
      </c>
      <c r="CB73" s="178">
        <f t="shared" si="107"/>
        <v>0</v>
      </c>
      <c r="CC73" s="178">
        <f t="shared" si="107"/>
        <v>0</v>
      </c>
      <c r="CD73" s="178">
        <f t="shared" si="107"/>
        <v>0</v>
      </c>
      <c r="CE73" s="178">
        <f t="shared" si="107"/>
        <v>0</v>
      </c>
      <c r="CF73" s="178">
        <f t="shared" si="107"/>
        <v>0</v>
      </c>
      <c r="CG73" s="178">
        <f t="shared" si="107"/>
        <v>0</v>
      </c>
      <c r="CH73" s="178">
        <f t="shared" si="107"/>
        <v>0</v>
      </c>
      <c r="CI73" s="178">
        <f t="shared" si="107"/>
        <v>0</v>
      </c>
      <c r="CJ73" s="168">
        <f t="shared" si="107"/>
        <v>0</v>
      </c>
      <c r="CK73" s="169">
        <f t="shared" si="86"/>
        <v>0</v>
      </c>
      <c r="CL73" s="179">
        <f t="shared" si="87"/>
        <v>0</v>
      </c>
      <c r="CM73" s="180">
        <f t="shared" si="108"/>
        <v>0</v>
      </c>
      <c r="CN73" s="178">
        <f t="shared" si="108"/>
        <v>0</v>
      </c>
      <c r="CO73" s="178">
        <f t="shared" si="108"/>
        <v>0</v>
      </c>
      <c r="CP73" s="178">
        <f t="shared" si="108"/>
        <v>0</v>
      </c>
      <c r="CQ73" s="178">
        <f t="shared" si="108"/>
        <v>0</v>
      </c>
      <c r="CR73" s="178">
        <f t="shared" si="108"/>
        <v>0</v>
      </c>
      <c r="CS73" s="178">
        <f t="shared" si="108"/>
        <v>0</v>
      </c>
      <c r="CT73" s="178">
        <f t="shared" si="108"/>
        <v>0</v>
      </c>
      <c r="CU73" s="178">
        <f t="shared" si="108"/>
        <v>0</v>
      </c>
      <c r="CV73" s="178">
        <f t="shared" si="108"/>
        <v>0</v>
      </c>
      <c r="CW73" s="178">
        <f t="shared" si="108"/>
        <v>0</v>
      </c>
      <c r="CX73" s="168">
        <f t="shared" si="108"/>
        <v>0</v>
      </c>
      <c r="CY73" s="169">
        <f t="shared" si="89"/>
        <v>0</v>
      </c>
      <c r="CZ73" s="179">
        <f t="shared" si="90"/>
        <v>0</v>
      </c>
      <c r="DA73" s="180">
        <f t="shared" si="109"/>
        <v>0</v>
      </c>
      <c r="DB73" s="178">
        <f t="shared" si="109"/>
        <v>0</v>
      </c>
      <c r="DC73" s="178">
        <f t="shared" si="109"/>
        <v>0</v>
      </c>
      <c r="DD73" s="178">
        <f t="shared" si="109"/>
        <v>0</v>
      </c>
      <c r="DE73" s="178">
        <f t="shared" si="109"/>
        <v>0</v>
      </c>
      <c r="DF73" s="178">
        <f t="shared" si="109"/>
        <v>0</v>
      </c>
      <c r="DG73" s="178">
        <f t="shared" si="109"/>
        <v>0</v>
      </c>
      <c r="DH73" s="178">
        <f t="shared" si="109"/>
        <v>0</v>
      </c>
      <c r="DI73" s="178">
        <f t="shared" si="109"/>
        <v>0</v>
      </c>
      <c r="DJ73" s="178">
        <f t="shared" si="109"/>
        <v>0</v>
      </c>
      <c r="DK73" s="178">
        <f t="shared" si="109"/>
        <v>0</v>
      </c>
      <c r="DL73" s="168">
        <f t="shared" si="109"/>
        <v>0</v>
      </c>
      <c r="DM73" s="169">
        <f t="shared" si="92"/>
        <v>0</v>
      </c>
      <c r="DN73" s="171">
        <f t="shared" si="93"/>
        <v>0</v>
      </c>
      <c r="DO73" s="180">
        <f t="shared" si="110"/>
        <v>0</v>
      </c>
      <c r="DP73" s="178">
        <f t="shared" si="110"/>
        <v>0</v>
      </c>
      <c r="DQ73" s="178">
        <f t="shared" si="110"/>
        <v>0</v>
      </c>
      <c r="DR73" s="178">
        <f t="shared" si="110"/>
        <v>0</v>
      </c>
      <c r="DS73" s="178">
        <f t="shared" si="110"/>
        <v>0</v>
      </c>
      <c r="DT73" s="178">
        <f t="shared" si="110"/>
        <v>0</v>
      </c>
      <c r="DU73" s="178">
        <f t="shared" si="110"/>
        <v>0</v>
      </c>
      <c r="DV73" s="178">
        <f t="shared" si="110"/>
        <v>0</v>
      </c>
      <c r="DW73" s="178">
        <f t="shared" si="110"/>
        <v>0</v>
      </c>
      <c r="DX73" s="178">
        <f t="shared" si="110"/>
        <v>0</v>
      </c>
      <c r="DY73" s="178">
        <f t="shared" si="110"/>
        <v>0</v>
      </c>
      <c r="DZ73" s="168">
        <f t="shared" si="110"/>
        <v>0</v>
      </c>
      <c r="EA73" s="169">
        <f t="shared" si="95"/>
        <v>0</v>
      </c>
      <c r="EB73" s="171">
        <f t="shared" si="96"/>
        <v>0</v>
      </c>
    </row>
    <row r="74" spans="1:132" s="177" customFormat="1" ht="15.75">
      <c r="A74" s="183"/>
      <c r="B74" s="164"/>
      <c r="C74" s="184"/>
      <c r="D74" s="185"/>
      <c r="E74" s="167">
        <v>3</v>
      </c>
      <c r="F74" s="168">
        <f t="shared" si="68"/>
        <v>0</v>
      </c>
      <c r="G74" s="169">
        <f t="shared" si="113"/>
        <v>0</v>
      </c>
      <c r="H74" s="178">
        <f t="shared" si="113"/>
        <v>0</v>
      </c>
      <c r="I74" s="178">
        <f t="shared" si="113"/>
        <v>0</v>
      </c>
      <c r="J74" s="178">
        <f t="shared" si="113"/>
        <v>0</v>
      </c>
      <c r="K74" s="178">
        <f t="shared" si="113"/>
        <v>0</v>
      </c>
      <c r="L74" s="178">
        <f t="shared" si="113"/>
        <v>0</v>
      </c>
      <c r="M74" s="178">
        <f t="shared" si="113"/>
        <v>0</v>
      </c>
      <c r="N74" s="178">
        <f t="shared" si="113"/>
        <v>0</v>
      </c>
      <c r="O74" s="178">
        <f t="shared" si="113"/>
        <v>0</v>
      </c>
      <c r="P74" s="178">
        <f t="shared" si="113"/>
        <v>0</v>
      </c>
      <c r="Q74" s="178">
        <f t="shared" si="113"/>
        <v>0</v>
      </c>
      <c r="R74" s="179">
        <f t="shared" si="113"/>
        <v>0</v>
      </c>
      <c r="S74" s="169">
        <f t="shared" si="70"/>
        <v>0</v>
      </c>
      <c r="T74" s="179">
        <f t="shared" si="71"/>
        <v>0</v>
      </c>
      <c r="U74" s="180">
        <f t="shared" si="104"/>
        <v>0</v>
      </c>
      <c r="V74" s="178">
        <f t="shared" si="104"/>
        <v>0</v>
      </c>
      <c r="W74" s="178">
        <f t="shared" si="104"/>
        <v>0</v>
      </c>
      <c r="X74" s="178">
        <f t="shared" si="104"/>
        <v>0</v>
      </c>
      <c r="Y74" s="178">
        <f t="shared" si="104"/>
        <v>0</v>
      </c>
      <c r="Z74" s="178">
        <f t="shared" si="104"/>
        <v>0</v>
      </c>
      <c r="AA74" s="178">
        <f t="shared" si="104"/>
        <v>0</v>
      </c>
      <c r="AB74" s="178">
        <f t="shared" si="104"/>
        <v>0</v>
      </c>
      <c r="AC74" s="178">
        <f t="shared" si="104"/>
        <v>0</v>
      </c>
      <c r="AD74" s="178">
        <f t="shared" si="104"/>
        <v>0</v>
      </c>
      <c r="AE74" s="178">
        <f t="shared" si="104"/>
        <v>0</v>
      </c>
      <c r="AF74" s="168">
        <f t="shared" si="104"/>
        <v>0</v>
      </c>
      <c r="AG74" s="169">
        <f t="shared" si="73"/>
        <v>0</v>
      </c>
      <c r="AH74" s="179">
        <f t="shared" si="74"/>
        <v>0</v>
      </c>
      <c r="AI74" s="180">
        <f t="shared" si="75"/>
        <v>0</v>
      </c>
      <c r="AJ74" s="178">
        <f t="shared" si="75"/>
        <v>0</v>
      </c>
      <c r="AK74" s="178">
        <f t="shared" si="75"/>
        <v>0</v>
      </c>
      <c r="AL74" s="178">
        <f t="shared" si="75"/>
        <v>0</v>
      </c>
      <c r="AM74" s="178">
        <f t="shared" si="75"/>
        <v>0</v>
      </c>
      <c r="AN74" s="178">
        <f t="shared" si="75"/>
        <v>0</v>
      </c>
      <c r="AO74" s="178">
        <f t="shared" si="75"/>
        <v>0</v>
      </c>
      <c r="AP74" s="178">
        <f t="shared" si="75"/>
        <v>0</v>
      </c>
      <c r="AQ74" s="178">
        <f t="shared" si="75"/>
        <v>0</v>
      </c>
      <c r="AR74" s="178">
        <f t="shared" si="75"/>
        <v>0</v>
      </c>
      <c r="AS74" s="178">
        <f t="shared" si="75"/>
        <v>0</v>
      </c>
      <c r="AT74" s="168">
        <f t="shared" si="75"/>
        <v>0</v>
      </c>
      <c r="AU74" s="169">
        <f t="shared" si="77"/>
        <v>0</v>
      </c>
      <c r="AV74" s="179">
        <f t="shared" si="78"/>
        <v>0</v>
      </c>
      <c r="AW74" s="180">
        <f t="shared" si="105"/>
        <v>0</v>
      </c>
      <c r="AX74" s="178">
        <f t="shared" si="105"/>
        <v>0</v>
      </c>
      <c r="AY74" s="178">
        <f t="shared" si="105"/>
        <v>0</v>
      </c>
      <c r="AZ74" s="178">
        <f t="shared" si="105"/>
        <v>0</v>
      </c>
      <c r="BA74" s="178">
        <f t="shared" si="105"/>
        <v>0</v>
      </c>
      <c r="BB74" s="178">
        <f t="shared" si="105"/>
        <v>0</v>
      </c>
      <c r="BC74" s="178">
        <f t="shared" si="105"/>
        <v>0</v>
      </c>
      <c r="BD74" s="178">
        <f t="shared" si="105"/>
        <v>0</v>
      </c>
      <c r="BE74" s="178">
        <f t="shared" si="105"/>
        <v>0</v>
      </c>
      <c r="BF74" s="178">
        <f t="shared" si="105"/>
        <v>0</v>
      </c>
      <c r="BG74" s="178">
        <f t="shared" si="105"/>
        <v>0</v>
      </c>
      <c r="BH74" s="168">
        <f t="shared" si="105"/>
        <v>0</v>
      </c>
      <c r="BI74" s="169">
        <f t="shared" si="80"/>
        <v>0</v>
      </c>
      <c r="BJ74" s="179">
        <f t="shared" si="81"/>
        <v>0</v>
      </c>
      <c r="BK74" s="180">
        <f t="shared" si="106"/>
        <v>0</v>
      </c>
      <c r="BL74" s="178">
        <f t="shared" si="106"/>
        <v>0</v>
      </c>
      <c r="BM74" s="178">
        <f t="shared" si="106"/>
        <v>0</v>
      </c>
      <c r="BN74" s="178">
        <f t="shared" si="106"/>
        <v>0</v>
      </c>
      <c r="BO74" s="178">
        <f t="shared" si="106"/>
        <v>0</v>
      </c>
      <c r="BP74" s="178">
        <f t="shared" si="106"/>
        <v>0</v>
      </c>
      <c r="BQ74" s="178">
        <f t="shared" si="106"/>
        <v>0</v>
      </c>
      <c r="BR74" s="178">
        <f t="shared" si="106"/>
        <v>0</v>
      </c>
      <c r="BS74" s="178">
        <f t="shared" si="106"/>
        <v>0</v>
      </c>
      <c r="BT74" s="178">
        <f t="shared" si="106"/>
        <v>0</v>
      </c>
      <c r="BU74" s="178">
        <f t="shared" si="106"/>
        <v>0</v>
      </c>
      <c r="BV74" s="168">
        <f t="shared" si="106"/>
        <v>0</v>
      </c>
      <c r="BW74" s="169">
        <f t="shared" si="83"/>
        <v>0</v>
      </c>
      <c r="BX74" s="179">
        <f t="shared" si="84"/>
        <v>0</v>
      </c>
      <c r="BY74" s="180">
        <f t="shared" si="107"/>
        <v>0</v>
      </c>
      <c r="BZ74" s="178">
        <f t="shared" si="107"/>
        <v>0</v>
      </c>
      <c r="CA74" s="178">
        <f t="shared" si="107"/>
        <v>0</v>
      </c>
      <c r="CB74" s="178">
        <f t="shared" si="107"/>
        <v>0</v>
      </c>
      <c r="CC74" s="178">
        <f t="shared" si="107"/>
        <v>0</v>
      </c>
      <c r="CD74" s="178">
        <f t="shared" si="107"/>
        <v>0</v>
      </c>
      <c r="CE74" s="178">
        <f t="shared" si="107"/>
        <v>0</v>
      </c>
      <c r="CF74" s="178">
        <f t="shared" si="107"/>
        <v>0</v>
      </c>
      <c r="CG74" s="178">
        <f t="shared" si="107"/>
        <v>0</v>
      </c>
      <c r="CH74" s="178">
        <f t="shared" si="107"/>
        <v>0</v>
      </c>
      <c r="CI74" s="178">
        <f t="shared" si="107"/>
        <v>0</v>
      </c>
      <c r="CJ74" s="168">
        <f t="shared" si="107"/>
        <v>0</v>
      </c>
      <c r="CK74" s="169">
        <f t="shared" si="86"/>
        <v>0</v>
      </c>
      <c r="CL74" s="179">
        <f t="shared" si="87"/>
        <v>0</v>
      </c>
      <c r="CM74" s="180">
        <f t="shared" si="108"/>
        <v>0</v>
      </c>
      <c r="CN74" s="178">
        <f t="shared" si="108"/>
        <v>0</v>
      </c>
      <c r="CO74" s="178">
        <f t="shared" si="108"/>
        <v>0</v>
      </c>
      <c r="CP74" s="178">
        <f t="shared" si="108"/>
        <v>0</v>
      </c>
      <c r="CQ74" s="178">
        <f t="shared" si="108"/>
        <v>0</v>
      </c>
      <c r="CR74" s="178">
        <f t="shared" si="108"/>
        <v>0</v>
      </c>
      <c r="CS74" s="178">
        <f t="shared" si="108"/>
        <v>0</v>
      </c>
      <c r="CT74" s="178">
        <f t="shared" si="108"/>
        <v>0</v>
      </c>
      <c r="CU74" s="178">
        <f t="shared" si="108"/>
        <v>0</v>
      </c>
      <c r="CV74" s="178">
        <f t="shared" si="108"/>
        <v>0</v>
      </c>
      <c r="CW74" s="178">
        <f t="shared" si="108"/>
        <v>0</v>
      </c>
      <c r="CX74" s="168">
        <f t="shared" si="108"/>
        <v>0</v>
      </c>
      <c r="CY74" s="169">
        <f t="shared" si="89"/>
        <v>0</v>
      </c>
      <c r="CZ74" s="179">
        <f t="shared" si="90"/>
        <v>0</v>
      </c>
      <c r="DA74" s="180">
        <f t="shared" si="109"/>
        <v>0</v>
      </c>
      <c r="DB74" s="178">
        <f t="shared" si="109"/>
        <v>0</v>
      </c>
      <c r="DC74" s="178">
        <f t="shared" si="109"/>
        <v>0</v>
      </c>
      <c r="DD74" s="178">
        <f t="shared" si="109"/>
        <v>0</v>
      </c>
      <c r="DE74" s="178">
        <f t="shared" si="109"/>
        <v>0</v>
      </c>
      <c r="DF74" s="178">
        <f t="shared" si="109"/>
        <v>0</v>
      </c>
      <c r="DG74" s="178">
        <f t="shared" si="109"/>
        <v>0</v>
      </c>
      <c r="DH74" s="178">
        <f t="shared" si="109"/>
        <v>0</v>
      </c>
      <c r="DI74" s="178">
        <f t="shared" si="109"/>
        <v>0</v>
      </c>
      <c r="DJ74" s="178">
        <f t="shared" si="109"/>
        <v>0</v>
      </c>
      <c r="DK74" s="178">
        <f t="shared" si="109"/>
        <v>0</v>
      </c>
      <c r="DL74" s="168">
        <f t="shared" si="109"/>
        <v>0</v>
      </c>
      <c r="DM74" s="169">
        <f t="shared" si="92"/>
        <v>0</v>
      </c>
      <c r="DN74" s="171">
        <f t="shared" si="93"/>
        <v>0</v>
      </c>
      <c r="DO74" s="180">
        <f t="shared" si="110"/>
        <v>0</v>
      </c>
      <c r="DP74" s="178">
        <f t="shared" si="110"/>
        <v>0</v>
      </c>
      <c r="DQ74" s="178">
        <f t="shared" si="110"/>
        <v>0</v>
      </c>
      <c r="DR74" s="178">
        <f t="shared" si="110"/>
        <v>0</v>
      </c>
      <c r="DS74" s="178">
        <f t="shared" si="110"/>
        <v>0</v>
      </c>
      <c r="DT74" s="178">
        <f t="shared" si="110"/>
        <v>0</v>
      </c>
      <c r="DU74" s="178">
        <f t="shared" si="110"/>
        <v>0</v>
      </c>
      <c r="DV74" s="178">
        <f t="shared" si="110"/>
        <v>0</v>
      </c>
      <c r="DW74" s="178">
        <f t="shared" si="110"/>
        <v>0</v>
      </c>
      <c r="DX74" s="178">
        <f t="shared" si="110"/>
        <v>0</v>
      </c>
      <c r="DY74" s="178">
        <f t="shared" si="110"/>
        <v>0</v>
      </c>
      <c r="DZ74" s="168">
        <f t="shared" si="110"/>
        <v>0</v>
      </c>
      <c r="EA74" s="169">
        <f t="shared" si="95"/>
        <v>0</v>
      </c>
      <c r="EB74" s="171">
        <f t="shared" si="96"/>
        <v>0</v>
      </c>
    </row>
    <row r="75" spans="1:132" s="177" customFormat="1" ht="15.75">
      <c r="A75" s="183"/>
      <c r="B75" s="164"/>
      <c r="C75" s="184"/>
      <c r="D75" s="185"/>
      <c r="E75" s="167">
        <v>3</v>
      </c>
      <c r="F75" s="168">
        <f t="shared" si="68"/>
        <v>0</v>
      </c>
      <c r="G75" s="169">
        <f t="shared" si="113"/>
        <v>0</v>
      </c>
      <c r="H75" s="178">
        <f t="shared" si="113"/>
        <v>0</v>
      </c>
      <c r="I75" s="178">
        <f t="shared" si="113"/>
        <v>0</v>
      </c>
      <c r="J75" s="178">
        <f t="shared" si="113"/>
        <v>0</v>
      </c>
      <c r="K75" s="178">
        <f t="shared" si="113"/>
        <v>0</v>
      </c>
      <c r="L75" s="178">
        <f t="shared" si="113"/>
        <v>0</v>
      </c>
      <c r="M75" s="178">
        <f t="shared" si="113"/>
        <v>0</v>
      </c>
      <c r="N75" s="178">
        <f t="shared" si="113"/>
        <v>0</v>
      </c>
      <c r="O75" s="178">
        <f t="shared" si="113"/>
        <v>0</v>
      </c>
      <c r="P75" s="178">
        <f t="shared" si="113"/>
        <v>0</v>
      </c>
      <c r="Q75" s="178">
        <f t="shared" si="113"/>
        <v>0</v>
      </c>
      <c r="R75" s="179">
        <f t="shared" si="113"/>
        <v>0</v>
      </c>
      <c r="S75" s="169">
        <f t="shared" si="70"/>
        <v>0</v>
      </c>
      <c r="T75" s="179">
        <f t="shared" si="71"/>
        <v>0</v>
      </c>
      <c r="U75" s="180">
        <f t="shared" si="104"/>
        <v>0</v>
      </c>
      <c r="V75" s="178">
        <f t="shared" si="104"/>
        <v>0</v>
      </c>
      <c r="W75" s="178">
        <f t="shared" si="104"/>
        <v>0</v>
      </c>
      <c r="X75" s="178">
        <f t="shared" si="104"/>
        <v>0</v>
      </c>
      <c r="Y75" s="178">
        <f t="shared" si="104"/>
        <v>0</v>
      </c>
      <c r="Z75" s="178">
        <f t="shared" si="104"/>
        <v>0</v>
      </c>
      <c r="AA75" s="178">
        <f t="shared" si="104"/>
        <v>0</v>
      </c>
      <c r="AB75" s="178">
        <f t="shared" si="104"/>
        <v>0</v>
      </c>
      <c r="AC75" s="178">
        <f t="shared" si="104"/>
        <v>0</v>
      </c>
      <c r="AD75" s="178">
        <f t="shared" si="104"/>
        <v>0</v>
      </c>
      <c r="AE75" s="178">
        <f t="shared" si="104"/>
        <v>0</v>
      </c>
      <c r="AF75" s="168">
        <f t="shared" si="104"/>
        <v>0</v>
      </c>
      <c r="AG75" s="169">
        <f t="shared" si="73"/>
        <v>0</v>
      </c>
      <c r="AH75" s="179">
        <f t="shared" si="74"/>
        <v>0</v>
      </c>
      <c r="AI75" s="180">
        <f t="shared" si="75"/>
        <v>0</v>
      </c>
      <c r="AJ75" s="178">
        <f t="shared" si="75"/>
        <v>0</v>
      </c>
      <c r="AK75" s="178">
        <f t="shared" si="75"/>
        <v>0</v>
      </c>
      <c r="AL75" s="178">
        <f t="shared" si="75"/>
        <v>0</v>
      </c>
      <c r="AM75" s="178">
        <f t="shared" si="75"/>
        <v>0</v>
      </c>
      <c r="AN75" s="178">
        <f t="shared" si="75"/>
        <v>0</v>
      </c>
      <c r="AO75" s="178">
        <f t="shared" si="75"/>
        <v>0</v>
      </c>
      <c r="AP75" s="178">
        <f t="shared" si="75"/>
        <v>0</v>
      </c>
      <c r="AQ75" s="178">
        <f t="shared" si="75"/>
        <v>0</v>
      </c>
      <c r="AR75" s="178">
        <f t="shared" si="75"/>
        <v>0</v>
      </c>
      <c r="AS75" s="178">
        <f t="shared" si="75"/>
        <v>0</v>
      </c>
      <c r="AT75" s="168">
        <f t="shared" si="75"/>
        <v>0</v>
      </c>
      <c r="AU75" s="169">
        <f t="shared" si="77"/>
        <v>0</v>
      </c>
      <c r="AV75" s="179">
        <f t="shared" si="78"/>
        <v>0</v>
      </c>
      <c r="AW75" s="180">
        <f t="shared" si="105"/>
        <v>0</v>
      </c>
      <c r="AX75" s="178">
        <f t="shared" si="105"/>
        <v>0</v>
      </c>
      <c r="AY75" s="178">
        <f t="shared" si="105"/>
        <v>0</v>
      </c>
      <c r="AZ75" s="178">
        <f t="shared" si="105"/>
        <v>0</v>
      </c>
      <c r="BA75" s="178">
        <f t="shared" si="105"/>
        <v>0</v>
      </c>
      <c r="BB75" s="178">
        <f t="shared" si="105"/>
        <v>0</v>
      </c>
      <c r="BC75" s="178">
        <f t="shared" si="105"/>
        <v>0</v>
      </c>
      <c r="BD75" s="178">
        <f t="shared" si="105"/>
        <v>0</v>
      </c>
      <c r="BE75" s="178">
        <f t="shared" si="105"/>
        <v>0</v>
      </c>
      <c r="BF75" s="178">
        <f t="shared" si="105"/>
        <v>0</v>
      </c>
      <c r="BG75" s="178">
        <f t="shared" si="105"/>
        <v>0</v>
      </c>
      <c r="BH75" s="168">
        <f t="shared" si="105"/>
        <v>0</v>
      </c>
      <c r="BI75" s="169">
        <f t="shared" si="80"/>
        <v>0</v>
      </c>
      <c r="BJ75" s="179">
        <f t="shared" si="81"/>
        <v>0</v>
      </c>
      <c r="BK75" s="180">
        <f t="shared" si="106"/>
        <v>0</v>
      </c>
      <c r="BL75" s="178">
        <f t="shared" si="106"/>
        <v>0</v>
      </c>
      <c r="BM75" s="178">
        <f t="shared" si="106"/>
        <v>0</v>
      </c>
      <c r="BN75" s="178">
        <f t="shared" si="106"/>
        <v>0</v>
      </c>
      <c r="BO75" s="178">
        <f t="shared" si="106"/>
        <v>0</v>
      </c>
      <c r="BP75" s="178">
        <f t="shared" si="106"/>
        <v>0</v>
      </c>
      <c r="BQ75" s="178">
        <f t="shared" si="106"/>
        <v>0</v>
      </c>
      <c r="BR75" s="178">
        <f t="shared" si="106"/>
        <v>0</v>
      </c>
      <c r="BS75" s="178">
        <f t="shared" si="106"/>
        <v>0</v>
      </c>
      <c r="BT75" s="178">
        <f t="shared" si="106"/>
        <v>0</v>
      </c>
      <c r="BU75" s="178">
        <f t="shared" si="106"/>
        <v>0</v>
      </c>
      <c r="BV75" s="168">
        <f t="shared" si="106"/>
        <v>0</v>
      </c>
      <c r="BW75" s="169">
        <f t="shared" si="83"/>
        <v>0</v>
      </c>
      <c r="BX75" s="179">
        <f t="shared" si="84"/>
        <v>0</v>
      </c>
      <c r="BY75" s="180">
        <f t="shared" si="107"/>
        <v>0</v>
      </c>
      <c r="BZ75" s="178">
        <f t="shared" si="107"/>
        <v>0</v>
      </c>
      <c r="CA75" s="178">
        <f t="shared" si="107"/>
        <v>0</v>
      </c>
      <c r="CB75" s="178">
        <f t="shared" si="107"/>
        <v>0</v>
      </c>
      <c r="CC75" s="178">
        <f t="shared" si="107"/>
        <v>0</v>
      </c>
      <c r="CD75" s="178">
        <f t="shared" si="107"/>
        <v>0</v>
      </c>
      <c r="CE75" s="178">
        <f t="shared" si="107"/>
        <v>0</v>
      </c>
      <c r="CF75" s="178">
        <f t="shared" si="107"/>
        <v>0</v>
      </c>
      <c r="CG75" s="178">
        <f t="shared" si="107"/>
        <v>0</v>
      </c>
      <c r="CH75" s="178">
        <f t="shared" si="107"/>
        <v>0</v>
      </c>
      <c r="CI75" s="178">
        <f t="shared" si="107"/>
        <v>0</v>
      </c>
      <c r="CJ75" s="168">
        <f t="shared" si="107"/>
        <v>0</v>
      </c>
      <c r="CK75" s="169">
        <f t="shared" si="86"/>
        <v>0</v>
      </c>
      <c r="CL75" s="179">
        <f t="shared" si="87"/>
        <v>0</v>
      </c>
      <c r="CM75" s="180">
        <f t="shared" si="108"/>
        <v>0</v>
      </c>
      <c r="CN75" s="178">
        <f t="shared" si="108"/>
        <v>0</v>
      </c>
      <c r="CO75" s="178">
        <f t="shared" si="108"/>
        <v>0</v>
      </c>
      <c r="CP75" s="178">
        <f t="shared" si="108"/>
        <v>0</v>
      </c>
      <c r="CQ75" s="178">
        <f t="shared" si="108"/>
        <v>0</v>
      </c>
      <c r="CR75" s="178">
        <f t="shared" si="108"/>
        <v>0</v>
      </c>
      <c r="CS75" s="178">
        <f t="shared" si="108"/>
        <v>0</v>
      </c>
      <c r="CT75" s="178">
        <f t="shared" si="108"/>
        <v>0</v>
      </c>
      <c r="CU75" s="178">
        <f t="shared" si="108"/>
        <v>0</v>
      </c>
      <c r="CV75" s="178">
        <f t="shared" si="108"/>
        <v>0</v>
      </c>
      <c r="CW75" s="178">
        <f t="shared" si="108"/>
        <v>0</v>
      </c>
      <c r="CX75" s="168">
        <f t="shared" si="108"/>
        <v>0</v>
      </c>
      <c r="CY75" s="169">
        <f t="shared" si="89"/>
        <v>0</v>
      </c>
      <c r="CZ75" s="179">
        <f t="shared" si="90"/>
        <v>0</v>
      </c>
      <c r="DA75" s="180">
        <f t="shared" si="109"/>
        <v>0</v>
      </c>
      <c r="DB75" s="178">
        <f t="shared" si="109"/>
        <v>0</v>
      </c>
      <c r="DC75" s="178">
        <f t="shared" si="109"/>
        <v>0</v>
      </c>
      <c r="DD75" s="178">
        <f t="shared" si="109"/>
        <v>0</v>
      </c>
      <c r="DE75" s="178">
        <f t="shared" si="109"/>
        <v>0</v>
      </c>
      <c r="DF75" s="178">
        <f t="shared" si="109"/>
        <v>0</v>
      </c>
      <c r="DG75" s="178">
        <f t="shared" si="109"/>
        <v>0</v>
      </c>
      <c r="DH75" s="178">
        <f t="shared" si="109"/>
        <v>0</v>
      </c>
      <c r="DI75" s="178">
        <f t="shared" si="109"/>
        <v>0</v>
      </c>
      <c r="DJ75" s="178">
        <f t="shared" si="109"/>
        <v>0</v>
      </c>
      <c r="DK75" s="178">
        <f t="shared" si="109"/>
        <v>0</v>
      </c>
      <c r="DL75" s="168">
        <f t="shared" si="109"/>
        <v>0</v>
      </c>
      <c r="DM75" s="169">
        <f t="shared" si="92"/>
        <v>0</v>
      </c>
      <c r="DN75" s="171">
        <f t="shared" si="93"/>
        <v>0</v>
      </c>
      <c r="DO75" s="180">
        <f t="shared" si="110"/>
        <v>0</v>
      </c>
      <c r="DP75" s="178">
        <f t="shared" si="110"/>
        <v>0</v>
      </c>
      <c r="DQ75" s="178">
        <f t="shared" si="110"/>
        <v>0</v>
      </c>
      <c r="DR75" s="178">
        <f t="shared" si="110"/>
        <v>0</v>
      </c>
      <c r="DS75" s="178">
        <f t="shared" si="110"/>
        <v>0</v>
      </c>
      <c r="DT75" s="178">
        <f t="shared" si="110"/>
        <v>0</v>
      </c>
      <c r="DU75" s="178">
        <f t="shared" si="110"/>
        <v>0</v>
      </c>
      <c r="DV75" s="178">
        <f t="shared" si="110"/>
        <v>0</v>
      </c>
      <c r="DW75" s="178">
        <f t="shared" si="110"/>
        <v>0</v>
      </c>
      <c r="DX75" s="178">
        <f t="shared" si="110"/>
        <v>0</v>
      </c>
      <c r="DY75" s="178">
        <f t="shared" si="110"/>
        <v>0</v>
      </c>
      <c r="DZ75" s="168">
        <f t="shared" si="110"/>
        <v>0</v>
      </c>
      <c r="EA75" s="169">
        <f t="shared" si="95"/>
        <v>0</v>
      </c>
      <c r="EB75" s="171">
        <f t="shared" si="96"/>
        <v>0</v>
      </c>
    </row>
    <row r="76" spans="1:132" s="177" customFormat="1" ht="15.75">
      <c r="A76" s="183"/>
      <c r="B76" s="164"/>
      <c r="C76" s="184"/>
      <c r="D76" s="185"/>
      <c r="E76" s="167">
        <v>3</v>
      </c>
      <c r="F76" s="168">
        <f t="shared" si="68"/>
        <v>0</v>
      </c>
      <c r="G76" s="169">
        <f t="shared" si="113"/>
        <v>0</v>
      </c>
      <c r="H76" s="178">
        <f t="shared" si="113"/>
        <v>0</v>
      </c>
      <c r="I76" s="178">
        <f t="shared" si="113"/>
        <v>0</v>
      </c>
      <c r="J76" s="178">
        <f t="shared" si="113"/>
        <v>0</v>
      </c>
      <c r="K76" s="178">
        <f t="shared" si="113"/>
        <v>0</v>
      </c>
      <c r="L76" s="178">
        <f t="shared" si="113"/>
        <v>0</v>
      </c>
      <c r="M76" s="178">
        <f t="shared" si="113"/>
        <v>0</v>
      </c>
      <c r="N76" s="178">
        <f t="shared" si="113"/>
        <v>0</v>
      </c>
      <c r="O76" s="178">
        <f t="shared" si="113"/>
        <v>0</v>
      </c>
      <c r="P76" s="178">
        <f t="shared" si="113"/>
        <v>0</v>
      </c>
      <c r="Q76" s="178">
        <f t="shared" si="113"/>
        <v>0</v>
      </c>
      <c r="R76" s="179">
        <f t="shared" si="113"/>
        <v>0</v>
      </c>
      <c r="S76" s="169">
        <f t="shared" si="70"/>
        <v>0</v>
      </c>
      <c r="T76" s="179">
        <f t="shared" si="71"/>
        <v>0</v>
      </c>
      <c r="U76" s="180">
        <f t="shared" si="104"/>
        <v>0</v>
      </c>
      <c r="V76" s="178">
        <f t="shared" si="104"/>
        <v>0</v>
      </c>
      <c r="W76" s="178">
        <f t="shared" si="104"/>
        <v>0</v>
      </c>
      <c r="X76" s="178">
        <f t="shared" si="104"/>
        <v>0</v>
      </c>
      <c r="Y76" s="178">
        <f t="shared" si="104"/>
        <v>0</v>
      </c>
      <c r="Z76" s="178">
        <f t="shared" si="104"/>
        <v>0</v>
      </c>
      <c r="AA76" s="178">
        <f t="shared" si="104"/>
        <v>0</v>
      </c>
      <c r="AB76" s="178">
        <f t="shared" si="104"/>
        <v>0</v>
      </c>
      <c r="AC76" s="178">
        <f t="shared" si="104"/>
        <v>0</v>
      </c>
      <c r="AD76" s="178">
        <f t="shared" si="104"/>
        <v>0</v>
      </c>
      <c r="AE76" s="178">
        <f t="shared" si="104"/>
        <v>0</v>
      </c>
      <c r="AF76" s="168">
        <f t="shared" si="104"/>
        <v>0</v>
      </c>
      <c r="AG76" s="169">
        <f t="shared" si="73"/>
        <v>0</v>
      </c>
      <c r="AH76" s="179">
        <f t="shared" si="74"/>
        <v>0</v>
      </c>
      <c r="AI76" s="180">
        <f t="shared" si="75"/>
        <v>0</v>
      </c>
      <c r="AJ76" s="178">
        <f t="shared" si="75"/>
        <v>0</v>
      </c>
      <c r="AK76" s="178">
        <f t="shared" si="75"/>
        <v>0</v>
      </c>
      <c r="AL76" s="178">
        <f t="shared" si="75"/>
        <v>0</v>
      </c>
      <c r="AM76" s="178">
        <f t="shared" si="75"/>
        <v>0</v>
      </c>
      <c r="AN76" s="178">
        <f t="shared" si="75"/>
        <v>0</v>
      </c>
      <c r="AO76" s="178">
        <f t="shared" si="75"/>
        <v>0</v>
      </c>
      <c r="AP76" s="178">
        <f t="shared" si="75"/>
        <v>0</v>
      </c>
      <c r="AQ76" s="178">
        <f t="shared" si="75"/>
        <v>0</v>
      </c>
      <c r="AR76" s="178">
        <f t="shared" si="75"/>
        <v>0</v>
      </c>
      <c r="AS76" s="178">
        <f t="shared" si="75"/>
        <v>0</v>
      </c>
      <c r="AT76" s="168">
        <f t="shared" si="75"/>
        <v>0</v>
      </c>
      <c r="AU76" s="169">
        <f t="shared" si="77"/>
        <v>0</v>
      </c>
      <c r="AV76" s="179">
        <f t="shared" si="78"/>
        <v>0</v>
      </c>
      <c r="AW76" s="180">
        <f t="shared" si="105"/>
        <v>0</v>
      </c>
      <c r="AX76" s="178">
        <f t="shared" si="105"/>
        <v>0</v>
      </c>
      <c r="AY76" s="178">
        <f t="shared" si="105"/>
        <v>0</v>
      </c>
      <c r="AZ76" s="178">
        <f t="shared" si="105"/>
        <v>0</v>
      </c>
      <c r="BA76" s="178">
        <f t="shared" si="105"/>
        <v>0</v>
      </c>
      <c r="BB76" s="178">
        <f t="shared" si="105"/>
        <v>0</v>
      </c>
      <c r="BC76" s="178">
        <f t="shared" si="105"/>
        <v>0</v>
      </c>
      <c r="BD76" s="178">
        <f t="shared" si="105"/>
        <v>0</v>
      </c>
      <c r="BE76" s="178">
        <f t="shared" si="105"/>
        <v>0</v>
      </c>
      <c r="BF76" s="178">
        <f t="shared" si="105"/>
        <v>0</v>
      </c>
      <c r="BG76" s="178">
        <f t="shared" si="105"/>
        <v>0</v>
      </c>
      <c r="BH76" s="168">
        <f t="shared" si="105"/>
        <v>0</v>
      </c>
      <c r="BI76" s="169">
        <f t="shared" si="80"/>
        <v>0</v>
      </c>
      <c r="BJ76" s="179">
        <f t="shared" si="81"/>
        <v>0</v>
      </c>
      <c r="BK76" s="180">
        <f t="shared" si="106"/>
        <v>0</v>
      </c>
      <c r="BL76" s="178">
        <f t="shared" si="106"/>
        <v>0</v>
      </c>
      <c r="BM76" s="178">
        <f t="shared" si="106"/>
        <v>0</v>
      </c>
      <c r="BN76" s="178">
        <f t="shared" si="106"/>
        <v>0</v>
      </c>
      <c r="BO76" s="178">
        <f t="shared" si="106"/>
        <v>0</v>
      </c>
      <c r="BP76" s="178">
        <f t="shared" si="106"/>
        <v>0</v>
      </c>
      <c r="BQ76" s="178">
        <f t="shared" si="106"/>
        <v>0</v>
      </c>
      <c r="BR76" s="178">
        <f t="shared" si="106"/>
        <v>0</v>
      </c>
      <c r="BS76" s="178">
        <f t="shared" si="106"/>
        <v>0</v>
      </c>
      <c r="BT76" s="178">
        <f t="shared" si="106"/>
        <v>0</v>
      </c>
      <c r="BU76" s="178">
        <f t="shared" si="106"/>
        <v>0</v>
      </c>
      <c r="BV76" s="168">
        <f t="shared" si="106"/>
        <v>0</v>
      </c>
      <c r="BW76" s="169">
        <f t="shared" si="83"/>
        <v>0</v>
      </c>
      <c r="BX76" s="179">
        <f t="shared" si="84"/>
        <v>0</v>
      </c>
      <c r="BY76" s="180">
        <f t="shared" si="107"/>
        <v>0</v>
      </c>
      <c r="BZ76" s="178">
        <f t="shared" si="107"/>
        <v>0</v>
      </c>
      <c r="CA76" s="178">
        <f t="shared" si="107"/>
        <v>0</v>
      </c>
      <c r="CB76" s="178">
        <f t="shared" si="107"/>
        <v>0</v>
      </c>
      <c r="CC76" s="178">
        <f t="shared" si="107"/>
        <v>0</v>
      </c>
      <c r="CD76" s="178">
        <f t="shared" si="107"/>
        <v>0</v>
      </c>
      <c r="CE76" s="178">
        <f t="shared" si="107"/>
        <v>0</v>
      </c>
      <c r="CF76" s="178">
        <f t="shared" si="107"/>
        <v>0</v>
      </c>
      <c r="CG76" s="178">
        <f t="shared" si="107"/>
        <v>0</v>
      </c>
      <c r="CH76" s="178">
        <f t="shared" si="107"/>
        <v>0</v>
      </c>
      <c r="CI76" s="178">
        <f t="shared" si="107"/>
        <v>0</v>
      </c>
      <c r="CJ76" s="168">
        <f t="shared" si="107"/>
        <v>0</v>
      </c>
      <c r="CK76" s="169">
        <f t="shared" si="86"/>
        <v>0</v>
      </c>
      <c r="CL76" s="179">
        <f t="shared" si="87"/>
        <v>0</v>
      </c>
      <c r="CM76" s="180">
        <f t="shared" si="108"/>
        <v>0</v>
      </c>
      <c r="CN76" s="178">
        <f t="shared" si="108"/>
        <v>0</v>
      </c>
      <c r="CO76" s="178">
        <f t="shared" si="108"/>
        <v>0</v>
      </c>
      <c r="CP76" s="178">
        <f t="shared" si="108"/>
        <v>0</v>
      </c>
      <c r="CQ76" s="178">
        <f t="shared" si="108"/>
        <v>0</v>
      </c>
      <c r="CR76" s="178">
        <f t="shared" si="108"/>
        <v>0</v>
      </c>
      <c r="CS76" s="178">
        <f t="shared" si="108"/>
        <v>0</v>
      </c>
      <c r="CT76" s="178">
        <f t="shared" si="108"/>
        <v>0</v>
      </c>
      <c r="CU76" s="178">
        <f t="shared" si="108"/>
        <v>0</v>
      </c>
      <c r="CV76" s="178">
        <f t="shared" si="108"/>
        <v>0</v>
      </c>
      <c r="CW76" s="178">
        <f t="shared" si="108"/>
        <v>0</v>
      </c>
      <c r="CX76" s="168">
        <f t="shared" si="108"/>
        <v>0</v>
      </c>
      <c r="CY76" s="169">
        <f t="shared" si="89"/>
        <v>0</v>
      </c>
      <c r="CZ76" s="179">
        <f t="shared" si="90"/>
        <v>0</v>
      </c>
      <c r="DA76" s="180">
        <f t="shared" si="109"/>
        <v>0</v>
      </c>
      <c r="DB76" s="178">
        <f t="shared" si="109"/>
        <v>0</v>
      </c>
      <c r="DC76" s="178">
        <f t="shared" si="109"/>
        <v>0</v>
      </c>
      <c r="DD76" s="178">
        <f t="shared" si="109"/>
        <v>0</v>
      </c>
      <c r="DE76" s="178">
        <f t="shared" si="109"/>
        <v>0</v>
      </c>
      <c r="DF76" s="178">
        <f t="shared" si="109"/>
        <v>0</v>
      </c>
      <c r="DG76" s="178">
        <f t="shared" si="109"/>
        <v>0</v>
      </c>
      <c r="DH76" s="178">
        <f t="shared" si="109"/>
        <v>0</v>
      </c>
      <c r="DI76" s="178">
        <f t="shared" si="109"/>
        <v>0</v>
      </c>
      <c r="DJ76" s="178">
        <f t="shared" si="109"/>
        <v>0</v>
      </c>
      <c r="DK76" s="178">
        <f t="shared" si="109"/>
        <v>0</v>
      </c>
      <c r="DL76" s="168">
        <f t="shared" si="109"/>
        <v>0</v>
      </c>
      <c r="DM76" s="169">
        <f t="shared" si="92"/>
        <v>0</v>
      </c>
      <c r="DN76" s="171">
        <f t="shared" si="93"/>
        <v>0</v>
      </c>
      <c r="DO76" s="180">
        <f t="shared" si="110"/>
        <v>0</v>
      </c>
      <c r="DP76" s="178">
        <f t="shared" si="110"/>
        <v>0</v>
      </c>
      <c r="DQ76" s="178">
        <f t="shared" si="110"/>
        <v>0</v>
      </c>
      <c r="DR76" s="178">
        <f t="shared" si="110"/>
        <v>0</v>
      </c>
      <c r="DS76" s="178">
        <f t="shared" si="110"/>
        <v>0</v>
      </c>
      <c r="DT76" s="178">
        <f t="shared" si="110"/>
        <v>0</v>
      </c>
      <c r="DU76" s="178">
        <f t="shared" si="110"/>
        <v>0</v>
      </c>
      <c r="DV76" s="178">
        <f t="shared" si="110"/>
        <v>0</v>
      </c>
      <c r="DW76" s="178">
        <f t="shared" si="110"/>
        <v>0</v>
      </c>
      <c r="DX76" s="178">
        <f t="shared" si="110"/>
        <v>0</v>
      </c>
      <c r="DY76" s="178">
        <f t="shared" si="110"/>
        <v>0</v>
      </c>
      <c r="DZ76" s="168">
        <f t="shared" si="110"/>
        <v>0</v>
      </c>
      <c r="EA76" s="169">
        <f t="shared" si="95"/>
        <v>0</v>
      </c>
      <c r="EB76" s="171">
        <f t="shared" si="96"/>
        <v>0</v>
      </c>
    </row>
    <row r="77" spans="1:132" s="177" customFormat="1" ht="15.75">
      <c r="A77" s="183"/>
      <c r="B77" s="164"/>
      <c r="C77" s="184"/>
      <c r="D77" s="185"/>
      <c r="E77" s="167">
        <v>3</v>
      </c>
      <c r="F77" s="168">
        <f t="shared" si="68"/>
        <v>0</v>
      </c>
      <c r="G77" s="169">
        <f t="shared" si="113"/>
        <v>0</v>
      </c>
      <c r="H77" s="178">
        <f t="shared" si="113"/>
        <v>0</v>
      </c>
      <c r="I77" s="178">
        <f t="shared" si="113"/>
        <v>0</v>
      </c>
      <c r="J77" s="178">
        <f t="shared" si="113"/>
        <v>0</v>
      </c>
      <c r="K77" s="178">
        <f t="shared" si="113"/>
        <v>0</v>
      </c>
      <c r="L77" s="178">
        <f t="shared" si="113"/>
        <v>0</v>
      </c>
      <c r="M77" s="178">
        <f t="shared" si="113"/>
        <v>0</v>
      </c>
      <c r="N77" s="178">
        <f t="shared" si="113"/>
        <v>0</v>
      </c>
      <c r="O77" s="178">
        <f t="shared" si="113"/>
        <v>0</v>
      </c>
      <c r="P77" s="178">
        <f t="shared" si="113"/>
        <v>0</v>
      </c>
      <c r="Q77" s="178">
        <f t="shared" si="113"/>
        <v>0</v>
      </c>
      <c r="R77" s="179">
        <f t="shared" si="113"/>
        <v>0</v>
      </c>
      <c r="S77" s="169">
        <f t="shared" si="70"/>
        <v>0</v>
      </c>
      <c r="T77" s="179">
        <f t="shared" si="71"/>
        <v>0</v>
      </c>
      <c r="U77" s="180">
        <f t="shared" si="104"/>
        <v>0</v>
      </c>
      <c r="V77" s="178">
        <f t="shared" si="104"/>
        <v>0</v>
      </c>
      <c r="W77" s="178">
        <f t="shared" si="104"/>
        <v>0</v>
      </c>
      <c r="X77" s="178">
        <f t="shared" si="104"/>
        <v>0</v>
      </c>
      <c r="Y77" s="178">
        <f t="shared" si="104"/>
        <v>0</v>
      </c>
      <c r="Z77" s="178">
        <f t="shared" si="104"/>
        <v>0</v>
      </c>
      <c r="AA77" s="178">
        <f t="shared" si="104"/>
        <v>0</v>
      </c>
      <c r="AB77" s="178">
        <f t="shared" si="104"/>
        <v>0</v>
      </c>
      <c r="AC77" s="178">
        <f t="shared" si="104"/>
        <v>0</v>
      </c>
      <c r="AD77" s="178">
        <f t="shared" si="104"/>
        <v>0</v>
      </c>
      <c r="AE77" s="178">
        <f t="shared" si="104"/>
        <v>0</v>
      </c>
      <c r="AF77" s="168">
        <f t="shared" si="104"/>
        <v>0</v>
      </c>
      <c r="AG77" s="169">
        <f t="shared" si="73"/>
        <v>0</v>
      </c>
      <c r="AH77" s="179">
        <f t="shared" si="74"/>
        <v>0</v>
      </c>
      <c r="AI77" s="180">
        <f t="shared" si="75"/>
        <v>0</v>
      </c>
      <c r="AJ77" s="178">
        <f t="shared" si="75"/>
        <v>0</v>
      </c>
      <c r="AK77" s="178">
        <f t="shared" si="75"/>
        <v>0</v>
      </c>
      <c r="AL77" s="178">
        <f t="shared" si="75"/>
        <v>0</v>
      </c>
      <c r="AM77" s="178">
        <f t="shared" si="75"/>
        <v>0</v>
      </c>
      <c r="AN77" s="178">
        <f t="shared" si="75"/>
        <v>0</v>
      </c>
      <c r="AO77" s="178">
        <f t="shared" si="75"/>
        <v>0</v>
      </c>
      <c r="AP77" s="178">
        <f t="shared" si="75"/>
        <v>0</v>
      </c>
      <c r="AQ77" s="178">
        <f t="shared" si="75"/>
        <v>0</v>
      </c>
      <c r="AR77" s="178">
        <f t="shared" si="75"/>
        <v>0</v>
      </c>
      <c r="AS77" s="178">
        <f t="shared" si="75"/>
        <v>0</v>
      </c>
      <c r="AT77" s="168">
        <f t="shared" si="75"/>
        <v>0</v>
      </c>
      <c r="AU77" s="169">
        <f t="shared" si="77"/>
        <v>0</v>
      </c>
      <c r="AV77" s="179">
        <f t="shared" si="78"/>
        <v>0</v>
      </c>
      <c r="AW77" s="180">
        <f t="shared" si="105"/>
        <v>0</v>
      </c>
      <c r="AX77" s="178">
        <f t="shared" si="105"/>
        <v>0</v>
      </c>
      <c r="AY77" s="178">
        <f t="shared" si="105"/>
        <v>0</v>
      </c>
      <c r="AZ77" s="178">
        <f t="shared" si="105"/>
        <v>0</v>
      </c>
      <c r="BA77" s="178">
        <f t="shared" si="105"/>
        <v>0</v>
      </c>
      <c r="BB77" s="178">
        <f t="shared" si="105"/>
        <v>0</v>
      </c>
      <c r="BC77" s="178">
        <f t="shared" si="105"/>
        <v>0</v>
      </c>
      <c r="BD77" s="178">
        <f t="shared" si="105"/>
        <v>0</v>
      </c>
      <c r="BE77" s="178">
        <f t="shared" si="105"/>
        <v>0</v>
      </c>
      <c r="BF77" s="178">
        <f t="shared" si="105"/>
        <v>0</v>
      </c>
      <c r="BG77" s="178">
        <f t="shared" si="105"/>
        <v>0</v>
      </c>
      <c r="BH77" s="168">
        <f t="shared" si="105"/>
        <v>0</v>
      </c>
      <c r="BI77" s="169">
        <f t="shared" si="80"/>
        <v>0</v>
      </c>
      <c r="BJ77" s="179">
        <f t="shared" si="81"/>
        <v>0</v>
      </c>
      <c r="BK77" s="180">
        <f t="shared" si="106"/>
        <v>0</v>
      </c>
      <c r="BL77" s="178">
        <f t="shared" si="106"/>
        <v>0</v>
      </c>
      <c r="BM77" s="178">
        <f t="shared" si="106"/>
        <v>0</v>
      </c>
      <c r="BN77" s="178">
        <f t="shared" si="106"/>
        <v>0</v>
      </c>
      <c r="BO77" s="178">
        <f t="shared" si="106"/>
        <v>0</v>
      </c>
      <c r="BP77" s="178">
        <f t="shared" si="106"/>
        <v>0</v>
      </c>
      <c r="BQ77" s="178">
        <f t="shared" si="106"/>
        <v>0</v>
      </c>
      <c r="BR77" s="178">
        <f t="shared" si="106"/>
        <v>0</v>
      </c>
      <c r="BS77" s="178">
        <f t="shared" si="106"/>
        <v>0</v>
      </c>
      <c r="BT77" s="178">
        <f t="shared" si="106"/>
        <v>0</v>
      </c>
      <c r="BU77" s="178">
        <f t="shared" si="106"/>
        <v>0</v>
      </c>
      <c r="BV77" s="168">
        <f t="shared" si="106"/>
        <v>0</v>
      </c>
      <c r="BW77" s="169">
        <f t="shared" si="83"/>
        <v>0</v>
      </c>
      <c r="BX77" s="179">
        <f t="shared" si="84"/>
        <v>0</v>
      </c>
      <c r="BY77" s="180">
        <f t="shared" si="107"/>
        <v>0</v>
      </c>
      <c r="BZ77" s="178">
        <f t="shared" si="107"/>
        <v>0</v>
      </c>
      <c r="CA77" s="178">
        <f t="shared" si="107"/>
        <v>0</v>
      </c>
      <c r="CB77" s="178">
        <f t="shared" si="107"/>
        <v>0</v>
      </c>
      <c r="CC77" s="178">
        <f t="shared" si="107"/>
        <v>0</v>
      </c>
      <c r="CD77" s="178">
        <f t="shared" si="107"/>
        <v>0</v>
      </c>
      <c r="CE77" s="178">
        <f t="shared" si="107"/>
        <v>0</v>
      </c>
      <c r="CF77" s="178">
        <f t="shared" si="107"/>
        <v>0</v>
      </c>
      <c r="CG77" s="178">
        <f t="shared" si="107"/>
        <v>0</v>
      </c>
      <c r="CH77" s="178">
        <f t="shared" si="107"/>
        <v>0</v>
      </c>
      <c r="CI77" s="178">
        <f t="shared" si="107"/>
        <v>0</v>
      </c>
      <c r="CJ77" s="168">
        <f t="shared" si="107"/>
        <v>0</v>
      </c>
      <c r="CK77" s="169">
        <f t="shared" si="86"/>
        <v>0</v>
      </c>
      <c r="CL77" s="179">
        <f t="shared" si="87"/>
        <v>0</v>
      </c>
      <c r="CM77" s="180">
        <f t="shared" si="108"/>
        <v>0</v>
      </c>
      <c r="CN77" s="178">
        <f t="shared" si="108"/>
        <v>0</v>
      </c>
      <c r="CO77" s="178">
        <f t="shared" si="108"/>
        <v>0</v>
      </c>
      <c r="CP77" s="178">
        <f t="shared" si="108"/>
        <v>0</v>
      </c>
      <c r="CQ77" s="178">
        <f t="shared" si="108"/>
        <v>0</v>
      </c>
      <c r="CR77" s="178">
        <f t="shared" si="108"/>
        <v>0</v>
      </c>
      <c r="CS77" s="178">
        <f t="shared" si="108"/>
        <v>0</v>
      </c>
      <c r="CT77" s="178">
        <f t="shared" si="108"/>
        <v>0</v>
      </c>
      <c r="CU77" s="178">
        <f t="shared" si="108"/>
        <v>0</v>
      </c>
      <c r="CV77" s="178">
        <f t="shared" si="108"/>
        <v>0</v>
      </c>
      <c r="CW77" s="178">
        <f t="shared" si="108"/>
        <v>0</v>
      </c>
      <c r="CX77" s="168">
        <f t="shared" si="108"/>
        <v>0</v>
      </c>
      <c r="CY77" s="169">
        <f t="shared" si="89"/>
        <v>0</v>
      </c>
      <c r="CZ77" s="179">
        <f t="shared" si="90"/>
        <v>0</v>
      </c>
      <c r="DA77" s="180">
        <f t="shared" si="109"/>
        <v>0</v>
      </c>
      <c r="DB77" s="178">
        <f t="shared" si="109"/>
        <v>0</v>
      </c>
      <c r="DC77" s="178">
        <f t="shared" si="109"/>
        <v>0</v>
      </c>
      <c r="DD77" s="178">
        <f t="shared" si="109"/>
        <v>0</v>
      </c>
      <c r="DE77" s="178">
        <f t="shared" si="109"/>
        <v>0</v>
      </c>
      <c r="DF77" s="178">
        <f t="shared" si="109"/>
        <v>0</v>
      </c>
      <c r="DG77" s="178">
        <f t="shared" si="109"/>
        <v>0</v>
      </c>
      <c r="DH77" s="178">
        <f t="shared" si="109"/>
        <v>0</v>
      </c>
      <c r="DI77" s="178">
        <f t="shared" si="109"/>
        <v>0</v>
      </c>
      <c r="DJ77" s="178">
        <f t="shared" si="109"/>
        <v>0</v>
      </c>
      <c r="DK77" s="178">
        <f t="shared" si="109"/>
        <v>0</v>
      </c>
      <c r="DL77" s="168">
        <f t="shared" si="109"/>
        <v>0</v>
      </c>
      <c r="DM77" s="169">
        <f t="shared" si="92"/>
        <v>0</v>
      </c>
      <c r="DN77" s="171">
        <f t="shared" si="93"/>
        <v>0</v>
      </c>
      <c r="DO77" s="180">
        <f t="shared" si="110"/>
        <v>0</v>
      </c>
      <c r="DP77" s="178">
        <f t="shared" si="110"/>
        <v>0</v>
      </c>
      <c r="DQ77" s="178">
        <f t="shared" si="110"/>
        <v>0</v>
      </c>
      <c r="DR77" s="178">
        <f t="shared" si="110"/>
        <v>0</v>
      </c>
      <c r="DS77" s="178">
        <f t="shared" si="110"/>
        <v>0</v>
      </c>
      <c r="DT77" s="178">
        <f t="shared" si="110"/>
        <v>0</v>
      </c>
      <c r="DU77" s="178">
        <f t="shared" si="110"/>
        <v>0</v>
      </c>
      <c r="DV77" s="178">
        <f t="shared" si="110"/>
        <v>0</v>
      </c>
      <c r="DW77" s="178">
        <f t="shared" si="110"/>
        <v>0</v>
      </c>
      <c r="DX77" s="178">
        <f t="shared" si="110"/>
        <v>0</v>
      </c>
      <c r="DY77" s="178">
        <f t="shared" si="110"/>
        <v>0</v>
      </c>
      <c r="DZ77" s="168">
        <f t="shared" si="110"/>
        <v>0</v>
      </c>
      <c r="EA77" s="169">
        <f t="shared" si="95"/>
        <v>0</v>
      </c>
      <c r="EB77" s="171">
        <f t="shared" si="96"/>
        <v>0</v>
      </c>
    </row>
    <row r="78" spans="1:132" s="177" customFormat="1" ht="15.75">
      <c r="A78" s="183"/>
      <c r="B78" s="164"/>
      <c r="C78" s="184"/>
      <c r="D78" s="185"/>
      <c r="E78" s="167">
        <v>3</v>
      </c>
      <c r="F78" s="168">
        <f t="shared" si="68"/>
        <v>0</v>
      </c>
      <c r="G78" s="169">
        <f t="shared" si="113"/>
        <v>0</v>
      </c>
      <c r="H78" s="178">
        <f t="shared" si="113"/>
        <v>0</v>
      </c>
      <c r="I78" s="178">
        <f t="shared" si="113"/>
        <v>0</v>
      </c>
      <c r="J78" s="178">
        <f t="shared" si="113"/>
        <v>0</v>
      </c>
      <c r="K78" s="178">
        <f t="shared" si="113"/>
        <v>0</v>
      </c>
      <c r="L78" s="178">
        <f t="shared" si="113"/>
        <v>0</v>
      </c>
      <c r="M78" s="178">
        <f t="shared" si="113"/>
        <v>0</v>
      </c>
      <c r="N78" s="178">
        <f t="shared" si="113"/>
        <v>0</v>
      </c>
      <c r="O78" s="178">
        <f t="shared" si="113"/>
        <v>0</v>
      </c>
      <c r="P78" s="178">
        <f t="shared" si="113"/>
        <v>0</v>
      </c>
      <c r="Q78" s="178">
        <f t="shared" si="113"/>
        <v>0</v>
      </c>
      <c r="R78" s="179">
        <f t="shared" si="113"/>
        <v>0</v>
      </c>
      <c r="S78" s="169">
        <f t="shared" si="70"/>
        <v>0</v>
      </c>
      <c r="T78" s="179">
        <f t="shared" si="71"/>
        <v>0</v>
      </c>
      <c r="U78" s="180">
        <f t="shared" si="104"/>
        <v>0</v>
      </c>
      <c r="V78" s="178">
        <f t="shared" si="104"/>
        <v>0</v>
      </c>
      <c r="W78" s="178">
        <f t="shared" si="104"/>
        <v>0</v>
      </c>
      <c r="X78" s="178">
        <f t="shared" si="104"/>
        <v>0</v>
      </c>
      <c r="Y78" s="178">
        <f t="shared" si="104"/>
        <v>0</v>
      </c>
      <c r="Z78" s="178">
        <f t="shared" si="104"/>
        <v>0</v>
      </c>
      <c r="AA78" s="178">
        <f t="shared" si="104"/>
        <v>0</v>
      </c>
      <c r="AB78" s="178">
        <f t="shared" si="104"/>
        <v>0</v>
      </c>
      <c r="AC78" s="178">
        <f t="shared" si="104"/>
        <v>0</v>
      </c>
      <c r="AD78" s="178">
        <f t="shared" si="104"/>
        <v>0</v>
      </c>
      <c r="AE78" s="178">
        <f t="shared" si="104"/>
        <v>0</v>
      </c>
      <c r="AF78" s="168">
        <f t="shared" si="104"/>
        <v>0</v>
      </c>
      <c r="AG78" s="169">
        <f t="shared" si="73"/>
        <v>0</v>
      </c>
      <c r="AH78" s="179">
        <f t="shared" si="74"/>
        <v>0</v>
      </c>
      <c r="AI78" s="180">
        <f t="shared" si="75"/>
        <v>0</v>
      </c>
      <c r="AJ78" s="178">
        <f t="shared" si="75"/>
        <v>0</v>
      </c>
      <c r="AK78" s="178">
        <f t="shared" si="75"/>
        <v>0</v>
      </c>
      <c r="AL78" s="178">
        <f t="shared" si="75"/>
        <v>0</v>
      </c>
      <c r="AM78" s="178">
        <f t="shared" si="75"/>
        <v>0</v>
      </c>
      <c r="AN78" s="178">
        <f t="shared" si="75"/>
        <v>0</v>
      </c>
      <c r="AO78" s="178">
        <f t="shared" si="75"/>
        <v>0</v>
      </c>
      <c r="AP78" s="178">
        <f t="shared" si="75"/>
        <v>0</v>
      </c>
      <c r="AQ78" s="178">
        <f t="shared" si="75"/>
        <v>0</v>
      </c>
      <c r="AR78" s="178">
        <f t="shared" si="75"/>
        <v>0</v>
      </c>
      <c r="AS78" s="178">
        <f t="shared" si="75"/>
        <v>0</v>
      </c>
      <c r="AT78" s="168">
        <f t="shared" si="75"/>
        <v>0</v>
      </c>
      <c r="AU78" s="169">
        <f t="shared" si="77"/>
        <v>0</v>
      </c>
      <c r="AV78" s="179">
        <f t="shared" si="78"/>
        <v>0</v>
      </c>
      <c r="AW78" s="180">
        <f t="shared" si="105"/>
        <v>0</v>
      </c>
      <c r="AX78" s="178">
        <f t="shared" si="105"/>
        <v>0</v>
      </c>
      <c r="AY78" s="178">
        <f t="shared" si="105"/>
        <v>0</v>
      </c>
      <c r="AZ78" s="178">
        <f t="shared" si="105"/>
        <v>0</v>
      </c>
      <c r="BA78" s="178">
        <f t="shared" si="105"/>
        <v>0</v>
      </c>
      <c r="BB78" s="178">
        <f t="shared" si="105"/>
        <v>0</v>
      </c>
      <c r="BC78" s="178">
        <f t="shared" si="105"/>
        <v>0</v>
      </c>
      <c r="BD78" s="178">
        <f t="shared" si="105"/>
        <v>0</v>
      </c>
      <c r="BE78" s="178">
        <f t="shared" si="105"/>
        <v>0</v>
      </c>
      <c r="BF78" s="178">
        <f t="shared" si="105"/>
        <v>0</v>
      </c>
      <c r="BG78" s="178">
        <f t="shared" si="105"/>
        <v>0</v>
      </c>
      <c r="BH78" s="168">
        <f t="shared" si="105"/>
        <v>0</v>
      </c>
      <c r="BI78" s="169">
        <f t="shared" si="80"/>
        <v>0</v>
      </c>
      <c r="BJ78" s="179">
        <f t="shared" si="81"/>
        <v>0</v>
      </c>
      <c r="BK78" s="180">
        <f t="shared" si="106"/>
        <v>0</v>
      </c>
      <c r="BL78" s="178">
        <f t="shared" si="106"/>
        <v>0</v>
      </c>
      <c r="BM78" s="178">
        <f t="shared" si="106"/>
        <v>0</v>
      </c>
      <c r="BN78" s="178">
        <f t="shared" si="106"/>
        <v>0</v>
      </c>
      <c r="BO78" s="178">
        <f t="shared" si="106"/>
        <v>0</v>
      </c>
      <c r="BP78" s="178">
        <f t="shared" si="106"/>
        <v>0</v>
      </c>
      <c r="BQ78" s="178">
        <f t="shared" si="106"/>
        <v>0</v>
      </c>
      <c r="BR78" s="178">
        <f t="shared" si="106"/>
        <v>0</v>
      </c>
      <c r="BS78" s="178">
        <f t="shared" si="106"/>
        <v>0</v>
      </c>
      <c r="BT78" s="178">
        <f t="shared" si="106"/>
        <v>0</v>
      </c>
      <c r="BU78" s="178">
        <f t="shared" si="106"/>
        <v>0</v>
      </c>
      <c r="BV78" s="168">
        <f t="shared" si="106"/>
        <v>0</v>
      </c>
      <c r="BW78" s="169">
        <f t="shared" si="83"/>
        <v>0</v>
      </c>
      <c r="BX78" s="179">
        <f t="shared" si="84"/>
        <v>0</v>
      </c>
      <c r="BY78" s="180">
        <f t="shared" si="107"/>
        <v>0</v>
      </c>
      <c r="BZ78" s="178">
        <f t="shared" si="107"/>
        <v>0</v>
      </c>
      <c r="CA78" s="178">
        <f t="shared" si="107"/>
        <v>0</v>
      </c>
      <c r="CB78" s="178">
        <f t="shared" si="107"/>
        <v>0</v>
      </c>
      <c r="CC78" s="178">
        <f t="shared" si="107"/>
        <v>0</v>
      </c>
      <c r="CD78" s="178">
        <f t="shared" si="107"/>
        <v>0</v>
      </c>
      <c r="CE78" s="178">
        <f t="shared" si="107"/>
        <v>0</v>
      </c>
      <c r="CF78" s="178">
        <f t="shared" si="107"/>
        <v>0</v>
      </c>
      <c r="CG78" s="178">
        <f t="shared" si="107"/>
        <v>0</v>
      </c>
      <c r="CH78" s="178">
        <f t="shared" si="107"/>
        <v>0</v>
      </c>
      <c r="CI78" s="178">
        <f t="shared" si="107"/>
        <v>0</v>
      </c>
      <c r="CJ78" s="168">
        <f t="shared" si="107"/>
        <v>0</v>
      </c>
      <c r="CK78" s="169">
        <f t="shared" si="86"/>
        <v>0</v>
      </c>
      <c r="CL78" s="179">
        <f t="shared" si="87"/>
        <v>0</v>
      </c>
      <c r="CM78" s="180">
        <f t="shared" si="108"/>
        <v>0</v>
      </c>
      <c r="CN78" s="178">
        <f t="shared" si="108"/>
        <v>0</v>
      </c>
      <c r="CO78" s="178">
        <f t="shared" si="108"/>
        <v>0</v>
      </c>
      <c r="CP78" s="178">
        <f t="shared" si="108"/>
        <v>0</v>
      </c>
      <c r="CQ78" s="178">
        <f t="shared" si="108"/>
        <v>0</v>
      </c>
      <c r="CR78" s="178">
        <f t="shared" si="108"/>
        <v>0</v>
      </c>
      <c r="CS78" s="178">
        <f t="shared" si="108"/>
        <v>0</v>
      </c>
      <c r="CT78" s="178">
        <f t="shared" si="108"/>
        <v>0</v>
      </c>
      <c r="CU78" s="178">
        <f t="shared" si="108"/>
        <v>0</v>
      </c>
      <c r="CV78" s="178">
        <f t="shared" si="108"/>
        <v>0</v>
      </c>
      <c r="CW78" s="178">
        <f t="shared" si="108"/>
        <v>0</v>
      </c>
      <c r="CX78" s="168">
        <f t="shared" si="108"/>
        <v>0</v>
      </c>
      <c r="CY78" s="169">
        <f t="shared" si="89"/>
        <v>0</v>
      </c>
      <c r="CZ78" s="179">
        <f t="shared" si="90"/>
        <v>0</v>
      </c>
      <c r="DA78" s="180">
        <f t="shared" si="109"/>
        <v>0</v>
      </c>
      <c r="DB78" s="178">
        <f t="shared" si="109"/>
        <v>0</v>
      </c>
      <c r="DC78" s="178">
        <f t="shared" si="109"/>
        <v>0</v>
      </c>
      <c r="DD78" s="178">
        <f t="shared" si="109"/>
        <v>0</v>
      </c>
      <c r="DE78" s="178">
        <f t="shared" si="109"/>
        <v>0</v>
      </c>
      <c r="DF78" s="178">
        <f t="shared" si="109"/>
        <v>0</v>
      </c>
      <c r="DG78" s="178">
        <f t="shared" si="109"/>
        <v>0</v>
      </c>
      <c r="DH78" s="178">
        <f t="shared" si="109"/>
        <v>0</v>
      </c>
      <c r="DI78" s="178">
        <f t="shared" si="109"/>
        <v>0</v>
      </c>
      <c r="DJ78" s="178">
        <f t="shared" si="109"/>
        <v>0</v>
      </c>
      <c r="DK78" s="178">
        <f t="shared" si="109"/>
        <v>0</v>
      </c>
      <c r="DL78" s="168">
        <f t="shared" si="109"/>
        <v>0</v>
      </c>
      <c r="DM78" s="169">
        <f t="shared" si="92"/>
        <v>0</v>
      </c>
      <c r="DN78" s="171">
        <f t="shared" si="93"/>
        <v>0</v>
      </c>
      <c r="DO78" s="180">
        <f t="shared" si="110"/>
        <v>0</v>
      </c>
      <c r="DP78" s="178">
        <f t="shared" si="110"/>
        <v>0</v>
      </c>
      <c r="DQ78" s="178">
        <f t="shared" si="110"/>
        <v>0</v>
      </c>
      <c r="DR78" s="178">
        <f t="shared" si="110"/>
        <v>0</v>
      </c>
      <c r="DS78" s="178">
        <f t="shared" si="110"/>
        <v>0</v>
      </c>
      <c r="DT78" s="178">
        <f t="shared" si="110"/>
        <v>0</v>
      </c>
      <c r="DU78" s="178">
        <f t="shared" si="110"/>
        <v>0</v>
      </c>
      <c r="DV78" s="178">
        <f t="shared" si="110"/>
        <v>0</v>
      </c>
      <c r="DW78" s="178">
        <f t="shared" si="110"/>
        <v>0</v>
      </c>
      <c r="DX78" s="178">
        <f t="shared" si="110"/>
        <v>0</v>
      </c>
      <c r="DY78" s="178">
        <f t="shared" si="110"/>
        <v>0</v>
      </c>
      <c r="DZ78" s="168">
        <f t="shared" si="110"/>
        <v>0</v>
      </c>
      <c r="EA78" s="169">
        <f t="shared" si="95"/>
        <v>0</v>
      </c>
      <c r="EB78" s="171">
        <f t="shared" si="96"/>
        <v>0</v>
      </c>
    </row>
    <row r="79" spans="1:132" s="177" customFormat="1" ht="15.75">
      <c r="A79" s="183"/>
      <c r="B79" s="164"/>
      <c r="C79" s="184"/>
      <c r="D79" s="185"/>
      <c r="E79" s="167">
        <v>3</v>
      </c>
      <c r="F79" s="168">
        <f t="shared" si="68"/>
        <v>0</v>
      </c>
      <c r="G79" s="169">
        <f t="shared" si="113"/>
        <v>0</v>
      </c>
      <c r="H79" s="178">
        <f t="shared" si="113"/>
        <v>0</v>
      </c>
      <c r="I79" s="178">
        <f t="shared" si="113"/>
        <v>0</v>
      </c>
      <c r="J79" s="178">
        <f t="shared" si="113"/>
        <v>0</v>
      </c>
      <c r="K79" s="178">
        <f t="shared" si="113"/>
        <v>0</v>
      </c>
      <c r="L79" s="178">
        <f t="shared" si="113"/>
        <v>0</v>
      </c>
      <c r="M79" s="178">
        <f t="shared" si="113"/>
        <v>0</v>
      </c>
      <c r="N79" s="178">
        <f t="shared" si="113"/>
        <v>0</v>
      </c>
      <c r="O79" s="178">
        <f t="shared" si="113"/>
        <v>0</v>
      </c>
      <c r="P79" s="178">
        <f t="shared" si="113"/>
        <v>0</v>
      </c>
      <c r="Q79" s="178">
        <f t="shared" si="113"/>
        <v>0</v>
      </c>
      <c r="R79" s="179">
        <f t="shared" si="113"/>
        <v>0</v>
      </c>
      <c r="S79" s="169">
        <f t="shared" si="70"/>
        <v>0</v>
      </c>
      <c r="T79" s="179">
        <f t="shared" si="71"/>
        <v>0</v>
      </c>
      <c r="U79" s="180">
        <f t="shared" si="104"/>
        <v>0</v>
      </c>
      <c r="V79" s="178">
        <f t="shared" si="104"/>
        <v>0</v>
      </c>
      <c r="W79" s="178">
        <f t="shared" si="104"/>
        <v>0</v>
      </c>
      <c r="X79" s="178">
        <f t="shared" ref="X79:AF79" si="114">IF(OR($F79&lt;=0,(X$9-$A79)&gt;(365*$E79)),0,IF($A79&lt;=X$9,$F79/12,0))</f>
        <v>0</v>
      </c>
      <c r="Y79" s="178">
        <f t="shared" si="114"/>
        <v>0</v>
      </c>
      <c r="Z79" s="178">
        <f t="shared" si="114"/>
        <v>0</v>
      </c>
      <c r="AA79" s="178">
        <f t="shared" si="114"/>
        <v>0</v>
      </c>
      <c r="AB79" s="178">
        <f t="shared" si="114"/>
        <v>0</v>
      </c>
      <c r="AC79" s="178">
        <f t="shared" si="114"/>
        <v>0</v>
      </c>
      <c r="AD79" s="178">
        <f t="shared" si="114"/>
        <v>0</v>
      </c>
      <c r="AE79" s="178">
        <f t="shared" si="114"/>
        <v>0</v>
      </c>
      <c r="AF79" s="168">
        <f t="shared" si="114"/>
        <v>0</v>
      </c>
      <c r="AG79" s="169">
        <f t="shared" si="73"/>
        <v>0</v>
      </c>
      <c r="AH79" s="179">
        <f t="shared" si="74"/>
        <v>0</v>
      </c>
      <c r="AI79" s="180">
        <f t="shared" si="75"/>
        <v>0</v>
      </c>
      <c r="AJ79" s="178">
        <f t="shared" si="75"/>
        <v>0</v>
      </c>
      <c r="AK79" s="178">
        <f t="shared" si="75"/>
        <v>0</v>
      </c>
      <c r="AL79" s="178">
        <f t="shared" si="75"/>
        <v>0</v>
      </c>
      <c r="AM79" s="178">
        <f t="shared" ref="AI79:AT88" si="115">IF(OR($F79&lt;=0,(AM$9-$A79)&gt;(365*$E79)),0,IF($A79&lt;=AM$9,$F79/12,0))</f>
        <v>0</v>
      </c>
      <c r="AN79" s="178">
        <f t="shared" si="115"/>
        <v>0</v>
      </c>
      <c r="AO79" s="178">
        <f t="shared" si="115"/>
        <v>0</v>
      </c>
      <c r="AP79" s="178">
        <f t="shared" si="115"/>
        <v>0</v>
      </c>
      <c r="AQ79" s="178">
        <f t="shared" si="115"/>
        <v>0</v>
      </c>
      <c r="AR79" s="178">
        <f t="shared" si="115"/>
        <v>0</v>
      </c>
      <c r="AS79" s="178">
        <f t="shared" si="115"/>
        <v>0</v>
      </c>
      <c r="AT79" s="168">
        <f t="shared" si="115"/>
        <v>0</v>
      </c>
      <c r="AU79" s="169">
        <f t="shared" si="77"/>
        <v>0</v>
      </c>
      <c r="AV79" s="179">
        <f t="shared" si="78"/>
        <v>0</v>
      </c>
      <c r="AW79" s="180">
        <f t="shared" si="105"/>
        <v>0</v>
      </c>
      <c r="AX79" s="178">
        <f t="shared" si="105"/>
        <v>0</v>
      </c>
      <c r="AY79" s="178">
        <f t="shared" si="105"/>
        <v>0</v>
      </c>
      <c r="AZ79" s="178">
        <f t="shared" ref="AZ79:BH79" si="116">IF(OR($F79&lt;=0,(AZ$9-$A79)&gt;(365*$E79)),0,IF($A79&lt;=AZ$9,$F79/12,0))</f>
        <v>0</v>
      </c>
      <c r="BA79" s="178">
        <f t="shared" si="116"/>
        <v>0</v>
      </c>
      <c r="BB79" s="178">
        <f t="shared" si="116"/>
        <v>0</v>
      </c>
      <c r="BC79" s="178">
        <f t="shared" si="116"/>
        <v>0</v>
      </c>
      <c r="BD79" s="178">
        <f t="shared" si="116"/>
        <v>0</v>
      </c>
      <c r="BE79" s="178">
        <f t="shared" si="116"/>
        <v>0</v>
      </c>
      <c r="BF79" s="178">
        <f t="shared" si="116"/>
        <v>0</v>
      </c>
      <c r="BG79" s="178">
        <f t="shared" si="116"/>
        <v>0</v>
      </c>
      <c r="BH79" s="168">
        <f t="shared" si="116"/>
        <v>0</v>
      </c>
      <c r="BI79" s="169">
        <f t="shared" si="80"/>
        <v>0</v>
      </c>
      <c r="BJ79" s="179">
        <f t="shared" si="81"/>
        <v>0</v>
      </c>
      <c r="BK79" s="180">
        <f t="shared" si="106"/>
        <v>0</v>
      </c>
      <c r="BL79" s="178">
        <f t="shared" si="106"/>
        <v>0</v>
      </c>
      <c r="BM79" s="178">
        <f t="shared" si="106"/>
        <v>0</v>
      </c>
      <c r="BN79" s="178">
        <f t="shared" ref="BN79:BV79" si="117">IF(OR($BJ79&lt;=0,(BN$9-$A79)&gt;($E79*365)),0,IF($A79&lt;=BN$9,$F79/12))</f>
        <v>0</v>
      </c>
      <c r="BO79" s="178">
        <f t="shared" si="117"/>
        <v>0</v>
      </c>
      <c r="BP79" s="178">
        <f t="shared" si="117"/>
        <v>0</v>
      </c>
      <c r="BQ79" s="178">
        <f t="shared" si="117"/>
        <v>0</v>
      </c>
      <c r="BR79" s="178">
        <f t="shared" si="117"/>
        <v>0</v>
      </c>
      <c r="BS79" s="178">
        <f t="shared" si="117"/>
        <v>0</v>
      </c>
      <c r="BT79" s="178">
        <f t="shared" si="117"/>
        <v>0</v>
      </c>
      <c r="BU79" s="178">
        <f t="shared" si="117"/>
        <v>0</v>
      </c>
      <c r="BV79" s="168">
        <f t="shared" si="117"/>
        <v>0</v>
      </c>
      <c r="BW79" s="169">
        <f t="shared" si="83"/>
        <v>0</v>
      </c>
      <c r="BX79" s="179">
        <f t="shared" si="84"/>
        <v>0</v>
      </c>
      <c r="BY79" s="180">
        <f t="shared" si="107"/>
        <v>0</v>
      </c>
      <c r="BZ79" s="178">
        <f t="shared" si="107"/>
        <v>0</v>
      </c>
      <c r="CA79" s="178">
        <f t="shared" si="107"/>
        <v>0</v>
      </c>
      <c r="CB79" s="178">
        <f t="shared" ref="CB79:CJ79" si="118">IF(OR($BX79&lt;=0,(CB$9-$A79)&gt;($E79*365)),0,IF($A79&lt;=CB$9,$F79/12))</f>
        <v>0</v>
      </c>
      <c r="CC79" s="178">
        <f t="shared" si="118"/>
        <v>0</v>
      </c>
      <c r="CD79" s="178">
        <f t="shared" si="118"/>
        <v>0</v>
      </c>
      <c r="CE79" s="178">
        <f t="shared" si="118"/>
        <v>0</v>
      </c>
      <c r="CF79" s="178">
        <f t="shared" si="118"/>
        <v>0</v>
      </c>
      <c r="CG79" s="178">
        <f t="shared" si="118"/>
        <v>0</v>
      </c>
      <c r="CH79" s="178">
        <f t="shared" si="118"/>
        <v>0</v>
      </c>
      <c r="CI79" s="178">
        <f t="shared" si="118"/>
        <v>0</v>
      </c>
      <c r="CJ79" s="168">
        <f t="shared" si="118"/>
        <v>0</v>
      </c>
      <c r="CK79" s="169">
        <f t="shared" si="86"/>
        <v>0</v>
      </c>
      <c r="CL79" s="179">
        <f t="shared" si="87"/>
        <v>0</v>
      </c>
      <c r="CM79" s="180">
        <f t="shared" si="108"/>
        <v>0</v>
      </c>
      <c r="CN79" s="178">
        <f t="shared" si="108"/>
        <v>0</v>
      </c>
      <c r="CO79" s="178">
        <f t="shared" si="108"/>
        <v>0</v>
      </c>
      <c r="CP79" s="178">
        <f t="shared" ref="CP79:CX79" si="119">IF(OR($CL79&lt;=0,(CP$9-$A79)&gt;($E79*365)),0,IF($A79&lt;=CP$9,$F79/12))</f>
        <v>0</v>
      </c>
      <c r="CQ79" s="178">
        <f t="shared" si="119"/>
        <v>0</v>
      </c>
      <c r="CR79" s="178">
        <f t="shared" si="119"/>
        <v>0</v>
      </c>
      <c r="CS79" s="178">
        <f t="shared" si="119"/>
        <v>0</v>
      </c>
      <c r="CT79" s="178">
        <f t="shared" si="119"/>
        <v>0</v>
      </c>
      <c r="CU79" s="178">
        <f t="shared" si="119"/>
        <v>0</v>
      </c>
      <c r="CV79" s="178">
        <f t="shared" si="119"/>
        <v>0</v>
      </c>
      <c r="CW79" s="178">
        <f t="shared" si="119"/>
        <v>0</v>
      </c>
      <c r="CX79" s="168">
        <f t="shared" si="119"/>
        <v>0</v>
      </c>
      <c r="CY79" s="169">
        <f t="shared" si="89"/>
        <v>0</v>
      </c>
      <c r="CZ79" s="179">
        <f t="shared" si="90"/>
        <v>0</v>
      </c>
      <c r="DA79" s="180">
        <f t="shared" si="109"/>
        <v>0</v>
      </c>
      <c r="DB79" s="178">
        <f t="shared" si="109"/>
        <v>0</v>
      </c>
      <c r="DC79" s="178">
        <f t="shared" si="109"/>
        <v>0</v>
      </c>
      <c r="DD79" s="178">
        <f t="shared" ref="DD79:DL79" si="120">IF(OR($CZ79&lt;=0,(DD$9-$A79)&gt;($E79*365)),0,IF($A79&lt;=DD$9,$F79/12))</f>
        <v>0</v>
      </c>
      <c r="DE79" s="178">
        <f t="shared" si="120"/>
        <v>0</v>
      </c>
      <c r="DF79" s="178">
        <f t="shared" si="120"/>
        <v>0</v>
      </c>
      <c r="DG79" s="178">
        <f t="shared" si="120"/>
        <v>0</v>
      </c>
      <c r="DH79" s="178">
        <f t="shared" si="120"/>
        <v>0</v>
      </c>
      <c r="DI79" s="178">
        <f t="shared" si="120"/>
        <v>0</v>
      </c>
      <c r="DJ79" s="178">
        <f t="shared" si="120"/>
        <v>0</v>
      </c>
      <c r="DK79" s="178">
        <f t="shared" si="120"/>
        <v>0</v>
      </c>
      <c r="DL79" s="168">
        <f t="shared" si="120"/>
        <v>0</v>
      </c>
      <c r="DM79" s="169">
        <f t="shared" si="92"/>
        <v>0</v>
      </c>
      <c r="DN79" s="171">
        <f t="shared" si="93"/>
        <v>0</v>
      </c>
      <c r="DO79" s="180">
        <f t="shared" si="110"/>
        <v>0</v>
      </c>
      <c r="DP79" s="178">
        <f t="shared" si="110"/>
        <v>0</v>
      </c>
      <c r="DQ79" s="178">
        <f t="shared" si="110"/>
        <v>0</v>
      </c>
      <c r="DR79" s="178">
        <f t="shared" ref="DR79:DZ79" si="121">IF(OR($DN79&lt;=0,(DR$9-$A79)&gt;($E79*365)),0,IF($A79&lt;=DR$9,$F79/12))</f>
        <v>0</v>
      </c>
      <c r="DS79" s="178">
        <f t="shared" si="121"/>
        <v>0</v>
      </c>
      <c r="DT79" s="178">
        <f t="shared" si="121"/>
        <v>0</v>
      </c>
      <c r="DU79" s="178">
        <f t="shared" si="121"/>
        <v>0</v>
      </c>
      <c r="DV79" s="178">
        <f t="shared" si="121"/>
        <v>0</v>
      </c>
      <c r="DW79" s="178">
        <f t="shared" si="121"/>
        <v>0</v>
      </c>
      <c r="DX79" s="178">
        <f t="shared" si="121"/>
        <v>0</v>
      </c>
      <c r="DY79" s="178">
        <f t="shared" si="121"/>
        <v>0</v>
      </c>
      <c r="DZ79" s="168">
        <f t="shared" si="121"/>
        <v>0</v>
      </c>
      <c r="EA79" s="169">
        <f t="shared" si="95"/>
        <v>0</v>
      </c>
      <c r="EB79" s="171">
        <f t="shared" si="96"/>
        <v>0</v>
      </c>
    </row>
    <row r="80" spans="1:132" s="177" customFormat="1" ht="15.75">
      <c r="A80" s="183"/>
      <c r="B80" s="164"/>
      <c r="C80" s="184"/>
      <c r="D80" s="185"/>
      <c r="E80" s="167">
        <v>3</v>
      </c>
      <c r="F80" s="168">
        <f t="shared" si="68"/>
        <v>0</v>
      </c>
      <c r="G80" s="169">
        <f t="shared" si="113"/>
        <v>0</v>
      </c>
      <c r="H80" s="178">
        <f t="shared" si="113"/>
        <v>0</v>
      </c>
      <c r="I80" s="178">
        <f t="shared" si="113"/>
        <v>0</v>
      </c>
      <c r="J80" s="178">
        <f t="shared" si="113"/>
        <v>0</v>
      </c>
      <c r="K80" s="178">
        <f t="shared" si="113"/>
        <v>0</v>
      </c>
      <c r="L80" s="178">
        <f t="shared" si="113"/>
        <v>0</v>
      </c>
      <c r="M80" s="178">
        <f t="shared" si="113"/>
        <v>0</v>
      </c>
      <c r="N80" s="178">
        <f t="shared" si="113"/>
        <v>0</v>
      </c>
      <c r="O80" s="178">
        <f t="shared" si="113"/>
        <v>0</v>
      </c>
      <c r="P80" s="178">
        <f t="shared" si="113"/>
        <v>0</v>
      </c>
      <c r="Q80" s="178">
        <f t="shared" si="113"/>
        <v>0</v>
      </c>
      <c r="R80" s="179">
        <f t="shared" si="113"/>
        <v>0</v>
      </c>
      <c r="S80" s="169">
        <f t="shared" si="70"/>
        <v>0</v>
      </c>
      <c r="T80" s="179">
        <f t="shared" si="71"/>
        <v>0</v>
      </c>
      <c r="U80" s="180">
        <f t="shared" ref="U80:AF88" si="122">IF(OR($F80&lt;=0,(U$9-$A80)&gt;(365*$E80)),0,IF($A80&lt;=U$9,$F80/12,0))</f>
        <v>0</v>
      </c>
      <c r="V80" s="178">
        <f t="shared" si="122"/>
        <v>0</v>
      </c>
      <c r="W80" s="178">
        <f t="shared" si="122"/>
        <v>0</v>
      </c>
      <c r="X80" s="178">
        <f t="shared" si="122"/>
        <v>0</v>
      </c>
      <c r="Y80" s="178">
        <f t="shared" si="122"/>
        <v>0</v>
      </c>
      <c r="Z80" s="178">
        <f t="shared" si="122"/>
        <v>0</v>
      </c>
      <c r="AA80" s="178">
        <f t="shared" si="122"/>
        <v>0</v>
      </c>
      <c r="AB80" s="178">
        <f t="shared" si="122"/>
        <v>0</v>
      </c>
      <c r="AC80" s="178">
        <f t="shared" si="122"/>
        <v>0</v>
      </c>
      <c r="AD80" s="178">
        <f t="shared" si="122"/>
        <v>0</v>
      </c>
      <c r="AE80" s="178">
        <f t="shared" si="122"/>
        <v>0</v>
      </c>
      <c r="AF80" s="168">
        <f t="shared" si="122"/>
        <v>0</v>
      </c>
      <c r="AG80" s="169">
        <f t="shared" si="73"/>
        <v>0</v>
      </c>
      <c r="AH80" s="179">
        <f t="shared" si="74"/>
        <v>0</v>
      </c>
      <c r="AI80" s="180">
        <f t="shared" si="115"/>
        <v>0</v>
      </c>
      <c r="AJ80" s="178">
        <f t="shared" si="115"/>
        <v>0</v>
      </c>
      <c r="AK80" s="178">
        <f t="shared" si="115"/>
        <v>0</v>
      </c>
      <c r="AL80" s="178">
        <f t="shared" si="115"/>
        <v>0</v>
      </c>
      <c r="AM80" s="178">
        <f t="shared" si="115"/>
        <v>0</v>
      </c>
      <c r="AN80" s="178">
        <f t="shared" si="115"/>
        <v>0</v>
      </c>
      <c r="AO80" s="178">
        <f t="shared" si="115"/>
        <v>0</v>
      </c>
      <c r="AP80" s="178">
        <f t="shared" si="115"/>
        <v>0</v>
      </c>
      <c r="AQ80" s="178">
        <f t="shared" si="115"/>
        <v>0</v>
      </c>
      <c r="AR80" s="178">
        <f t="shared" si="115"/>
        <v>0</v>
      </c>
      <c r="AS80" s="178">
        <f t="shared" si="115"/>
        <v>0</v>
      </c>
      <c r="AT80" s="168">
        <f t="shared" si="115"/>
        <v>0</v>
      </c>
      <c r="AU80" s="169">
        <f t="shared" si="77"/>
        <v>0</v>
      </c>
      <c r="AV80" s="179">
        <f t="shared" si="78"/>
        <v>0</v>
      </c>
      <c r="AW80" s="180">
        <f t="shared" ref="AW80:BH88" si="123">IF(OR($F80&lt;=0,(AW$9-$A80)&gt;(365*$E80)),0,IF($A80&lt;=AW$9,$F80/12,0))</f>
        <v>0</v>
      </c>
      <c r="AX80" s="178">
        <f t="shared" si="123"/>
        <v>0</v>
      </c>
      <c r="AY80" s="178">
        <f t="shared" si="123"/>
        <v>0</v>
      </c>
      <c r="AZ80" s="178">
        <f t="shared" si="123"/>
        <v>0</v>
      </c>
      <c r="BA80" s="178">
        <f t="shared" si="123"/>
        <v>0</v>
      </c>
      <c r="BB80" s="178">
        <f t="shared" si="123"/>
        <v>0</v>
      </c>
      <c r="BC80" s="178">
        <f t="shared" si="123"/>
        <v>0</v>
      </c>
      <c r="BD80" s="178">
        <f t="shared" si="123"/>
        <v>0</v>
      </c>
      <c r="BE80" s="178">
        <f t="shared" si="123"/>
        <v>0</v>
      </c>
      <c r="BF80" s="178">
        <f t="shared" si="123"/>
        <v>0</v>
      </c>
      <c r="BG80" s="178">
        <f t="shared" si="123"/>
        <v>0</v>
      </c>
      <c r="BH80" s="168">
        <f t="shared" si="123"/>
        <v>0</v>
      </c>
      <c r="BI80" s="169">
        <f t="shared" si="80"/>
        <v>0</v>
      </c>
      <c r="BJ80" s="179">
        <f t="shared" si="81"/>
        <v>0</v>
      </c>
      <c r="BK80" s="180">
        <f t="shared" ref="BK80:BV88" si="124">IF(OR($BJ80&lt;=0,(BK$9-$A80)&gt;($E80*365)),0,IF($A80&lt;=BK$9,$F80/12))</f>
        <v>0</v>
      </c>
      <c r="BL80" s="178">
        <f t="shared" si="124"/>
        <v>0</v>
      </c>
      <c r="BM80" s="178">
        <f t="shared" si="124"/>
        <v>0</v>
      </c>
      <c r="BN80" s="178">
        <f t="shared" si="124"/>
        <v>0</v>
      </c>
      <c r="BO80" s="178">
        <f t="shared" si="124"/>
        <v>0</v>
      </c>
      <c r="BP80" s="178">
        <f t="shared" si="124"/>
        <v>0</v>
      </c>
      <c r="BQ80" s="178">
        <f t="shared" si="124"/>
        <v>0</v>
      </c>
      <c r="BR80" s="178">
        <f t="shared" si="124"/>
        <v>0</v>
      </c>
      <c r="BS80" s="178">
        <f t="shared" si="124"/>
        <v>0</v>
      </c>
      <c r="BT80" s="178">
        <f t="shared" si="124"/>
        <v>0</v>
      </c>
      <c r="BU80" s="178">
        <f t="shared" si="124"/>
        <v>0</v>
      </c>
      <c r="BV80" s="168">
        <f t="shared" si="124"/>
        <v>0</v>
      </c>
      <c r="BW80" s="169">
        <f t="shared" si="83"/>
        <v>0</v>
      </c>
      <c r="BX80" s="179">
        <f t="shared" si="84"/>
        <v>0</v>
      </c>
      <c r="BY80" s="180">
        <f t="shared" ref="BY80:CJ88" si="125">IF(OR($BX80&lt;=0,(BY$9-$A80)&gt;($E80*365)),0,IF($A80&lt;=BY$9,$F80/12))</f>
        <v>0</v>
      </c>
      <c r="BZ80" s="178">
        <f t="shared" si="125"/>
        <v>0</v>
      </c>
      <c r="CA80" s="178">
        <f t="shared" si="125"/>
        <v>0</v>
      </c>
      <c r="CB80" s="178">
        <f t="shared" si="125"/>
        <v>0</v>
      </c>
      <c r="CC80" s="178">
        <f t="shared" si="125"/>
        <v>0</v>
      </c>
      <c r="CD80" s="178">
        <f t="shared" si="125"/>
        <v>0</v>
      </c>
      <c r="CE80" s="178">
        <f t="shared" si="125"/>
        <v>0</v>
      </c>
      <c r="CF80" s="178">
        <f t="shared" si="125"/>
        <v>0</v>
      </c>
      <c r="CG80" s="178">
        <f t="shared" si="125"/>
        <v>0</v>
      </c>
      <c r="CH80" s="178">
        <f t="shared" si="125"/>
        <v>0</v>
      </c>
      <c r="CI80" s="178">
        <f t="shared" si="125"/>
        <v>0</v>
      </c>
      <c r="CJ80" s="168">
        <f t="shared" si="125"/>
        <v>0</v>
      </c>
      <c r="CK80" s="169">
        <f t="shared" si="86"/>
        <v>0</v>
      </c>
      <c r="CL80" s="179">
        <f t="shared" si="87"/>
        <v>0</v>
      </c>
      <c r="CM80" s="180">
        <f t="shared" ref="CM80:CX88" si="126">IF(OR($CL80&lt;=0,(CM$9-$A80)&gt;($E80*365)),0,IF($A80&lt;=CM$9,$F80/12))</f>
        <v>0</v>
      </c>
      <c r="CN80" s="178">
        <f t="shared" si="126"/>
        <v>0</v>
      </c>
      <c r="CO80" s="178">
        <f t="shared" si="126"/>
        <v>0</v>
      </c>
      <c r="CP80" s="178">
        <f t="shared" si="126"/>
        <v>0</v>
      </c>
      <c r="CQ80" s="178">
        <f t="shared" si="126"/>
        <v>0</v>
      </c>
      <c r="CR80" s="178">
        <f t="shared" si="126"/>
        <v>0</v>
      </c>
      <c r="CS80" s="178">
        <f t="shared" si="126"/>
        <v>0</v>
      </c>
      <c r="CT80" s="178">
        <f t="shared" si="126"/>
        <v>0</v>
      </c>
      <c r="CU80" s="178">
        <f t="shared" si="126"/>
        <v>0</v>
      </c>
      <c r="CV80" s="178">
        <f t="shared" si="126"/>
        <v>0</v>
      </c>
      <c r="CW80" s="178">
        <f t="shared" si="126"/>
        <v>0</v>
      </c>
      <c r="CX80" s="168">
        <f t="shared" si="126"/>
        <v>0</v>
      </c>
      <c r="CY80" s="169">
        <f t="shared" si="89"/>
        <v>0</v>
      </c>
      <c r="CZ80" s="179">
        <f t="shared" si="90"/>
        <v>0</v>
      </c>
      <c r="DA80" s="180">
        <f t="shared" ref="DA80:DL88" si="127">IF(OR($CZ80&lt;=0,(DA$9-$A80)&gt;($E80*365)),0,IF($A80&lt;=DA$9,$F80/12))</f>
        <v>0</v>
      </c>
      <c r="DB80" s="178">
        <f t="shared" si="127"/>
        <v>0</v>
      </c>
      <c r="DC80" s="178">
        <f t="shared" si="127"/>
        <v>0</v>
      </c>
      <c r="DD80" s="178">
        <f t="shared" si="127"/>
        <v>0</v>
      </c>
      <c r="DE80" s="178">
        <f t="shared" si="127"/>
        <v>0</v>
      </c>
      <c r="DF80" s="178">
        <f t="shared" si="127"/>
        <v>0</v>
      </c>
      <c r="DG80" s="178">
        <f t="shared" si="127"/>
        <v>0</v>
      </c>
      <c r="DH80" s="178">
        <f t="shared" si="127"/>
        <v>0</v>
      </c>
      <c r="DI80" s="178">
        <f t="shared" si="127"/>
        <v>0</v>
      </c>
      <c r="DJ80" s="178">
        <f t="shared" si="127"/>
        <v>0</v>
      </c>
      <c r="DK80" s="178">
        <f t="shared" si="127"/>
        <v>0</v>
      </c>
      <c r="DL80" s="168">
        <f t="shared" si="127"/>
        <v>0</v>
      </c>
      <c r="DM80" s="169">
        <f t="shared" si="92"/>
        <v>0</v>
      </c>
      <c r="DN80" s="171">
        <f t="shared" si="93"/>
        <v>0</v>
      </c>
      <c r="DO80" s="180">
        <f t="shared" ref="DO80:DZ88" si="128">IF(OR($DN80&lt;=0,(DO$9-$A80)&gt;($E80*365)),0,IF($A80&lt;=DO$9,$F80/12))</f>
        <v>0</v>
      </c>
      <c r="DP80" s="178">
        <f t="shared" si="128"/>
        <v>0</v>
      </c>
      <c r="DQ80" s="178">
        <f t="shared" si="128"/>
        <v>0</v>
      </c>
      <c r="DR80" s="178">
        <f t="shared" si="128"/>
        <v>0</v>
      </c>
      <c r="DS80" s="178">
        <f t="shared" si="128"/>
        <v>0</v>
      </c>
      <c r="DT80" s="178">
        <f t="shared" si="128"/>
        <v>0</v>
      </c>
      <c r="DU80" s="178">
        <f t="shared" si="128"/>
        <v>0</v>
      </c>
      <c r="DV80" s="178">
        <f t="shared" si="128"/>
        <v>0</v>
      </c>
      <c r="DW80" s="178">
        <f t="shared" si="128"/>
        <v>0</v>
      </c>
      <c r="DX80" s="178">
        <f t="shared" si="128"/>
        <v>0</v>
      </c>
      <c r="DY80" s="178">
        <f t="shared" si="128"/>
        <v>0</v>
      </c>
      <c r="DZ80" s="168">
        <f t="shared" si="128"/>
        <v>0</v>
      </c>
      <c r="EA80" s="169">
        <f t="shared" si="95"/>
        <v>0</v>
      </c>
      <c r="EB80" s="171">
        <f t="shared" si="96"/>
        <v>0</v>
      </c>
    </row>
    <row r="81" spans="1:132" s="177" customFormat="1" ht="15.75">
      <c r="A81" s="183"/>
      <c r="B81" s="164"/>
      <c r="C81" s="184"/>
      <c r="D81" s="185"/>
      <c r="E81" s="167">
        <v>3</v>
      </c>
      <c r="F81" s="168">
        <f t="shared" si="68"/>
        <v>0</v>
      </c>
      <c r="G81" s="169">
        <f t="shared" si="113"/>
        <v>0</v>
      </c>
      <c r="H81" s="178">
        <f t="shared" si="113"/>
        <v>0</v>
      </c>
      <c r="I81" s="178">
        <f t="shared" si="113"/>
        <v>0</v>
      </c>
      <c r="J81" s="178">
        <f t="shared" si="113"/>
        <v>0</v>
      </c>
      <c r="K81" s="178">
        <f t="shared" si="113"/>
        <v>0</v>
      </c>
      <c r="L81" s="178">
        <f t="shared" si="113"/>
        <v>0</v>
      </c>
      <c r="M81" s="178">
        <f t="shared" si="113"/>
        <v>0</v>
      </c>
      <c r="N81" s="178">
        <f t="shared" si="113"/>
        <v>0</v>
      </c>
      <c r="O81" s="178">
        <f t="shared" si="113"/>
        <v>0</v>
      </c>
      <c r="P81" s="178">
        <f t="shared" si="113"/>
        <v>0</v>
      </c>
      <c r="Q81" s="178">
        <f t="shared" si="113"/>
        <v>0</v>
      </c>
      <c r="R81" s="179">
        <f t="shared" si="113"/>
        <v>0</v>
      </c>
      <c r="S81" s="169">
        <f t="shared" si="70"/>
        <v>0</v>
      </c>
      <c r="T81" s="179">
        <f t="shared" si="71"/>
        <v>0</v>
      </c>
      <c r="U81" s="180">
        <f t="shared" si="122"/>
        <v>0</v>
      </c>
      <c r="V81" s="178">
        <f t="shared" si="122"/>
        <v>0</v>
      </c>
      <c r="W81" s="178">
        <f t="shared" si="122"/>
        <v>0</v>
      </c>
      <c r="X81" s="178">
        <f t="shared" si="122"/>
        <v>0</v>
      </c>
      <c r="Y81" s="178">
        <f t="shared" si="122"/>
        <v>0</v>
      </c>
      <c r="Z81" s="178">
        <f t="shared" si="122"/>
        <v>0</v>
      </c>
      <c r="AA81" s="178">
        <f t="shared" si="122"/>
        <v>0</v>
      </c>
      <c r="AB81" s="178">
        <f t="shared" si="122"/>
        <v>0</v>
      </c>
      <c r="AC81" s="178">
        <f t="shared" si="122"/>
        <v>0</v>
      </c>
      <c r="AD81" s="178">
        <f t="shared" si="122"/>
        <v>0</v>
      </c>
      <c r="AE81" s="178">
        <f t="shared" si="122"/>
        <v>0</v>
      </c>
      <c r="AF81" s="168">
        <f t="shared" si="122"/>
        <v>0</v>
      </c>
      <c r="AG81" s="169">
        <f t="shared" si="73"/>
        <v>0</v>
      </c>
      <c r="AH81" s="179">
        <f t="shared" si="74"/>
        <v>0</v>
      </c>
      <c r="AI81" s="180">
        <f t="shared" si="115"/>
        <v>0</v>
      </c>
      <c r="AJ81" s="178">
        <f t="shared" si="115"/>
        <v>0</v>
      </c>
      <c r="AK81" s="178">
        <f t="shared" si="115"/>
        <v>0</v>
      </c>
      <c r="AL81" s="178">
        <f t="shared" si="115"/>
        <v>0</v>
      </c>
      <c r="AM81" s="178">
        <f t="shared" si="115"/>
        <v>0</v>
      </c>
      <c r="AN81" s="178">
        <f t="shared" si="115"/>
        <v>0</v>
      </c>
      <c r="AO81" s="178">
        <f t="shared" si="115"/>
        <v>0</v>
      </c>
      <c r="AP81" s="178">
        <f t="shared" si="115"/>
        <v>0</v>
      </c>
      <c r="AQ81" s="178">
        <f t="shared" si="115"/>
        <v>0</v>
      </c>
      <c r="AR81" s="178">
        <f t="shared" si="115"/>
        <v>0</v>
      </c>
      <c r="AS81" s="178">
        <f t="shared" si="115"/>
        <v>0</v>
      </c>
      <c r="AT81" s="168">
        <f t="shared" si="115"/>
        <v>0</v>
      </c>
      <c r="AU81" s="169">
        <f t="shared" si="77"/>
        <v>0</v>
      </c>
      <c r="AV81" s="179">
        <f t="shared" si="78"/>
        <v>0</v>
      </c>
      <c r="AW81" s="180">
        <f t="shared" si="123"/>
        <v>0</v>
      </c>
      <c r="AX81" s="178">
        <f t="shared" si="123"/>
        <v>0</v>
      </c>
      <c r="AY81" s="178">
        <f t="shared" si="123"/>
        <v>0</v>
      </c>
      <c r="AZ81" s="178">
        <f t="shared" si="123"/>
        <v>0</v>
      </c>
      <c r="BA81" s="178">
        <f t="shared" si="123"/>
        <v>0</v>
      </c>
      <c r="BB81" s="178">
        <f t="shared" si="123"/>
        <v>0</v>
      </c>
      <c r="BC81" s="178">
        <f t="shared" si="123"/>
        <v>0</v>
      </c>
      <c r="BD81" s="178">
        <f t="shared" si="123"/>
        <v>0</v>
      </c>
      <c r="BE81" s="178">
        <f t="shared" si="123"/>
        <v>0</v>
      </c>
      <c r="BF81" s="178">
        <f t="shared" si="123"/>
        <v>0</v>
      </c>
      <c r="BG81" s="178">
        <f t="shared" si="123"/>
        <v>0</v>
      </c>
      <c r="BH81" s="168">
        <f t="shared" si="123"/>
        <v>0</v>
      </c>
      <c r="BI81" s="169">
        <f t="shared" si="80"/>
        <v>0</v>
      </c>
      <c r="BJ81" s="179">
        <f t="shared" si="81"/>
        <v>0</v>
      </c>
      <c r="BK81" s="180">
        <f t="shared" si="124"/>
        <v>0</v>
      </c>
      <c r="BL81" s="178">
        <f t="shared" si="124"/>
        <v>0</v>
      </c>
      <c r="BM81" s="178">
        <f t="shared" si="124"/>
        <v>0</v>
      </c>
      <c r="BN81" s="178">
        <f t="shared" si="124"/>
        <v>0</v>
      </c>
      <c r="BO81" s="178">
        <f t="shared" si="124"/>
        <v>0</v>
      </c>
      <c r="BP81" s="178">
        <f t="shared" si="124"/>
        <v>0</v>
      </c>
      <c r="BQ81" s="178">
        <f t="shared" si="124"/>
        <v>0</v>
      </c>
      <c r="BR81" s="178">
        <f t="shared" si="124"/>
        <v>0</v>
      </c>
      <c r="BS81" s="178">
        <f t="shared" si="124"/>
        <v>0</v>
      </c>
      <c r="BT81" s="178">
        <f t="shared" si="124"/>
        <v>0</v>
      </c>
      <c r="BU81" s="178">
        <f t="shared" si="124"/>
        <v>0</v>
      </c>
      <c r="BV81" s="168">
        <f t="shared" si="124"/>
        <v>0</v>
      </c>
      <c r="BW81" s="169">
        <f t="shared" si="83"/>
        <v>0</v>
      </c>
      <c r="BX81" s="179">
        <f t="shared" si="84"/>
        <v>0</v>
      </c>
      <c r="BY81" s="180">
        <f t="shared" si="125"/>
        <v>0</v>
      </c>
      <c r="BZ81" s="178">
        <f t="shared" si="125"/>
        <v>0</v>
      </c>
      <c r="CA81" s="178">
        <f t="shared" si="125"/>
        <v>0</v>
      </c>
      <c r="CB81" s="178">
        <f t="shared" si="125"/>
        <v>0</v>
      </c>
      <c r="CC81" s="178">
        <f t="shared" si="125"/>
        <v>0</v>
      </c>
      <c r="CD81" s="178">
        <f t="shared" si="125"/>
        <v>0</v>
      </c>
      <c r="CE81" s="178">
        <f t="shared" si="125"/>
        <v>0</v>
      </c>
      <c r="CF81" s="178">
        <f t="shared" si="125"/>
        <v>0</v>
      </c>
      <c r="CG81" s="178">
        <f t="shared" si="125"/>
        <v>0</v>
      </c>
      <c r="CH81" s="178">
        <f t="shared" si="125"/>
        <v>0</v>
      </c>
      <c r="CI81" s="178">
        <f t="shared" si="125"/>
        <v>0</v>
      </c>
      <c r="CJ81" s="168">
        <f t="shared" si="125"/>
        <v>0</v>
      </c>
      <c r="CK81" s="169">
        <f t="shared" si="86"/>
        <v>0</v>
      </c>
      <c r="CL81" s="179">
        <f t="shared" si="87"/>
        <v>0</v>
      </c>
      <c r="CM81" s="180">
        <f t="shared" si="126"/>
        <v>0</v>
      </c>
      <c r="CN81" s="178">
        <f t="shared" si="126"/>
        <v>0</v>
      </c>
      <c r="CO81" s="178">
        <f t="shared" si="126"/>
        <v>0</v>
      </c>
      <c r="CP81" s="178">
        <f t="shared" si="126"/>
        <v>0</v>
      </c>
      <c r="CQ81" s="178">
        <f t="shared" si="126"/>
        <v>0</v>
      </c>
      <c r="CR81" s="178">
        <f t="shared" si="126"/>
        <v>0</v>
      </c>
      <c r="CS81" s="178">
        <f t="shared" si="126"/>
        <v>0</v>
      </c>
      <c r="CT81" s="178">
        <f t="shared" si="126"/>
        <v>0</v>
      </c>
      <c r="CU81" s="178">
        <f t="shared" si="126"/>
        <v>0</v>
      </c>
      <c r="CV81" s="178">
        <f t="shared" si="126"/>
        <v>0</v>
      </c>
      <c r="CW81" s="178">
        <f t="shared" si="126"/>
        <v>0</v>
      </c>
      <c r="CX81" s="168">
        <f t="shared" si="126"/>
        <v>0</v>
      </c>
      <c r="CY81" s="169">
        <f t="shared" si="89"/>
        <v>0</v>
      </c>
      <c r="CZ81" s="179">
        <f t="shared" si="90"/>
        <v>0</v>
      </c>
      <c r="DA81" s="180">
        <f t="shared" si="127"/>
        <v>0</v>
      </c>
      <c r="DB81" s="178">
        <f t="shared" si="127"/>
        <v>0</v>
      </c>
      <c r="DC81" s="178">
        <f t="shared" si="127"/>
        <v>0</v>
      </c>
      <c r="DD81" s="178">
        <f t="shared" si="127"/>
        <v>0</v>
      </c>
      <c r="DE81" s="178">
        <f t="shared" si="127"/>
        <v>0</v>
      </c>
      <c r="DF81" s="178">
        <f t="shared" si="127"/>
        <v>0</v>
      </c>
      <c r="DG81" s="178">
        <f t="shared" si="127"/>
        <v>0</v>
      </c>
      <c r="DH81" s="178">
        <f t="shared" si="127"/>
        <v>0</v>
      </c>
      <c r="DI81" s="178">
        <f t="shared" si="127"/>
        <v>0</v>
      </c>
      <c r="DJ81" s="178">
        <f t="shared" si="127"/>
        <v>0</v>
      </c>
      <c r="DK81" s="178">
        <f t="shared" si="127"/>
        <v>0</v>
      </c>
      <c r="DL81" s="168">
        <f t="shared" si="127"/>
        <v>0</v>
      </c>
      <c r="DM81" s="169">
        <f t="shared" si="92"/>
        <v>0</v>
      </c>
      <c r="DN81" s="171">
        <f t="shared" si="93"/>
        <v>0</v>
      </c>
      <c r="DO81" s="180">
        <f t="shared" si="128"/>
        <v>0</v>
      </c>
      <c r="DP81" s="178">
        <f t="shared" si="128"/>
        <v>0</v>
      </c>
      <c r="DQ81" s="178">
        <f t="shared" si="128"/>
        <v>0</v>
      </c>
      <c r="DR81" s="178">
        <f t="shared" si="128"/>
        <v>0</v>
      </c>
      <c r="DS81" s="178">
        <f t="shared" si="128"/>
        <v>0</v>
      </c>
      <c r="DT81" s="178">
        <f t="shared" si="128"/>
        <v>0</v>
      </c>
      <c r="DU81" s="178">
        <f t="shared" si="128"/>
        <v>0</v>
      </c>
      <c r="DV81" s="178">
        <f t="shared" si="128"/>
        <v>0</v>
      </c>
      <c r="DW81" s="178">
        <f t="shared" si="128"/>
        <v>0</v>
      </c>
      <c r="DX81" s="178">
        <f t="shared" si="128"/>
        <v>0</v>
      </c>
      <c r="DY81" s="178">
        <f t="shared" si="128"/>
        <v>0</v>
      </c>
      <c r="DZ81" s="168">
        <f t="shared" si="128"/>
        <v>0</v>
      </c>
      <c r="EA81" s="169">
        <f t="shared" si="95"/>
        <v>0</v>
      </c>
      <c r="EB81" s="171">
        <f t="shared" si="96"/>
        <v>0</v>
      </c>
    </row>
    <row r="82" spans="1:132" s="177" customFormat="1" ht="15.75">
      <c r="A82" s="183"/>
      <c r="B82" s="164"/>
      <c r="C82" s="184"/>
      <c r="D82" s="185"/>
      <c r="E82" s="167">
        <v>3</v>
      </c>
      <c r="F82" s="168">
        <f t="shared" si="68"/>
        <v>0</v>
      </c>
      <c r="G82" s="169">
        <f t="shared" si="113"/>
        <v>0</v>
      </c>
      <c r="H82" s="178">
        <f t="shared" si="113"/>
        <v>0</v>
      </c>
      <c r="I82" s="178">
        <f t="shared" si="113"/>
        <v>0</v>
      </c>
      <c r="J82" s="178">
        <f t="shared" ref="J82:R82" si="129">IF(OR($F82&lt;=0,(J$9-$A82)&gt;(365*$E82)),0,IF($A82&lt;=J$9,$F82/12,0))</f>
        <v>0</v>
      </c>
      <c r="K82" s="178">
        <f t="shared" si="129"/>
        <v>0</v>
      </c>
      <c r="L82" s="178">
        <f t="shared" si="129"/>
        <v>0</v>
      </c>
      <c r="M82" s="178">
        <f t="shared" si="129"/>
        <v>0</v>
      </c>
      <c r="N82" s="178">
        <f t="shared" si="129"/>
        <v>0</v>
      </c>
      <c r="O82" s="178">
        <f t="shared" si="129"/>
        <v>0</v>
      </c>
      <c r="P82" s="178">
        <f t="shared" si="129"/>
        <v>0</v>
      </c>
      <c r="Q82" s="178">
        <f t="shared" si="129"/>
        <v>0</v>
      </c>
      <c r="R82" s="179">
        <f t="shared" si="129"/>
        <v>0</v>
      </c>
      <c r="S82" s="169">
        <f t="shared" si="70"/>
        <v>0</v>
      </c>
      <c r="T82" s="179">
        <f t="shared" si="71"/>
        <v>0</v>
      </c>
      <c r="U82" s="180">
        <f t="shared" si="122"/>
        <v>0</v>
      </c>
      <c r="V82" s="178">
        <f t="shared" si="122"/>
        <v>0</v>
      </c>
      <c r="W82" s="178">
        <f t="shared" si="122"/>
        <v>0</v>
      </c>
      <c r="X82" s="178">
        <f t="shared" si="122"/>
        <v>0</v>
      </c>
      <c r="Y82" s="178">
        <f t="shared" si="122"/>
        <v>0</v>
      </c>
      <c r="Z82" s="178">
        <f t="shared" si="122"/>
        <v>0</v>
      </c>
      <c r="AA82" s="178">
        <f t="shared" si="122"/>
        <v>0</v>
      </c>
      <c r="AB82" s="178">
        <f t="shared" si="122"/>
        <v>0</v>
      </c>
      <c r="AC82" s="178">
        <f t="shared" si="122"/>
        <v>0</v>
      </c>
      <c r="AD82" s="178">
        <f t="shared" si="122"/>
        <v>0</v>
      </c>
      <c r="AE82" s="178">
        <f t="shared" si="122"/>
        <v>0</v>
      </c>
      <c r="AF82" s="168">
        <f t="shared" si="122"/>
        <v>0</v>
      </c>
      <c r="AG82" s="169">
        <f t="shared" si="73"/>
        <v>0</v>
      </c>
      <c r="AH82" s="179">
        <f t="shared" si="74"/>
        <v>0</v>
      </c>
      <c r="AI82" s="180">
        <f t="shared" si="115"/>
        <v>0</v>
      </c>
      <c r="AJ82" s="178">
        <f t="shared" si="115"/>
        <v>0</v>
      </c>
      <c r="AK82" s="178">
        <f t="shared" si="115"/>
        <v>0</v>
      </c>
      <c r="AL82" s="178">
        <f t="shared" si="115"/>
        <v>0</v>
      </c>
      <c r="AM82" s="178">
        <f t="shared" si="115"/>
        <v>0</v>
      </c>
      <c r="AN82" s="178">
        <f t="shared" si="115"/>
        <v>0</v>
      </c>
      <c r="AO82" s="178">
        <f t="shared" si="115"/>
        <v>0</v>
      </c>
      <c r="AP82" s="178">
        <f t="shared" si="115"/>
        <v>0</v>
      </c>
      <c r="AQ82" s="178">
        <f t="shared" si="115"/>
        <v>0</v>
      </c>
      <c r="AR82" s="178">
        <f t="shared" si="115"/>
        <v>0</v>
      </c>
      <c r="AS82" s="178">
        <f t="shared" si="115"/>
        <v>0</v>
      </c>
      <c r="AT82" s="168">
        <f t="shared" si="115"/>
        <v>0</v>
      </c>
      <c r="AU82" s="169">
        <f t="shared" si="77"/>
        <v>0</v>
      </c>
      <c r="AV82" s="179">
        <f t="shared" si="78"/>
        <v>0</v>
      </c>
      <c r="AW82" s="180">
        <f t="shared" si="123"/>
        <v>0</v>
      </c>
      <c r="AX82" s="178">
        <f t="shared" si="123"/>
        <v>0</v>
      </c>
      <c r="AY82" s="178">
        <f t="shared" si="123"/>
        <v>0</v>
      </c>
      <c r="AZ82" s="178">
        <f t="shared" si="123"/>
        <v>0</v>
      </c>
      <c r="BA82" s="178">
        <f t="shared" si="123"/>
        <v>0</v>
      </c>
      <c r="BB82" s="178">
        <f t="shared" si="123"/>
        <v>0</v>
      </c>
      <c r="BC82" s="178">
        <f t="shared" si="123"/>
        <v>0</v>
      </c>
      <c r="BD82" s="178">
        <f t="shared" si="123"/>
        <v>0</v>
      </c>
      <c r="BE82" s="178">
        <f t="shared" si="123"/>
        <v>0</v>
      </c>
      <c r="BF82" s="178">
        <f t="shared" si="123"/>
        <v>0</v>
      </c>
      <c r="BG82" s="178">
        <f t="shared" si="123"/>
        <v>0</v>
      </c>
      <c r="BH82" s="168">
        <f t="shared" si="123"/>
        <v>0</v>
      </c>
      <c r="BI82" s="169">
        <f t="shared" si="80"/>
        <v>0</v>
      </c>
      <c r="BJ82" s="179">
        <f t="shared" si="81"/>
        <v>0</v>
      </c>
      <c r="BK82" s="180">
        <f t="shared" si="124"/>
        <v>0</v>
      </c>
      <c r="BL82" s="178">
        <f t="shared" si="124"/>
        <v>0</v>
      </c>
      <c r="BM82" s="178">
        <f t="shared" si="124"/>
        <v>0</v>
      </c>
      <c r="BN82" s="178">
        <f t="shared" si="124"/>
        <v>0</v>
      </c>
      <c r="BO82" s="178">
        <f t="shared" si="124"/>
        <v>0</v>
      </c>
      <c r="BP82" s="178">
        <f t="shared" si="124"/>
        <v>0</v>
      </c>
      <c r="BQ82" s="178">
        <f t="shared" si="124"/>
        <v>0</v>
      </c>
      <c r="BR82" s="178">
        <f t="shared" si="124"/>
        <v>0</v>
      </c>
      <c r="BS82" s="178">
        <f t="shared" si="124"/>
        <v>0</v>
      </c>
      <c r="BT82" s="178">
        <f t="shared" si="124"/>
        <v>0</v>
      </c>
      <c r="BU82" s="178">
        <f t="shared" si="124"/>
        <v>0</v>
      </c>
      <c r="BV82" s="168">
        <f t="shared" si="124"/>
        <v>0</v>
      </c>
      <c r="BW82" s="169">
        <f t="shared" si="83"/>
        <v>0</v>
      </c>
      <c r="BX82" s="179">
        <f t="shared" si="84"/>
        <v>0</v>
      </c>
      <c r="BY82" s="180">
        <f t="shared" si="125"/>
        <v>0</v>
      </c>
      <c r="BZ82" s="178">
        <f t="shared" si="125"/>
        <v>0</v>
      </c>
      <c r="CA82" s="178">
        <f t="shared" si="125"/>
        <v>0</v>
      </c>
      <c r="CB82" s="178">
        <f t="shared" si="125"/>
        <v>0</v>
      </c>
      <c r="CC82" s="178">
        <f t="shared" si="125"/>
        <v>0</v>
      </c>
      <c r="CD82" s="178">
        <f t="shared" si="125"/>
        <v>0</v>
      </c>
      <c r="CE82" s="178">
        <f t="shared" si="125"/>
        <v>0</v>
      </c>
      <c r="CF82" s="178">
        <f t="shared" si="125"/>
        <v>0</v>
      </c>
      <c r="CG82" s="178">
        <f t="shared" si="125"/>
        <v>0</v>
      </c>
      <c r="CH82" s="178">
        <f t="shared" si="125"/>
        <v>0</v>
      </c>
      <c r="CI82" s="178">
        <f t="shared" si="125"/>
        <v>0</v>
      </c>
      <c r="CJ82" s="168">
        <f t="shared" si="125"/>
        <v>0</v>
      </c>
      <c r="CK82" s="169">
        <f t="shared" si="86"/>
        <v>0</v>
      </c>
      <c r="CL82" s="179">
        <f t="shared" si="87"/>
        <v>0</v>
      </c>
      <c r="CM82" s="180">
        <f t="shared" si="126"/>
        <v>0</v>
      </c>
      <c r="CN82" s="178">
        <f t="shared" si="126"/>
        <v>0</v>
      </c>
      <c r="CO82" s="178">
        <f t="shared" si="126"/>
        <v>0</v>
      </c>
      <c r="CP82" s="178">
        <f t="shared" si="126"/>
        <v>0</v>
      </c>
      <c r="CQ82" s="178">
        <f t="shared" si="126"/>
        <v>0</v>
      </c>
      <c r="CR82" s="178">
        <f t="shared" si="126"/>
        <v>0</v>
      </c>
      <c r="CS82" s="178">
        <f t="shared" si="126"/>
        <v>0</v>
      </c>
      <c r="CT82" s="178">
        <f t="shared" si="126"/>
        <v>0</v>
      </c>
      <c r="CU82" s="178">
        <f t="shared" si="126"/>
        <v>0</v>
      </c>
      <c r="CV82" s="178">
        <f t="shared" si="126"/>
        <v>0</v>
      </c>
      <c r="CW82" s="178">
        <f t="shared" si="126"/>
        <v>0</v>
      </c>
      <c r="CX82" s="168">
        <f t="shared" si="126"/>
        <v>0</v>
      </c>
      <c r="CY82" s="169">
        <f t="shared" si="89"/>
        <v>0</v>
      </c>
      <c r="CZ82" s="179">
        <f t="shared" si="90"/>
        <v>0</v>
      </c>
      <c r="DA82" s="180">
        <f t="shared" si="127"/>
        <v>0</v>
      </c>
      <c r="DB82" s="178">
        <f t="shared" si="127"/>
        <v>0</v>
      </c>
      <c r="DC82" s="178">
        <f t="shared" si="127"/>
        <v>0</v>
      </c>
      <c r="DD82" s="178">
        <f t="shared" si="127"/>
        <v>0</v>
      </c>
      <c r="DE82" s="178">
        <f t="shared" si="127"/>
        <v>0</v>
      </c>
      <c r="DF82" s="178">
        <f t="shared" si="127"/>
        <v>0</v>
      </c>
      <c r="DG82" s="178">
        <f t="shared" si="127"/>
        <v>0</v>
      </c>
      <c r="DH82" s="178">
        <f t="shared" si="127"/>
        <v>0</v>
      </c>
      <c r="DI82" s="178">
        <f t="shared" si="127"/>
        <v>0</v>
      </c>
      <c r="DJ82" s="178">
        <f t="shared" si="127"/>
        <v>0</v>
      </c>
      <c r="DK82" s="178">
        <f t="shared" si="127"/>
        <v>0</v>
      </c>
      <c r="DL82" s="168">
        <f t="shared" si="127"/>
        <v>0</v>
      </c>
      <c r="DM82" s="169">
        <f t="shared" si="92"/>
        <v>0</v>
      </c>
      <c r="DN82" s="171">
        <f t="shared" si="93"/>
        <v>0</v>
      </c>
      <c r="DO82" s="180">
        <f t="shared" si="128"/>
        <v>0</v>
      </c>
      <c r="DP82" s="178">
        <f t="shared" si="128"/>
        <v>0</v>
      </c>
      <c r="DQ82" s="178">
        <f t="shared" si="128"/>
        <v>0</v>
      </c>
      <c r="DR82" s="178">
        <f t="shared" si="128"/>
        <v>0</v>
      </c>
      <c r="DS82" s="178">
        <f t="shared" si="128"/>
        <v>0</v>
      </c>
      <c r="DT82" s="178">
        <f t="shared" si="128"/>
        <v>0</v>
      </c>
      <c r="DU82" s="178">
        <f t="shared" si="128"/>
        <v>0</v>
      </c>
      <c r="DV82" s="178">
        <f t="shared" si="128"/>
        <v>0</v>
      </c>
      <c r="DW82" s="178">
        <f t="shared" si="128"/>
        <v>0</v>
      </c>
      <c r="DX82" s="178">
        <f t="shared" si="128"/>
        <v>0</v>
      </c>
      <c r="DY82" s="178">
        <f t="shared" si="128"/>
        <v>0</v>
      </c>
      <c r="DZ82" s="168">
        <f t="shared" si="128"/>
        <v>0</v>
      </c>
      <c r="EA82" s="169">
        <f t="shared" si="95"/>
        <v>0</v>
      </c>
      <c r="EB82" s="171">
        <f t="shared" si="96"/>
        <v>0</v>
      </c>
    </row>
    <row r="83" spans="1:132" s="177" customFormat="1" ht="15.75">
      <c r="A83" s="183"/>
      <c r="B83" s="164"/>
      <c r="C83" s="184"/>
      <c r="D83" s="185"/>
      <c r="E83" s="167">
        <v>3</v>
      </c>
      <c r="F83" s="168">
        <f t="shared" si="68"/>
        <v>0</v>
      </c>
      <c r="G83" s="169">
        <f t="shared" ref="G83:R88" si="130">IF(OR($F83&lt;=0,(G$9-$A83)&gt;(365*$E83)),0,IF($A83&lt;=G$9,$F83/12,0))</f>
        <v>0</v>
      </c>
      <c r="H83" s="178">
        <f t="shared" si="130"/>
        <v>0</v>
      </c>
      <c r="I83" s="178">
        <f t="shared" si="130"/>
        <v>0</v>
      </c>
      <c r="J83" s="178">
        <f t="shared" si="130"/>
        <v>0</v>
      </c>
      <c r="K83" s="178">
        <f t="shared" si="130"/>
        <v>0</v>
      </c>
      <c r="L83" s="178">
        <f t="shared" si="130"/>
        <v>0</v>
      </c>
      <c r="M83" s="178">
        <f t="shared" si="130"/>
        <v>0</v>
      </c>
      <c r="N83" s="178">
        <f t="shared" si="130"/>
        <v>0</v>
      </c>
      <c r="O83" s="178">
        <f t="shared" si="130"/>
        <v>0</v>
      </c>
      <c r="P83" s="178">
        <f t="shared" si="130"/>
        <v>0</v>
      </c>
      <c r="Q83" s="178">
        <f t="shared" si="130"/>
        <v>0</v>
      </c>
      <c r="R83" s="179">
        <f t="shared" si="130"/>
        <v>0</v>
      </c>
      <c r="S83" s="169">
        <f t="shared" si="70"/>
        <v>0</v>
      </c>
      <c r="T83" s="179">
        <f t="shared" si="71"/>
        <v>0</v>
      </c>
      <c r="U83" s="180">
        <f t="shared" si="122"/>
        <v>0</v>
      </c>
      <c r="V83" s="178">
        <f t="shared" si="122"/>
        <v>0</v>
      </c>
      <c r="W83" s="178">
        <f t="shared" si="122"/>
        <v>0</v>
      </c>
      <c r="X83" s="178">
        <f t="shared" si="122"/>
        <v>0</v>
      </c>
      <c r="Y83" s="178">
        <f t="shared" si="122"/>
        <v>0</v>
      </c>
      <c r="Z83" s="178">
        <f t="shared" si="122"/>
        <v>0</v>
      </c>
      <c r="AA83" s="178">
        <f t="shared" si="122"/>
        <v>0</v>
      </c>
      <c r="AB83" s="178">
        <f t="shared" si="122"/>
        <v>0</v>
      </c>
      <c r="AC83" s="178">
        <f t="shared" si="122"/>
        <v>0</v>
      </c>
      <c r="AD83" s="178">
        <f t="shared" si="122"/>
        <v>0</v>
      </c>
      <c r="AE83" s="178">
        <f t="shared" si="122"/>
        <v>0</v>
      </c>
      <c r="AF83" s="168">
        <f t="shared" si="122"/>
        <v>0</v>
      </c>
      <c r="AG83" s="169">
        <f t="shared" si="73"/>
        <v>0</v>
      </c>
      <c r="AH83" s="179">
        <f t="shared" si="74"/>
        <v>0</v>
      </c>
      <c r="AI83" s="180">
        <f t="shared" si="115"/>
        <v>0</v>
      </c>
      <c r="AJ83" s="178">
        <f t="shared" si="115"/>
        <v>0</v>
      </c>
      <c r="AK83" s="178">
        <f t="shared" si="115"/>
        <v>0</v>
      </c>
      <c r="AL83" s="178">
        <f t="shared" si="115"/>
        <v>0</v>
      </c>
      <c r="AM83" s="178">
        <f t="shared" si="115"/>
        <v>0</v>
      </c>
      <c r="AN83" s="178">
        <f t="shared" si="115"/>
        <v>0</v>
      </c>
      <c r="AO83" s="178">
        <f t="shared" si="115"/>
        <v>0</v>
      </c>
      <c r="AP83" s="178">
        <f t="shared" si="115"/>
        <v>0</v>
      </c>
      <c r="AQ83" s="178">
        <f t="shared" si="115"/>
        <v>0</v>
      </c>
      <c r="AR83" s="178">
        <f t="shared" si="115"/>
        <v>0</v>
      </c>
      <c r="AS83" s="178">
        <f t="shared" si="115"/>
        <v>0</v>
      </c>
      <c r="AT83" s="168">
        <f t="shared" si="115"/>
        <v>0</v>
      </c>
      <c r="AU83" s="169">
        <f t="shared" si="77"/>
        <v>0</v>
      </c>
      <c r="AV83" s="179">
        <f t="shared" si="78"/>
        <v>0</v>
      </c>
      <c r="AW83" s="180">
        <f t="shared" si="123"/>
        <v>0</v>
      </c>
      <c r="AX83" s="178">
        <f t="shared" si="123"/>
        <v>0</v>
      </c>
      <c r="AY83" s="178">
        <f t="shared" si="123"/>
        <v>0</v>
      </c>
      <c r="AZ83" s="178">
        <f t="shared" si="123"/>
        <v>0</v>
      </c>
      <c r="BA83" s="178">
        <f t="shared" si="123"/>
        <v>0</v>
      </c>
      <c r="BB83" s="178">
        <f t="shared" si="123"/>
        <v>0</v>
      </c>
      <c r="BC83" s="178">
        <f t="shared" si="123"/>
        <v>0</v>
      </c>
      <c r="BD83" s="178">
        <f t="shared" si="123"/>
        <v>0</v>
      </c>
      <c r="BE83" s="178">
        <f t="shared" si="123"/>
        <v>0</v>
      </c>
      <c r="BF83" s="178">
        <f t="shared" si="123"/>
        <v>0</v>
      </c>
      <c r="BG83" s="178">
        <f t="shared" si="123"/>
        <v>0</v>
      </c>
      <c r="BH83" s="168">
        <f t="shared" si="123"/>
        <v>0</v>
      </c>
      <c r="BI83" s="169">
        <f t="shared" si="80"/>
        <v>0</v>
      </c>
      <c r="BJ83" s="179">
        <f t="shared" si="81"/>
        <v>0</v>
      </c>
      <c r="BK83" s="180">
        <f t="shared" si="124"/>
        <v>0</v>
      </c>
      <c r="BL83" s="178">
        <f t="shared" si="124"/>
        <v>0</v>
      </c>
      <c r="BM83" s="178">
        <f t="shared" si="124"/>
        <v>0</v>
      </c>
      <c r="BN83" s="178">
        <f t="shared" si="124"/>
        <v>0</v>
      </c>
      <c r="BO83" s="178">
        <f t="shared" si="124"/>
        <v>0</v>
      </c>
      <c r="BP83" s="178">
        <f t="shared" si="124"/>
        <v>0</v>
      </c>
      <c r="BQ83" s="178">
        <f t="shared" si="124"/>
        <v>0</v>
      </c>
      <c r="BR83" s="178">
        <f t="shared" si="124"/>
        <v>0</v>
      </c>
      <c r="BS83" s="178">
        <f t="shared" si="124"/>
        <v>0</v>
      </c>
      <c r="BT83" s="178">
        <f t="shared" si="124"/>
        <v>0</v>
      </c>
      <c r="BU83" s="178">
        <f t="shared" si="124"/>
        <v>0</v>
      </c>
      <c r="BV83" s="168">
        <f t="shared" si="124"/>
        <v>0</v>
      </c>
      <c r="BW83" s="169">
        <f t="shared" si="83"/>
        <v>0</v>
      </c>
      <c r="BX83" s="179">
        <f t="shared" si="84"/>
        <v>0</v>
      </c>
      <c r="BY83" s="180">
        <f t="shared" si="125"/>
        <v>0</v>
      </c>
      <c r="BZ83" s="178">
        <f t="shared" si="125"/>
        <v>0</v>
      </c>
      <c r="CA83" s="178">
        <f t="shared" si="125"/>
        <v>0</v>
      </c>
      <c r="CB83" s="178">
        <f t="shared" si="125"/>
        <v>0</v>
      </c>
      <c r="CC83" s="178">
        <f t="shared" si="125"/>
        <v>0</v>
      </c>
      <c r="CD83" s="178">
        <f t="shared" si="125"/>
        <v>0</v>
      </c>
      <c r="CE83" s="178">
        <f t="shared" si="125"/>
        <v>0</v>
      </c>
      <c r="CF83" s="178">
        <f t="shared" si="125"/>
        <v>0</v>
      </c>
      <c r="CG83" s="178">
        <f t="shared" si="125"/>
        <v>0</v>
      </c>
      <c r="CH83" s="178">
        <f t="shared" si="125"/>
        <v>0</v>
      </c>
      <c r="CI83" s="178">
        <f t="shared" si="125"/>
        <v>0</v>
      </c>
      <c r="CJ83" s="168">
        <f t="shared" si="125"/>
        <v>0</v>
      </c>
      <c r="CK83" s="169">
        <f t="shared" si="86"/>
        <v>0</v>
      </c>
      <c r="CL83" s="179">
        <f t="shared" si="87"/>
        <v>0</v>
      </c>
      <c r="CM83" s="180">
        <f t="shared" si="126"/>
        <v>0</v>
      </c>
      <c r="CN83" s="178">
        <f t="shared" si="126"/>
        <v>0</v>
      </c>
      <c r="CO83" s="178">
        <f t="shared" si="126"/>
        <v>0</v>
      </c>
      <c r="CP83" s="178">
        <f t="shared" si="126"/>
        <v>0</v>
      </c>
      <c r="CQ83" s="178">
        <f t="shared" si="126"/>
        <v>0</v>
      </c>
      <c r="CR83" s="178">
        <f t="shared" si="126"/>
        <v>0</v>
      </c>
      <c r="CS83" s="178">
        <f t="shared" si="126"/>
        <v>0</v>
      </c>
      <c r="CT83" s="178">
        <f t="shared" si="126"/>
        <v>0</v>
      </c>
      <c r="CU83" s="178">
        <f t="shared" si="126"/>
        <v>0</v>
      </c>
      <c r="CV83" s="178">
        <f t="shared" si="126"/>
        <v>0</v>
      </c>
      <c r="CW83" s="178">
        <f t="shared" si="126"/>
        <v>0</v>
      </c>
      <c r="CX83" s="168">
        <f t="shared" si="126"/>
        <v>0</v>
      </c>
      <c r="CY83" s="169">
        <f t="shared" si="89"/>
        <v>0</v>
      </c>
      <c r="CZ83" s="179">
        <f t="shared" si="90"/>
        <v>0</v>
      </c>
      <c r="DA83" s="180">
        <f t="shared" si="127"/>
        <v>0</v>
      </c>
      <c r="DB83" s="178">
        <f t="shared" si="127"/>
        <v>0</v>
      </c>
      <c r="DC83" s="178">
        <f t="shared" si="127"/>
        <v>0</v>
      </c>
      <c r="DD83" s="178">
        <f t="shared" si="127"/>
        <v>0</v>
      </c>
      <c r="DE83" s="178">
        <f t="shared" si="127"/>
        <v>0</v>
      </c>
      <c r="DF83" s="178">
        <f t="shared" si="127"/>
        <v>0</v>
      </c>
      <c r="DG83" s="178">
        <f t="shared" si="127"/>
        <v>0</v>
      </c>
      <c r="DH83" s="178">
        <f t="shared" si="127"/>
        <v>0</v>
      </c>
      <c r="DI83" s="178">
        <f t="shared" si="127"/>
        <v>0</v>
      </c>
      <c r="DJ83" s="178">
        <f t="shared" si="127"/>
        <v>0</v>
      </c>
      <c r="DK83" s="178">
        <f t="shared" si="127"/>
        <v>0</v>
      </c>
      <c r="DL83" s="168">
        <f t="shared" si="127"/>
        <v>0</v>
      </c>
      <c r="DM83" s="169">
        <f t="shared" si="92"/>
        <v>0</v>
      </c>
      <c r="DN83" s="171">
        <f t="shared" si="93"/>
        <v>0</v>
      </c>
      <c r="DO83" s="180">
        <f t="shared" si="128"/>
        <v>0</v>
      </c>
      <c r="DP83" s="178">
        <f t="shared" si="128"/>
        <v>0</v>
      </c>
      <c r="DQ83" s="178">
        <f t="shared" si="128"/>
        <v>0</v>
      </c>
      <c r="DR83" s="178">
        <f t="shared" si="128"/>
        <v>0</v>
      </c>
      <c r="DS83" s="178">
        <f t="shared" si="128"/>
        <v>0</v>
      </c>
      <c r="DT83" s="178">
        <f t="shared" si="128"/>
        <v>0</v>
      </c>
      <c r="DU83" s="178">
        <f t="shared" si="128"/>
        <v>0</v>
      </c>
      <c r="DV83" s="178">
        <f t="shared" si="128"/>
        <v>0</v>
      </c>
      <c r="DW83" s="178">
        <f t="shared" si="128"/>
        <v>0</v>
      </c>
      <c r="DX83" s="178">
        <f t="shared" si="128"/>
        <v>0</v>
      </c>
      <c r="DY83" s="178">
        <f t="shared" si="128"/>
        <v>0</v>
      </c>
      <c r="DZ83" s="168">
        <f t="shared" si="128"/>
        <v>0</v>
      </c>
      <c r="EA83" s="169">
        <f t="shared" si="95"/>
        <v>0</v>
      </c>
      <c r="EB83" s="171">
        <f t="shared" si="96"/>
        <v>0</v>
      </c>
    </row>
    <row r="84" spans="1:132" s="177" customFormat="1" ht="15.75">
      <c r="A84" s="183"/>
      <c r="B84" s="164"/>
      <c r="C84" s="184"/>
      <c r="D84" s="185"/>
      <c r="E84" s="167">
        <v>3</v>
      </c>
      <c r="F84" s="168">
        <f t="shared" si="68"/>
        <v>0</v>
      </c>
      <c r="G84" s="169">
        <f t="shared" si="130"/>
        <v>0</v>
      </c>
      <c r="H84" s="178">
        <f t="shared" si="130"/>
        <v>0</v>
      </c>
      <c r="I84" s="178">
        <f t="shared" si="130"/>
        <v>0</v>
      </c>
      <c r="J84" s="178">
        <f t="shared" si="130"/>
        <v>0</v>
      </c>
      <c r="K84" s="178">
        <f t="shared" si="130"/>
        <v>0</v>
      </c>
      <c r="L84" s="178">
        <f t="shared" si="130"/>
        <v>0</v>
      </c>
      <c r="M84" s="178">
        <f t="shared" si="130"/>
        <v>0</v>
      </c>
      <c r="N84" s="178">
        <f t="shared" si="130"/>
        <v>0</v>
      </c>
      <c r="O84" s="178">
        <f t="shared" si="130"/>
        <v>0</v>
      </c>
      <c r="P84" s="178">
        <f t="shared" si="130"/>
        <v>0</v>
      </c>
      <c r="Q84" s="178">
        <f t="shared" si="130"/>
        <v>0</v>
      </c>
      <c r="R84" s="179">
        <f t="shared" si="130"/>
        <v>0</v>
      </c>
      <c r="S84" s="169">
        <f t="shared" si="70"/>
        <v>0</v>
      </c>
      <c r="T84" s="179">
        <f t="shared" si="71"/>
        <v>0</v>
      </c>
      <c r="U84" s="180">
        <f t="shared" si="122"/>
        <v>0</v>
      </c>
      <c r="V84" s="178">
        <f t="shared" si="122"/>
        <v>0</v>
      </c>
      <c r="W84" s="178">
        <f t="shared" si="122"/>
        <v>0</v>
      </c>
      <c r="X84" s="178">
        <f t="shared" si="122"/>
        <v>0</v>
      </c>
      <c r="Y84" s="178">
        <f t="shared" si="122"/>
        <v>0</v>
      </c>
      <c r="Z84" s="178">
        <f t="shared" si="122"/>
        <v>0</v>
      </c>
      <c r="AA84" s="178">
        <f t="shared" si="122"/>
        <v>0</v>
      </c>
      <c r="AB84" s="178">
        <f t="shared" si="122"/>
        <v>0</v>
      </c>
      <c r="AC84" s="178">
        <f t="shared" si="122"/>
        <v>0</v>
      </c>
      <c r="AD84" s="178">
        <f t="shared" si="122"/>
        <v>0</v>
      </c>
      <c r="AE84" s="178">
        <f t="shared" si="122"/>
        <v>0</v>
      </c>
      <c r="AF84" s="168">
        <f t="shared" si="122"/>
        <v>0</v>
      </c>
      <c r="AG84" s="169">
        <f t="shared" si="73"/>
        <v>0</v>
      </c>
      <c r="AH84" s="179">
        <f t="shared" si="74"/>
        <v>0</v>
      </c>
      <c r="AI84" s="180">
        <f t="shared" si="115"/>
        <v>0</v>
      </c>
      <c r="AJ84" s="178">
        <f t="shared" si="115"/>
        <v>0</v>
      </c>
      <c r="AK84" s="178">
        <f t="shared" si="115"/>
        <v>0</v>
      </c>
      <c r="AL84" s="178">
        <f t="shared" si="115"/>
        <v>0</v>
      </c>
      <c r="AM84" s="178">
        <f t="shared" si="115"/>
        <v>0</v>
      </c>
      <c r="AN84" s="178">
        <f t="shared" si="115"/>
        <v>0</v>
      </c>
      <c r="AO84" s="178">
        <f t="shared" si="115"/>
        <v>0</v>
      </c>
      <c r="AP84" s="178">
        <f t="shared" si="115"/>
        <v>0</v>
      </c>
      <c r="AQ84" s="178">
        <f t="shared" si="115"/>
        <v>0</v>
      </c>
      <c r="AR84" s="178">
        <f t="shared" si="115"/>
        <v>0</v>
      </c>
      <c r="AS84" s="178">
        <f t="shared" si="115"/>
        <v>0</v>
      </c>
      <c r="AT84" s="168">
        <f t="shared" si="115"/>
        <v>0</v>
      </c>
      <c r="AU84" s="169">
        <f t="shared" si="77"/>
        <v>0</v>
      </c>
      <c r="AV84" s="179">
        <f t="shared" si="78"/>
        <v>0</v>
      </c>
      <c r="AW84" s="180">
        <f t="shared" si="123"/>
        <v>0</v>
      </c>
      <c r="AX84" s="178">
        <f t="shared" si="123"/>
        <v>0</v>
      </c>
      <c r="AY84" s="178">
        <f t="shared" si="123"/>
        <v>0</v>
      </c>
      <c r="AZ84" s="178">
        <f t="shared" si="123"/>
        <v>0</v>
      </c>
      <c r="BA84" s="178">
        <f t="shared" si="123"/>
        <v>0</v>
      </c>
      <c r="BB84" s="178">
        <f t="shared" si="123"/>
        <v>0</v>
      </c>
      <c r="BC84" s="178">
        <f t="shared" si="123"/>
        <v>0</v>
      </c>
      <c r="BD84" s="178">
        <f t="shared" si="123"/>
        <v>0</v>
      </c>
      <c r="BE84" s="178">
        <f t="shared" si="123"/>
        <v>0</v>
      </c>
      <c r="BF84" s="178">
        <f t="shared" si="123"/>
        <v>0</v>
      </c>
      <c r="BG84" s="178">
        <f t="shared" si="123"/>
        <v>0</v>
      </c>
      <c r="BH84" s="168">
        <f t="shared" si="123"/>
        <v>0</v>
      </c>
      <c r="BI84" s="169">
        <f t="shared" si="80"/>
        <v>0</v>
      </c>
      <c r="BJ84" s="179">
        <f t="shared" si="81"/>
        <v>0</v>
      </c>
      <c r="BK84" s="180">
        <f t="shared" si="124"/>
        <v>0</v>
      </c>
      <c r="BL84" s="178">
        <f t="shared" si="124"/>
        <v>0</v>
      </c>
      <c r="BM84" s="178">
        <f t="shared" si="124"/>
        <v>0</v>
      </c>
      <c r="BN84" s="178">
        <f t="shared" si="124"/>
        <v>0</v>
      </c>
      <c r="BO84" s="178">
        <f t="shared" si="124"/>
        <v>0</v>
      </c>
      <c r="BP84" s="178">
        <f t="shared" si="124"/>
        <v>0</v>
      </c>
      <c r="BQ84" s="178">
        <f t="shared" si="124"/>
        <v>0</v>
      </c>
      <c r="BR84" s="178">
        <f t="shared" si="124"/>
        <v>0</v>
      </c>
      <c r="BS84" s="178">
        <f t="shared" si="124"/>
        <v>0</v>
      </c>
      <c r="BT84" s="178">
        <f t="shared" si="124"/>
        <v>0</v>
      </c>
      <c r="BU84" s="178">
        <f t="shared" si="124"/>
        <v>0</v>
      </c>
      <c r="BV84" s="168">
        <f t="shared" si="124"/>
        <v>0</v>
      </c>
      <c r="BW84" s="169">
        <f t="shared" si="83"/>
        <v>0</v>
      </c>
      <c r="BX84" s="179">
        <f t="shared" si="84"/>
        <v>0</v>
      </c>
      <c r="BY84" s="180">
        <f t="shared" si="125"/>
        <v>0</v>
      </c>
      <c r="BZ84" s="178">
        <f t="shared" si="125"/>
        <v>0</v>
      </c>
      <c r="CA84" s="178">
        <f t="shared" si="125"/>
        <v>0</v>
      </c>
      <c r="CB84" s="178">
        <f t="shared" si="125"/>
        <v>0</v>
      </c>
      <c r="CC84" s="178">
        <f t="shared" si="125"/>
        <v>0</v>
      </c>
      <c r="CD84" s="178">
        <f t="shared" si="125"/>
        <v>0</v>
      </c>
      <c r="CE84" s="178">
        <f t="shared" si="125"/>
        <v>0</v>
      </c>
      <c r="CF84" s="178">
        <f t="shared" si="125"/>
        <v>0</v>
      </c>
      <c r="CG84" s="178">
        <f t="shared" si="125"/>
        <v>0</v>
      </c>
      <c r="CH84" s="178">
        <f t="shared" si="125"/>
        <v>0</v>
      </c>
      <c r="CI84" s="178">
        <f t="shared" si="125"/>
        <v>0</v>
      </c>
      <c r="CJ84" s="168">
        <f t="shared" si="125"/>
        <v>0</v>
      </c>
      <c r="CK84" s="169">
        <f t="shared" si="86"/>
        <v>0</v>
      </c>
      <c r="CL84" s="179">
        <f t="shared" si="87"/>
        <v>0</v>
      </c>
      <c r="CM84" s="180">
        <f t="shared" si="126"/>
        <v>0</v>
      </c>
      <c r="CN84" s="178">
        <f t="shared" si="126"/>
        <v>0</v>
      </c>
      <c r="CO84" s="178">
        <f t="shared" si="126"/>
        <v>0</v>
      </c>
      <c r="CP84" s="178">
        <f t="shared" si="126"/>
        <v>0</v>
      </c>
      <c r="CQ84" s="178">
        <f t="shared" si="126"/>
        <v>0</v>
      </c>
      <c r="CR84" s="178">
        <f t="shared" si="126"/>
        <v>0</v>
      </c>
      <c r="CS84" s="178">
        <f t="shared" si="126"/>
        <v>0</v>
      </c>
      <c r="CT84" s="178">
        <f t="shared" si="126"/>
        <v>0</v>
      </c>
      <c r="CU84" s="178">
        <f t="shared" si="126"/>
        <v>0</v>
      </c>
      <c r="CV84" s="178">
        <f t="shared" si="126"/>
        <v>0</v>
      </c>
      <c r="CW84" s="178">
        <f t="shared" si="126"/>
        <v>0</v>
      </c>
      <c r="CX84" s="168">
        <f t="shared" si="126"/>
        <v>0</v>
      </c>
      <c r="CY84" s="169">
        <f t="shared" si="89"/>
        <v>0</v>
      </c>
      <c r="CZ84" s="179">
        <f t="shared" si="90"/>
        <v>0</v>
      </c>
      <c r="DA84" s="180">
        <f t="shared" si="127"/>
        <v>0</v>
      </c>
      <c r="DB84" s="178">
        <f t="shared" si="127"/>
        <v>0</v>
      </c>
      <c r="DC84" s="178">
        <f t="shared" si="127"/>
        <v>0</v>
      </c>
      <c r="DD84" s="178">
        <f t="shared" si="127"/>
        <v>0</v>
      </c>
      <c r="DE84" s="178">
        <f t="shared" si="127"/>
        <v>0</v>
      </c>
      <c r="DF84" s="178">
        <f t="shared" si="127"/>
        <v>0</v>
      </c>
      <c r="DG84" s="178">
        <f t="shared" si="127"/>
        <v>0</v>
      </c>
      <c r="DH84" s="178">
        <f t="shared" si="127"/>
        <v>0</v>
      </c>
      <c r="DI84" s="178">
        <f t="shared" si="127"/>
        <v>0</v>
      </c>
      <c r="DJ84" s="178">
        <f t="shared" si="127"/>
        <v>0</v>
      </c>
      <c r="DK84" s="178">
        <f t="shared" si="127"/>
        <v>0</v>
      </c>
      <c r="DL84" s="168">
        <f t="shared" si="127"/>
        <v>0</v>
      </c>
      <c r="DM84" s="169">
        <f t="shared" si="92"/>
        <v>0</v>
      </c>
      <c r="DN84" s="171">
        <f t="shared" si="93"/>
        <v>0</v>
      </c>
      <c r="DO84" s="180">
        <f t="shared" si="128"/>
        <v>0</v>
      </c>
      <c r="DP84" s="178">
        <f t="shared" si="128"/>
        <v>0</v>
      </c>
      <c r="DQ84" s="178">
        <f t="shared" si="128"/>
        <v>0</v>
      </c>
      <c r="DR84" s="178">
        <f t="shared" si="128"/>
        <v>0</v>
      </c>
      <c r="DS84" s="178">
        <f t="shared" si="128"/>
        <v>0</v>
      </c>
      <c r="DT84" s="178">
        <f t="shared" si="128"/>
        <v>0</v>
      </c>
      <c r="DU84" s="178">
        <f t="shared" si="128"/>
        <v>0</v>
      </c>
      <c r="DV84" s="178">
        <f t="shared" si="128"/>
        <v>0</v>
      </c>
      <c r="DW84" s="178">
        <f t="shared" si="128"/>
        <v>0</v>
      </c>
      <c r="DX84" s="178">
        <f t="shared" si="128"/>
        <v>0</v>
      </c>
      <c r="DY84" s="178">
        <f t="shared" si="128"/>
        <v>0</v>
      </c>
      <c r="DZ84" s="168">
        <f t="shared" si="128"/>
        <v>0</v>
      </c>
      <c r="EA84" s="169">
        <f t="shared" si="95"/>
        <v>0</v>
      </c>
      <c r="EB84" s="171">
        <f t="shared" si="96"/>
        <v>0</v>
      </c>
    </row>
    <row r="85" spans="1:132" s="177" customFormat="1" ht="15.75">
      <c r="A85" s="183"/>
      <c r="B85" s="164"/>
      <c r="C85" s="184"/>
      <c r="D85" s="185"/>
      <c r="E85" s="167">
        <v>3</v>
      </c>
      <c r="F85" s="168">
        <f t="shared" si="68"/>
        <v>0</v>
      </c>
      <c r="G85" s="169">
        <f t="shared" si="130"/>
        <v>0</v>
      </c>
      <c r="H85" s="178">
        <f t="shared" si="130"/>
        <v>0</v>
      </c>
      <c r="I85" s="178">
        <f t="shared" si="130"/>
        <v>0</v>
      </c>
      <c r="J85" s="178">
        <f t="shared" si="130"/>
        <v>0</v>
      </c>
      <c r="K85" s="178">
        <f t="shared" si="130"/>
        <v>0</v>
      </c>
      <c r="L85" s="178">
        <f t="shared" si="130"/>
        <v>0</v>
      </c>
      <c r="M85" s="178">
        <f t="shared" si="130"/>
        <v>0</v>
      </c>
      <c r="N85" s="178">
        <f t="shared" si="130"/>
        <v>0</v>
      </c>
      <c r="O85" s="178">
        <f t="shared" si="130"/>
        <v>0</v>
      </c>
      <c r="P85" s="178">
        <f t="shared" si="130"/>
        <v>0</v>
      </c>
      <c r="Q85" s="178">
        <f t="shared" si="130"/>
        <v>0</v>
      </c>
      <c r="R85" s="179">
        <f t="shared" si="130"/>
        <v>0</v>
      </c>
      <c r="S85" s="169">
        <f t="shared" si="70"/>
        <v>0</v>
      </c>
      <c r="T85" s="179">
        <f t="shared" si="71"/>
        <v>0</v>
      </c>
      <c r="U85" s="180">
        <f t="shared" si="122"/>
        <v>0</v>
      </c>
      <c r="V85" s="178">
        <f t="shared" si="122"/>
        <v>0</v>
      </c>
      <c r="W85" s="178">
        <f t="shared" si="122"/>
        <v>0</v>
      </c>
      <c r="X85" s="178">
        <f t="shared" si="122"/>
        <v>0</v>
      </c>
      <c r="Y85" s="178">
        <f t="shared" si="122"/>
        <v>0</v>
      </c>
      <c r="Z85" s="178">
        <f t="shared" si="122"/>
        <v>0</v>
      </c>
      <c r="AA85" s="178">
        <f t="shared" si="122"/>
        <v>0</v>
      </c>
      <c r="AB85" s="178">
        <f t="shared" si="122"/>
        <v>0</v>
      </c>
      <c r="AC85" s="178">
        <f t="shared" si="122"/>
        <v>0</v>
      </c>
      <c r="AD85" s="178">
        <f t="shared" si="122"/>
        <v>0</v>
      </c>
      <c r="AE85" s="178">
        <f t="shared" si="122"/>
        <v>0</v>
      </c>
      <c r="AF85" s="168">
        <f t="shared" si="122"/>
        <v>0</v>
      </c>
      <c r="AG85" s="169">
        <f t="shared" si="73"/>
        <v>0</v>
      </c>
      <c r="AH85" s="179">
        <f t="shared" si="74"/>
        <v>0</v>
      </c>
      <c r="AI85" s="180">
        <f t="shared" si="115"/>
        <v>0</v>
      </c>
      <c r="AJ85" s="178">
        <f t="shared" si="115"/>
        <v>0</v>
      </c>
      <c r="AK85" s="178">
        <f t="shared" si="115"/>
        <v>0</v>
      </c>
      <c r="AL85" s="178">
        <f t="shared" si="115"/>
        <v>0</v>
      </c>
      <c r="AM85" s="178">
        <f t="shared" si="115"/>
        <v>0</v>
      </c>
      <c r="AN85" s="178">
        <f t="shared" si="115"/>
        <v>0</v>
      </c>
      <c r="AO85" s="178">
        <f t="shared" si="115"/>
        <v>0</v>
      </c>
      <c r="AP85" s="178">
        <f t="shared" si="115"/>
        <v>0</v>
      </c>
      <c r="AQ85" s="178">
        <f t="shared" si="115"/>
        <v>0</v>
      </c>
      <c r="AR85" s="178">
        <f t="shared" si="115"/>
        <v>0</v>
      </c>
      <c r="AS85" s="178">
        <f t="shared" si="115"/>
        <v>0</v>
      </c>
      <c r="AT85" s="168">
        <f t="shared" si="115"/>
        <v>0</v>
      </c>
      <c r="AU85" s="169">
        <f t="shared" si="77"/>
        <v>0</v>
      </c>
      <c r="AV85" s="179">
        <f t="shared" si="78"/>
        <v>0</v>
      </c>
      <c r="AW85" s="180">
        <f t="shared" si="123"/>
        <v>0</v>
      </c>
      <c r="AX85" s="178">
        <f t="shared" si="123"/>
        <v>0</v>
      </c>
      <c r="AY85" s="178">
        <f t="shared" si="123"/>
        <v>0</v>
      </c>
      <c r="AZ85" s="178">
        <f t="shared" si="123"/>
        <v>0</v>
      </c>
      <c r="BA85" s="178">
        <f t="shared" si="123"/>
        <v>0</v>
      </c>
      <c r="BB85" s="178">
        <f t="shared" si="123"/>
        <v>0</v>
      </c>
      <c r="BC85" s="178">
        <f t="shared" si="123"/>
        <v>0</v>
      </c>
      <c r="BD85" s="178">
        <f t="shared" si="123"/>
        <v>0</v>
      </c>
      <c r="BE85" s="178">
        <f t="shared" si="123"/>
        <v>0</v>
      </c>
      <c r="BF85" s="178">
        <f t="shared" si="123"/>
        <v>0</v>
      </c>
      <c r="BG85" s="178">
        <f t="shared" si="123"/>
        <v>0</v>
      </c>
      <c r="BH85" s="168">
        <f t="shared" si="123"/>
        <v>0</v>
      </c>
      <c r="BI85" s="169">
        <f t="shared" si="80"/>
        <v>0</v>
      </c>
      <c r="BJ85" s="179">
        <f t="shared" si="81"/>
        <v>0</v>
      </c>
      <c r="BK85" s="180">
        <f t="shared" si="124"/>
        <v>0</v>
      </c>
      <c r="BL85" s="178">
        <f t="shared" si="124"/>
        <v>0</v>
      </c>
      <c r="BM85" s="178">
        <f t="shared" si="124"/>
        <v>0</v>
      </c>
      <c r="BN85" s="178">
        <f t="shared" si="124"/>
        <v>0</v>
      </c>
      <c r="BO85" s="178">
        <f t="shared" si="124"/>
        <v>0</v>
      </c>
      <c r="BP85" s="178">
        <f t="shared" si="124"/>
        <v>0</v>
      </c>
      <c r="BQ85" s="178">
        <f t="shared" si="124"/>
        <v>0</v>
      </c>
      <c r="BR85" s="178">
        <f t="shared" si="124"/>
        <v>0</v>
      </c>
      <c r="BS85" s="178">
        <f t="shared" si="124"/>
        <v>0</v>
      </c>
      <c r="BT85" s="178">
        <f t="shared" si="124"/>
        <v>0</v>
      </c>
      <c r="BU85" s="178">
        <f t="shared" si="124"/>
        <v>0</v>
      </c>
      <c r="BV85" s="168">
        <f t="shared" si="124"/>
        <v>0</v>
      </c>
      <c r="BW85" s="169">
        <f t="shared" si="83"/>
        <v>0</v>
      </c>
      <c r="BX85" s="179">
        <f t="shared" si="84"/>
        <v>0</v>
      </c>
      <c r="BY85" s="180">
        <f t="shared" si="125"/>
        <v>0</v>
      </c>
      <c r="BZ85" s="178">
        <f t="shared" si="125"/>
        <v>0</v>
      </c>
      <c r="CA85" s="178">
        <f t="shared" si="125"/>
        <v>0</v>
      </c>
      <c r="CB85" s="178">
        <f t="shared" si="125"/>
        <v>0</v>
      </c>
      <c r="CC85" s="178">
        <f t="shared" si="125"/>
        <v>0</v>
      </c>
      <c r="CD85" s="178">
        <f t="shared" si="125"/>
        <v>0</v>
      </c>
      <c r="CE85" s="178">
        <f t="shared" si="125"/>
        <v>0</v>
      </c>
      <c r="CF85" s="178">
        <f t="shared" si="125"/>
        <v>0</v>
      </c>
      <c r="CG85" s="178">
        <f t="shared" si="125"/>
        <v>0</v>
      </c>
      <c r="CH85" s="178">
        <f t="shared" si="125"/>
        <v>0</v>
      </c>
      <c r="CI85" s="178">
        <f t="shared" si="125"/>
        <v>0</v>
      </c>
      <c r="CJ85" s="168">
        <f t="shared" si="125"/>
        <v>0</v>
      </c>
      <c r="CK85" s="169">
        <f t="shared" si="86"/>
        <v>0</v>
      </c>
      <c r="CL85" s="179">
        <f t="shared" si="87"/>
        <v>0</v>
      </c>
      <c r="CM85" s="180">
        <f t="shared" si="126"/>
        <v>0</v>
      </c>
      <c r="CN85" s="178">
        <f t="shared" si="126"/>
        <v>0</v>
      </c>
      <c r="CO85" s="178">
        <f t="shared" si="126"/>
        <v>0</v>
      </c>
      <c r="CP85" s="178">
        <f t="shared" si="126"/>
        <v>0</v>
      </c>
      <c r="CQ85" s="178">
        <f t="shared" si="126"/>
        <v>0</v>
      </c>
      <c r="CR85" s="178">
        <f t="shared" si="126"/>
        <v>0</v>
      </c>
      <c r="CS85" s="178">
        <f t="shared" si="126"/>
        <v>0</v>
      </c>
      <c r="CT85" s="178">
        <f t="shared" si="126"/>
        <v>0</v>
      </c>
      <c r="CU85" s="178">
        <f t="shared" si="126"/>
        <v>0</v>
      </c>
      <c r="CV85" s="178">
        <f t="shared" si="126"/>
        <v>0</v>
      </c>
      <c r="CW85" s="178">
        <f t="shared" si="126"/>
        <v>0</v>
      </c>
      <c r="CX85" s="168">
        <f t="shared" si="126"/>
        <v>0</v>
      </c>
      <c r="CY85" s="169">
        <f t="shared" si="89"/>
        <v>0</v>
      </c>
      <c r="CZ85" s="179">
        <f t="shared" si="90"/>
        <v>0</v>
      </c>
      <c r="DA85" s="180">
        <f t="shared" si="127"/>
        <v>0</v>
      </c>
      <c r="DB85" s="178">
        <f t="shared" si="127"/>
        <v>0</v>
      </c>
      <c r="DC85" s="178">
        <f t="shared" si="127"/>
        <v>0</v>
      </c>
      <c r="DD85" s="178">
        <f t="shared" si="127"/>
        <v>0</v>
      </c>
      <c r="DE85" s="178">
        <f t="shared" si="127"/>
        <v>0</v>
      </c>
      <c r="DF85" s="178">
        <f t="shared" si="127"/>
        <v>0</v>
      </c>
      <c r="DG85" s="178">
        <f t="shared" si="127"/>
        <v>0</v>
      </c>
      <c r="DH85" s="178">
        <f t="shared" si="127"/>
        <v>0</v>
      </c>
      <c r="DI85" s="178">
        <f t="shared" si="127"/>
        <v>0</v>
      </c>
      <c r="DJ85" s="178">
        <f t="shared" si="127"/>
        <v>0</v>
      </c>
      <c r="DK85" s="178">
        <f t="shared" si="127"/>
        <v>0</v>
      </c>
      <c r="DL85" s="168">
        <f t="shared" si="127"/>
        <v>0</v>
      </c>
      <c r="DM85" s="169">
        <f t="shared" si="92"/>
        <v>0</v>
      </c>
      <c r="DN85" s="171">
        <f t="shared" si="93"/>
        <v>0</v>
      </c>
      <c r="DO85" s="180">
        <f t="shared" si="128"/>
        <v>0</v>
      </c>
      <c r="DP85" s="178">
        <f t="shared" si="128"/>
        <v>0</v>
      </c>
      <c r="DQ85" s="178">
        <f t="shared" si="128"/>
        <v>0</v>
      </c>
      <c r="DR85" s="178">
        <f t="shared" si="128"/>
        <v>0</v>
      </c>
      <c r="DS85" s="178">
        <f t="shared" si="128"/>
        <v>0</v>
      </c>
      <c r="DT85" s="178">
        <f t="shared" si="128"/>
        <v>0</v>
      </c>
      <c r="DU85" s="178">
        <f t="shared" si="128"/>
        <v>0</v>
      </c>
      <c r="DV85" s="178">
        <f t="shared" si="128"/>
        <v>0</v>
      </c>
      <c r="DW85" s="178">
        <f t="shared" si="128"/>
        <v>0</v>
      </c>
      <c r="DX85" s="178">
        <f t="shared" si="128"/>
        <v>0</v>
      </c>
      <c r="DY85" s="178">
        <f t="shared" si="128"/>
        <v>0</v>
      </c>
      <c r="DZ85" s="168">
        <f t="shared" si="128"/>
        <v>0</v>
      </c>
      <c r="EA85" s="169">
        <f t="shared" si="95"/>
        <v>0</v>
      </c>
      <c r="EB85" s="171">
        <f t="shared" si="96"/>
        <v>0</v>
      </c>
    </row>
    <row r="86" spans="1:132" s="177" customFormat="1" ht="15.75">
      <c r="A86" s="183"/>
      <c r="B86" s="164"/>
      <c r="C86" s="187"/>
      <c r="D86" s="188"/>
      <c r="E86" s="167">
        <v>3</v>
      </c>
      <c r="F86" s="168">
        <f t="shared" si="68"/>
        <v>0</v>
      </c>
      <c r="G86" s="169">
        <f t="shared" si="130"/>
        <v>0</v>
      </c>
      <c r="H86" s="178">
        <f t="shared" si="130"/>
        <v>0</v>
      </c>
      <c r="I86" s="178">
        <f t="shared" si="130"/>
        <v>0</v>
      </c>
      <c r="J86" s="178">
        <f t="shared" si="130"/>
        <v>0</v>
      </c>
      <c r="K86" s="178">
        <f t="shared" si="130"/>
        <v>0</v>
      </c>
      <c r="L86" s="178">
        <f t="shared" si="130"/>
        <v>0</v>
      </c>
      <c r="M86" s="178">
        <f t="shared" si="130"/>
        <v>0</v>
      </c>
      <c r="N86" s="178">
        <f t="shared" si="130"/>
        <v>0</v>
      </c>
      <c r="O86" s="178">
        <f t="shared" si="130"/>
        <v>0</v>
      </c>
      <c r="P86" s="178">
        <f t="shared" si="130"/>
        <v>0</v>
      </c>
      <c r="Q86" s="178">
        <f t="shared" si="130"/>
        <v>0</v>
      </c>
      <c r="R86" s="179">
        <f t="shared" si="130"/>
        <v>0</v>
      </c>
      <c r="S86" s="169">
        <f t="shared" si="70"/>
        <v>0</v>
      </c>
      <c r="T86" s="179">
        <f t="shared" si="71"/>
        <v>0</v>
      </c>
      <c r="U86" s="180">
        <f t="shared" si="122"/>
        <v>0</v>
      </c>
      <c r="V86" s="178">
        <f t="shared" si="122"/>
        <v>0</v>
      </c>
      <c r="W86" s="178">
        <f t="shared" si="122"/>
        <v>0</v>
      </c>
      <c r="X86" s="178">
        <f t="shared" si="122"/>
        <v>0</v>
      </c>
      <c r="Y86" s="178">
        <f t="shared" si="122"/>
        <v>0</v>
      </c>
      <c r="Z86" s="178">
        <f t="shared" si="122"/>
        <v>0</v>
      </c>
      <c r="AA86" s="178">
        <f t="shared" si="122"/>
        <v>0</v>
      </c>
      <c r="AB86" s="178">
        <f t="shared" si="122"/>
        <v>0</v>
      </c>
      <c r="AC86" s="178">
        <f t="shared" si="122"/>
        <v>0</v>
      </c>
      <c r="AD86" s="178">
        <f t="shared" si="122"/>
        <v>0</v>
      </c>
      <c r="AE86" s="178">
        <f t="shared" si="122"/>
        <v>0</v>
      </c>
      <c r="AF86" s="168">
        <f t="shared" si="122"/>
        <v>0</v>
      </c>
      <c r="AG86" s="169">
        <f t="shared" si="73"/>
        <v>0</v>
      </c>
      <c r="AH86" s="179">
        <f t="shared" si="74"/>
        <v>0</v>
      </c>
      <c r="AI86" s="180">
        <f t="shared" si="115"/>
        <v>0</v>
      </c>
      <c r="AJ86" s="178">
        <f t="shared" si="115"/>
        <v>0</v>
      </c>
      <c r="AK86" s="178">
        <f t="shared" si="115"/>
        <v>0</v>
      </c>
      <c r="AL86" s="178">
        <f t="shared" si="115"/>
        <v>0</v>
      </c>
      <c r="AM86" s="178">
        <f t="shared" si="115"/>
        <v>0</v>
      </c>
      <c r="AN86" s="178">
        <f t="shared" si="115"/>
        <v>0</v>
      </c>
      <c r="AO86" s="178">
        <f t="shared" si="115"/>
        <v>0</v>
      </c>
      <c r="AP86" s="178">
        <f t="shared" si="115"/>
        <v>0</v>
      </c>
      <c r="AQ86" s="178">
        <f t="shared" si="115"/>
        <v>0</v>
      </c>
      <c r="AR86" s="178">
        <f t="shared" si="115"/>
        <v>0</v>
      </c>
      <c r="AS86" s="178">
        <f t="shared" si="115"/>
        <v>0</v>
      </c>
      <c r="AT86" s="168">
        <f t="shared" si="115"/>
        <v>0</v>
      </c>
      <c r="AU86" s="169">
        <f t="shared" si="77"/>
        <v>0</v>
      </c>
      <c r="AV86" s="179">
        <f t="shared" si="78"/>
        <v>0</v>
      </c>
      <c r="AW86" s="180">
        <f t="shared" si="123"/>
        <v>0</v>
      </c>
      <c r="AX86" s="178">
        <f t="shared" si="123"/>
        <v>0</v>
      </c>
      <c r="AY86" s="178">
        <f t="shared" si="123"/>
        <v>0</v>
      </c>
      <c r="AZ86" s="178">
        <f t="shared" si="123"/>
        <v>0</v>
      </c>
      <c r="BA86" s="178">
        <f t="shared" si="123"/>
        <v>0</v>
      </c>
      <c r="BB86" s="178">
        <f t="shared" si="123"/>
        <v>0</v>
      </c>
      <c r="BC86" s="178">
        <f t="shared" si="123"/>
        <v>0</v>
      </c>
      <c r="BD86" s="178">
        <f t="shared" si="123"/>
        <v>0</v>
      </c>
      <c r="BE86" s="178">
        <f t="shared" si="123"/>
        <v>0</v>
      </c>
      <c r="BF86" s="178">
        <f t="shared" si="123"/>
        <v>0</v>
      </c>
      <c r="BG86" s="178">
        <f t="shared" si="123"/>
        <v>0</v>
      </c>
      <c r="BH86" s="168">
        <f t="shared" si="123"/>
        <v>0</v>
      </c>
      <c r="BI86" s="169">
        <f t="shared" si="80"/>
        <v>0</v>
      </c>
      <c r="BJ86" s="179">
        <f t="shared" si="81"/>
        <v>0</v>
      </c>
      <c r="BK86" s="180">
        <f t="shared" si="124"/>
        <v>0</v>
      </c>
      <c r="BL86" s="178">
        <f t="shared" si="124"/>
        <v>0</v>
      </c>
      <c r="BM86" s="178">
        <f t="shared" si="124"/>
        <v>0</v>
      </c>
      <c r="BN86" s="178">
        <f t="shared" si="124"/>
        <v>0</v>
      </c>
      <c r="BO86" s="178">
        <f t="shared" si="124"/>
        <v>0</v>
      </c>
      <c r="BP86" s="178">
        <f t="shared" si="124"/>
        <v>0</v>
      </c>
      <c r="BQ86" s="178">
        <f t="shared" si="124"/>
        <v>0</v>
      </c>
      <c r="BR86" s="178">
        <f t="shared" si="124"/>
        <v>0</v>
      </c>
      <c r="BS86" s="178">
        <f t="shared" si="124"/>
        <v>0</v>
      </c>
      <c r="BT86" s="178">
        <f t="shared" si="124"/>
        <v>0</v>
      </c>
      <c r="BU86" s="178">
        <f t="shared" si="124"/>
        <v>0</v>
      </c>
      <c r="BV86" s="168">
        <f t="shared" si="124"/>
        <v>0</v>
      </c>
      <c r="BW86" s="169">
        <f t="shared" si="83"/>
        <v>0</v>
      </c>
      <c r="BX86" s="179">
        <f t="shared" si="84"/>
        <v>0</v>
      </c>
      <c r="BY86" s="180">
        <f t="shared" si="125"/>
        <v>0</v>
      </c>
      <c r="BZ86" s="178">
        <f t="shared" si="125"/>
        <v>0</v>
      </c>
      <c r="CA86" s="178">
        <f t="shared" si="125"/>
        <v>0</v>
      </c>
      <c r="CB86" s="178">
        <f t="shared" si="125"/>
        <v>0</v>
      </c>
      <c r="CC86" s="178">
        <f t="shared" si="125"/>
        <v>0</v>
      </c>
      <c r="CD86" s="178">
        <f t="shared" si="125"/>
        <v>0</v>
      </c>
      <c r="CE86" s="178">
        <f t="shared" si="125"/>
        <v>0</v>
      </c>
      <c r="CF86" s="178">
        <f t="shared" si="125"/>
        <v>0</v>
      </c>
      <c r="CG86" s="178">
        <f t="shared" si="125"/>
        <v>0</v>
      </c>
      <c r="CH86" s="178">
        <f t="shared" si="125"/>
        <v>0</v>
      </c>
      <c r="CI86" s="178">
        <f t="shared" si="125"/>
        <v>0</v>
      </c>
      <c r="CJ86" s="168">
        <f t="shared" si="125"/>
        <v>0</v>
      </c>
      <c r="CK86" s="169">
        <f t="shared" si="86"/>
        <v>0</v>
      </c>
      <c r="CL86" s="179">
        <f t="shared" si="87"/>
        <v>0</v>
      </c>
      <c r="CM86" s="180">
        <f t="shared" si="126"/>
        <v>0</v>
      </c>
      <c r="CN86" s="178">
        <f t="shared" si="126"/>
        <v>0</v>
      </c>
      <c r="CO86" s="178">
        <f t="shared" si="126"/>
        <v>0</v>
      </c>
      <c r="CP86" s="178">
        <f t="shared" si="126"/>
        <v>0</v>
      </c>
      <c r="CQ86" s="178">
        <f t="shared" si="126"/>
        <v>0</v>
      </c>
      <c r="CR86" s="178">
        <f t="shared" si="126"/>
        <v>0</v>
      </c>
      <c r="CS86" s="178">
        <f t="shared" si="126"/>
        <v>0</v>
      </c>
      <c r="CT86" s="178">
        <f t="shared" si="126"/>
        <v>0</v>
      </c>
      <c r="CU86" s="178">
        <f t="shared" si="126"/>
        <v>0</v>
      </c>
      <c r="CV86" s="178">
        <f t="shared" si="126"/>
        <v>0</v>
      </c>
      <c r="CW86" s="178">
        <f t="shared" si="126"/>
        <v>0</v>
      </c>
      <c r="CX86" s="168">
        <f t="shared" si="126"/>
        <v>0</v>
      </c>
      <c r="CY86" s="169">
        <f t="shared" si="89"/>
        <v>0</v>
      </c>
      <c r="CZ86" s="179">
        <f t="shared" si="90"/>
        <v>0</v>
      </c>
      <c r="DA86" s="180">
        <f t="shared" si="127"/>
        <v>0</v>
      </c>
      <c r="DB86" s="178">
        <f t="shared" si="127"/>
        <v>0</v>
      </c>
      <c r="DC86" s="178">
        <f t="shared" si="127"/>
        <v>0</v>
      </c>
      <c r="DD86" s="178">
        <f t="shared" si="127"/>
        <v>0</v>
      </c>
      <c r="DE86" s="178">
        <f t="shared" si="127"/>
        <v>0</v>
      </c>
      <c r="DF86" s="178">
        <f t="shared" si="127"/>
        <v>0</v>
      </c>
      <c r="DG86" s="178">
        <f t="shared" si="127"/>
        <v>0</v>
      </c>
      <c r="DH86" s="178">
        <f t="shared" si="127"/>
        <v>0</v>
      </c>
      <c r="DI86" s="178">
        <f t="shared" si="127"/>
        <v>0</v>
      </c>
      <c r="DJ86" s="178">
        <f t="shared" si="127"/>
        <v>0</v>
      </c>
      <c r="DK86" s="178">
        <f t="shared" si="127"/>
        <v>0</v>
      </c>
      <c r="DL86" s="168">
        <f t="shared" si="127"/>
        <v>0</v>
      </c>
      <c r="DM86" s="169">
        <f t="shared" si="92"/>
        <v>0</v>
      </c>
      <c r="DN86" s="171">
        <f t="shared" si="93"/>
        <v>0</v>
      </c>
      <c r="DO86" s="180">
        <f t="shared" si="128"/>
        <v>0</v>
      </c>
      <c r="DP86" s="178">
        <f t="shared" si="128"/>
        <v>0</v>
      </c>
      <c r="DQ86" s="178">
        <f t="shared" si="128"/>
        <v>0</v>
      </c>
      <c r="DR86" s="178">
        <f t="shared" si="128"/>
        <v>0</v>
      </c>
      <c r="DS86" s="178">
        <f t="shared" si="128"/>
        <v>0</v>
      </c>
      <c r="DT86" s="178">
        <f t="shared" si="128"/>
        <v>0</v>
      </c>
      <c r="DU86" s="178">
        <f t="shared" si="128"/>
        <v>0</v>
      </c>
      <c r="DV86" s="178">
        <f t="shared" si="128"/>
        <v>0</v>
      </c>
      <c r="DW86" s="178">
        <f t="shared" si="128"/>
        <v>0</v>
      </c>
      <c r="DX86" s="178">
        <f t="shared" si="128"/>
        <v>0</v>
      </c>
      <c r="DY86" s="178">
        <f t="shared" si="128"/>
        <v>0</v>
      </c>
      <c r="DZ86" s="168">
        <f t="shared" si="128"/>
        <v>0</v>
      </c>
      <c r="EA86" s="169">
        <f t="shared" si="95"/>
        <v>0</v>
      </c>
      <c r="EB86" s="171">
        <f t="shared" si="96"/>
        <v>0</v>
      </c>
    </row>
    <row r="87" spans="1:132" s="177" customFormat="1" ht="15.75">
      <c r="A87" s="183"/>
      <c r="B87" s="164"/>
      <c r="C87" s="187"/>
      <c r="D87" s="188"/>
      <c r="E87" s="167">
        <v>3</v>
      </c>
      <c r="F87" s="168">
        <f t="shared" si="68"/>
        <v>0</v>
      </c>
      <c r="G87" s="169">
        <f t="shared" si="130"/>
        <v>0</v>
      </c>
      <c r="H87" s="178">
        <f t="shared" si="130"/>
        <v>0</v>
      </c>
      <c r="I87" s="178">
        <f t="shared" si="130"/>
        <v>0</v>
      </c>
      <c r="J87" s="178">
        <f t="shared" si="130"/>
        <v>0</v>
      </c>
      <c r="K87" s="178">
        <f t="shared" si="130"/>
        <v>0</v>
      </c>
      <c r="L87" s="178">
        <f t="shared" si="130"/>
        <v>0</v>
      </c>
      <c r="M87" s="178">
        <f t="shared" si="130"/>
        <v>0</v>
      </c>
      <c r="N87" s="178">
        <f t="shared" si="130"/>
        <v>0</v>
      </c>
      <c r="O87" s="178">
        <f t="shared" si="130"/>
        <v>0</v>
      </c>
      <c r="P87" s="178">
        <f t="shared" si="130"/>
        <v>0</v>
      </c>
      <c r="Q87" s="178">
        <f t="shared" si="130"/>
        <v>0</v>
      </c>
      <c r="R87" s="179">
        <f t="shared" si="130"/>
        <v>0</v>
      </c>
      <c r="S87" s="169">
        <f t="shared" si="70"/>
        <v>0</v>
      </c>
      <c r="T87" s="179">
        <f t="shared" si="71"/>
        <v>0</v>
      </c>
      <c r="U87" s="180">
        <f t="shared" si="122"/>
        <v>0</v>
      </c>
      <c r="V87" s="178">
        <f t="shared" si="122"/>
        <v>0</v>
      </c>
      <c r="W87" s="178">
        <f t="shared" si="122"/>
        <v>0</v>
      </c>
      <c r="X87" s="178">
        <f t="shared" si="122"/>
        <v>0</v>
      </c>
      <c r="Y87" s="178">
        <f t="shared" si="122"/>
        <v>0</v>
      </c>
      <c r="Z87" s="178">
        <f t="shared" si="122"/>
        <v>0</v>
      </c>
      <c r="AA87" s="178">
        <f t="shared" si="122"/>
        <v>0</v>
      </c>
      <c r="AB87" s="178">
        <f t="shared" si="122"/>
        <v>0</v>
      </c>
      <c r="AC87" s="178">
        <f t="shared" si="122"/>
        <v>0</v>
      </c>
      <c r="AD87" s="178">
        <f t="shared" si="122"/>
        <v>0</v>
      </c>
      <c r="AE87" s="178">
        <f t="shared" si="122"/>
        <v>0</v>
      </c>
      <c r="AF87" s="168">
        <f t="shared" si="122"/>
        <v>0</v>
      </c>
      <c r="AG87" s="169">
        <f t="shared" si="73"/>
        <v>0</v>
      </c>
      <c r="AH87" s="179">
        <f t="shared" si="74"/>
        <v>0</v>
      </c>
      <c r="AI87" s="180">
        <f t="shared" si="115"/>
        <v>0</v>
      </c>
      <c r="AJ87" s="178">
        <f t="shared" si="115"/>
        <v>0</v>
      </c>
      <c r="AK87" s="178">
        <f t="shared" si="115"/>
        <v>0</v>
      </c>
      <c r="AL87" s="178">
        <f t="shared" si="115"/>
        <v>0</v>
      </c>
      <c r="AM87" s="178">
        <f t="shared" si="115"/>
        <v>0</v>
      </c>
      <c r="AN87" s="178">
        <f t="shared" si="115"/>
        <v>0</v>
      </c>
      <c r="AO87" s="178">
        <f t="shared" si="115"/>
        <v>0</v>
      </c>
      <c r="AP87" s="178">
        <f t="shared" si="115"/>
        <v>0</v>
      </c>
      <c r="AQ87" s="178">
        <f t="shared" si="115"/>
        <v>0</v>
      </c>
      <c r="AR87" s="178">
        <f t="shared" si="115"/>
        <v>0</v>
      </c>
      <c r="AS87" s="178">
        <f t="shared" si="115"/>
        <v>0</v>
      </c>
      <c r="AT87" s="168">
        <f t="shared" si="115"/>
        <v>0</v>
      </c>
      <c r="AU87" s="169">
        <f t="shared" si="77"/>
        <v>0</v>
      </c>
      <c r="AV87" s="179">
        <f t="shared" si="78"/>
        <v>0</v>
      </c>
      <c r="AW87" s="180">
        <f t="shared" si="123"/>
        <v>0</v>
      </c>
      <c r="AX87" s="178">
        <f t="shared" si="123"/>
        <v>0</v>
      </c>
      <c r="AY87" s="178">
        <f t="shared" si="123"/>
        <v>0</v>
      </c>
      <c r="AZ87" s="178">
        <f t="shared" si="123"/>
        <v>0</v>
      </c>
      <c r="BA87" s="178">
        <f t="shared" si="123"/>
        <v>0</v>
      </c>
      <c r="BB87" s="178">
        <f t="shared" si="123"/>
        <v>0</v>
      </c>
      <c r="BC87" s="178">
        <f t="shared" si="123"/>
        <v>0</v>
      </c>
      <c r="BD87" s="178">
        <f t="shared" si="123"/>
        <v>0</v>
      </c>
      <c r="BE87" s="178">
        <f t="shared" si="123"/>
        <v>0</v>
      </c>
      <c r="BF87" s="178">
        <f t="shared" si="123"/>
        <v>0</v>
      </c>
      <c r="BG87" s="178">
        <f t="shared" si="123"/>
        <v>0</v>
      </c>
      <c r="BH87" s="168">
        <f t="shared" si="123"/>
        <v>0</v>
      </c>
      <c r="BI87" s="169">
        <f t="shared" si="80"/>
        <v>0</v>
      </c>
      <c r="BJ87" s="179">
        <f t="shared" si="81"/>
        <v>0</v>
      </c>
      <c r="BK87" s="180">
        <f t="shared" si="124"/>
        <v>0</v>
      </c>
      <c r="BL87" s="178">
        <f t="shared" si="124"/>
        <v>0</v>
      </c>
      <c r="BM87" s="178">
        <f t="shared" si="124"/>
        <v>0</v>
      </c>
      <c r="BN87" s="178">
        <f t="shared" si="124"/>
        <v>0</v>
      </c>
      <c r="BO87" s="178">
        <f t="shared" si="124"/>
        <v>0</v>
      </c>
      <c r="BP87" s="178">
        <f t="shared" si="124"/>
        <v>0</v>
      </c>
      <c r="BQ87" s="178">
        <f t="shared" si="124"/>
        <v>0</v>
      </c>
      <c r="BR87" s="178">
        <f t="shared" si="124"/>
        <v>0</v>
      </c>
      <c r="BS87" s="178">
        <f t="shared" si="124"/>
        <v>0</v>
      </c>
      <c r="BT87" s="178">
        <f t="shared" si="124"/>
        <v>0</v>
      </c>
      <c r="BU87" s="178">
        <f t="shared" si="124"/>
        <v>0</v>
      </c>
      <c r="BV87" s="168">
        <f t="shared" si="124"/>
        <v>0</v>
      </c>
      <c r="BW87" s="169">
        <f t="shared" si="83"/>
        <v>0</v>
      </c>
      <c r="BX87" s="179">
        <f t="shared" si="84"/>
        <v>0</v>
      </c>
      <c r="BY87" s="180">
        <f t="shared" si="125"/>
        <v>0</v>
      </c>
      <c r="BZ87" s="178">
        <f t="shared" si="125"/>
        <v>0</v>
      </c>
      <c r="CA87" s="178">
        <f t="shared" si="125"/>
        <v>0</v>
      </c>
      <c r="CB87" s="178">
        <f t="shared" si="125"/>
        <v>0</v>
      </c>
      <c r="CC87" s="178">
        <f t="shared" si="125"/>
        <v>0</v>
      </c>
      <c r="CD87" s="178">
        <f t="shared" si="125"/>
        <v>0</v>
      </c>
      <c r="CE87" s="178">
        <f t="shared" si="125"/>
        <v>0</v>
      </c>
      <c r="CF87" s="178">
        <f t="shared" si="125"/>
        <v>0</v>
      </c>
      <c r="CG87" s="178">
        <f t="shared" si="125"/>
        <v>0</v>
      </c>
      <c r="CH87" s="178">
        <f t="shared" si="125"/>
        <v>0</v>
      </c>
      <c r="CI87" s="178">
        <f t="shared" si="125"/>
        <v>0</v>
      </c>
      <c r="CJ87" s="168">
        <f t="shared" si="125"/>
        <v>0</v>
      </c>
      <c r="CK87" s="169">
        <f t="shared" si="86"/>
        <v>0</v>
      </c>
      <c r="CL87" s="179">
        <f t="shared" si="87"/>
        <v>0</v>
      </c>
      <c r="CM87" s="180">
        <f t="shared" si="126"/>
        <v>0</v>
      </c>
      <c r="CN87" s="178">
        <f t="shared" si="126"/>
        <v>0</v>
      </c>
      <c r="CO87" s="178">
        <f t="shared" si="126"/>
        <v>0</v>
      </c>
      <c r="CP87" s="178">
        <f t="shared" si="126"/>
        <v>0</v>
      </c>
      <c r="CQ87" s="178">
        <f t="shared" si="126"/>
        <v>0</v>
      </c>
      <c r="CR87" s="178">
        <f t="shared" si="126"/>
        <v>0</v>
      </c>
      <c r="CS87" s="178">
        <f t="shared" si="126"/>
        <v>0</v>
      </c>
      <c r="CT87" s="178">
        <f t="shared" si="126"/>
        <v>0</v>
      </c>
      <c r="CU87" s="178">
        <f t="shared" si="126"/>
        <v>0</v>
      </c>
      <c r="CV87" s="178">
        <f t="shared" si="126"/>
        <v>0</v>
      </c>
      <c r="CW87" s="178">
        <f t="shared" si="126"/>
        <v>0</v>
      </c>
      <c r="CX87" s="168">
        <f t="shared" si="126"/>
        <v>0</v>
      </c>
      <c r="CY87" s="169">
        <f t="shared" si="89"/>
        <v>0</v>
      </c>
      <c r="CZ87" s="179">
        <f t="shared" si="90"/>
        <v>0</v>
      </c>
      <c r="DA87" s="180">
        <f t="shared" si="127"/>
        <v>0</v>
      </c>
      <c r="DB87" s="178">
        <f t="shared" si="127"/>
        <v>0</v>
      </c>
      <c r="DC87" s="178">
        <f t="shared" si="127"/>
        <v>0</v>
      </c>
      <c r="DD87" s="178">
        <f t="shared" si="127"/>
        <v>0</v>
      </c>
      <c r="DE87" s="178">
        <f t="shared" si="127"/>
        <v>0</v>
      </c>
      <c r="DF87" s="178">
        <f t="shared" si="127"/>
        <v>0</v>
      </c>
      <c r="DG87" s="178">
        <f t="shared" si="127"/>
        <v>0</v>
      </c>
      <c r="DH87" s="178">
        <f t="shared" si="127"/>
        <v>0</v>
      </c>
      <c r="DI87" s="178">
        <f t="shared" si="127"/>
        <v>0</v>
      </c>
      <c r="DJ87" s="178">
        <f t="shared" si="127"/>
        <v>0</v>
      </c>
      <c r="DK87" s="178">
        <f t="shared" si="127"/>
        <v>0</v>
      </c>
      <c r="DL87" s="168">
        <f t="shared" si="127"/>
        <v>0</v>
      </c>
      <c r="DM87" s="169">
        <f t="shared" si="92"/>
        <v>0</v>
      </c>
      <c r="DN87" s="171">
        <f t="shared" si="93"/>
        <v>0</v>
      </c>
      <c r="DO87" s="180">
        <f t="shared" si="128"/>
        <v>0</v>
      </c>
      <c r="DP87" s="178">
        <f t="shared" si="128"/>
        <v>0</v>
      </c>
      <c r="DQ87" s="178">
        <f t="shared" si="128"/>
        <v>0</v>
      </c>
      <c r="DR87" s="178">
        <f t="shared" si="128"/>
        <v>0</v>
      </c>
      <c r="DS87" s="178">
        <f t="shared" si="128"/>
        <v>0</v>
      </c>
      <c r="DT87" s="178">
        <f t="shared" si="128"/>
        <v>0</v>
      </c>
      <c r="DU87" s="178">
        <f t="shared" si="128"/>
        <v>0</v>
      </c>
      <c r="DV87" s="178">
        <f t="shared" si="128"/>
        <v>0</v>
      </c>
      <c r="DW87" s="178">
        <f t="shared" si="128"/>
        <v>0</v>
      </c>
      <c r="DX87" s="178">
        <f t="shared" si="128"/>
        <v>0</v>
      </c>
      <c r="DY87" s="178">
        <f t="shared" si="128"/>
        <v>0</v>
      </c>
      <c r="DZ87" s="168">
        <f t="shared" si="128"/>
        <v>0</v>
      </c>
      <c r="EA87" s="169">
        <f t="shared" si="95"/>
        <v>0</v>
      </c>
      <c r="EB87" s="171">
        <f t="shared" si="96"/>
        <v>0</v>
      </c>
    </row>
    <row r="88" spans="1:132" s="177" customFormat="1" ht="16.5" thickBot="1">
      <c r="A88" s="183"/>
      <c r="B88" s="164"/>
      <c r="C88" s="187"/>
      <c r="D88" s="188"/>
      <c r="E88" s="167">
        <v>3</v>
      </c>
      <c r="F88" s="168">
        <f t="shared" ref="F88" si="131">D88/E88</f>
        <v>0</v>
      </c>
      <c r="G88" s="189">
        <f t="shared" si="130"/>
        <v>0</v>
      </c>
      <c r="H88" s="190">
        <f t="shared" si="130"/>
        <v>0</v>
      </c>
      <c r="I88" s="190">
        <f t="shared" si="130"/>
        <v>0</v>
      </c>
      <c r="J88" s="190">
        <f t="shared" si="130"/>
        <v>0</v>
      </c>
      <c r="K88" s="190">
        <f t="shared" si="130"/>
        <v>0</v>
      </c>
      <c r="L88" s="190">
        <f t="shared" si="130"/>
        <v>0</v>
      </c>
      <c r="M88" s="190">
        <f t="shared" si="130"/>
        <v>0</v>
      </c>
      <c r="N88" s="190">
        <f t="shared" si="130"/>
        <v>0</v>
      </c>
      <c r="O88" s="190">
        <f t="shared" si="130"/>
        <v>0</v>
      </c>
      <c r="P88" s="190">
        <f t="shared" si="130"/>
        <v>0</v>
      </c>
      <c r="Q88" s="190">
        <f t="shared" si="130"/>
        <v>0</v>
      </c>
      <c r="R88" s="191">
        <f t="shared" si="130"/>
        <v>0</v>
      </c>
      <c r="S88" s="189">
        <f t="shared" si="70"/>
        <v>0</v>
      </c>
      <c r="T88" s="191">
        <f t="shared" si="71"/>
        <v>0</v>
      </c>
      <c r="U88" s="192">
        <f t="shared" si="122"/>
        <v>0</v>
      </c>
      <c r="V88" s="190">
        <f t="shared" si="122"/>
        <v>0</v>
      </c>
      <c r="W88" s="190">
        <f t="shared" si="122"/>
        <v>0</v>
      </c>
      <c r="X88" s="190">
        <f t="shared" si="122"/>
        <v>0</v>
      </c>
      <c r="Y88" s="190">
        <f t="shared" si="122"/>
        <v>0</v>
      </c>
      <c r="Z88" s="190">
        <f t="shared" si="122"/>
        <v>0</v>
      </c>
      <c r="AA88" s="190">
        <f t="shared" si="122"/>
        <v>0</v>
      </c>
      <c r="AB88" s="190">
        <f t="shared" si="122"/>
        <v>0</v>
      </c>
      <c r="AC88" s="190">
        <f t="shared" si="122"/>
        <v>0</v>
      </c>
      <c r="AD88" s="190">
        <f t="shared" si="122"/>
        <v>0</v>
      </c>
      <c r="AE88" s="190">
        <f t="shared" si="122"/>
        <v>0</v>
      </c>
      <c r="AF88" s="193">
        <f t="shared" si="122"/>
        <v>0</v>
      </c>
      <c r="AG88" s="189">
        <f t="shared" si="73"/>
        <v>0</v>
      </c>
      <c r="AH88" s="191">
        <f t="shared" si="74"/>
        <v>0</v>
      </c>
      <c r="AI88" s="192">
        <f t="shared" si="115"/>
        <v>0</v>
      </c>
      <c r="AJ88" s="190">
        <f t="shared" si="115"/>
        <v>0</v>
      </c>
      <c r="AK88" s="190">
        <f t="shared" si="115"/>
        <v>0</v>
      </c>
      <c r="AL88" s="190">
        <f t="shared" si="115"/>
        <v>0</v>
      </c>
      <c r="AM88" s="190">
        <f t="shared" si="115"/>
        <v>0</v>
      </c>
      <c r="AN88" s="190">
        <f t="shared" si="115"/>
        <v>0</v>
      </c>
      <c r="AO88" s="190">
        <f t="shared" si="115"/>
        <v>0</v>
      </c>
      <c r="AP88" s="190">
        <f t="shared" si="115"/>
        <v>0</v>
      </c>
      <c r="AQ88" s="190">
        <f t="shared" si="115"/>
        <v>0</v>
      </c>
      <c r="AR88" s="190">
        <f t="shared" si="115"/>
        <v>0</v>
      </c>
      <c r="AS88" s="190">
        <f t="shared" si="115"/>
        <v>0</v>
      </c>
      <c r="AT88" s="193">
        <f t="shared" si="115"/>
        <v>0</v>
      </c>
      <c r="AU88" s="189">
        <f t="shared" si="77"/>
        <v>0</v>
      </c>
      <c r="AV88" s="191">
        <f t="shared" si="78"/>
        <v>0</v>
      </c>
      <c r="AW88" s="192">
        <f t="shared" si="123"/>
        <v>0</v>
      </c>
      <c r="AX88" s="190">
        <f t="shared" si="123"/>
        <v>0</v>
      </c>
      <c r="AY88" s="190">
        <f t="shared" si="123"/>
        <v>0</v>
      </c>
      <c r="AZ88" s="190">
        <f t="shared" si="123"/>
        <v>0</v>
      </c>
      <c r="BA88" s="190">
        <f t="shared" si="123"/>
        <v>0</v>
      </c>
      <c r="BB88" s="190">
        <f t="shared" si="123"/>
        <v>0</v>
      </c>
      <c r="BC88" s="190">
        <f t="shared" si="123"/>
        <v>0</v>
      </c>
      <c r="BD88" s="190">
        <f t="shared" si="123"/>
        <v>0</v>
      </c>
      <c r="BE88" s="190">
        <f t="shared" si="123"/>
        <v>0</v>
      </c>
      <c r="BF88" s="190">
        <f t="shared" si="123"/>
        <v>0</v>
      </c>
      <c r="BG88" s="190">
        <f t="shared" si="123"/>
        <v>0</v>
      </c>
      <c r="BH88" s="193">
        <f t="shared" si="123"/>
        <v>0</v>
      </c>
      <c r="BI88" s="189">
        <f t="shared" si="80"/>
        <v>0</v>
      </c>
      <c r="BJ88" s="191">
        <f t="shared" si="81"/>
        <v>0</v>
      </c>
      <c r="BK88" s="192">
        <f t="shared" si="124"/>
        <v>0</v>
      </c>
      <c r="BL88" s="190">
        <f t="shared" si="124"/>
        <v>0</v>
      </c>
      <c r="BM88" s="190">
        <f t="shared" si="124"/>
        <v>0</v>
      </c>
      <c r="BN88" s="190">
        <f t="shared" si="124"/>
        <v>0</v>
      </c>
      <c r="BO88" s="190">
        <f t="shared" si="124"/>
        <v>0</v>
      </c>
      <c r="BP88" s="190">
        <f t="shared" si="124"/>
        <v>0</v>
      </c>
      <c r="BQ88" s="190">
        <f t="shared" si="124"/>
        <v>0</v>
      </c>
      <c r="BR88" s="190">
        <f t="shared" si="124"/>
        <v>0</v>
      </c>
      <c r="BS88" s="190">
        <f t="shared" si="124"/>
        <v>0</v>
      </c>
      <c r="BT88" s="190">
        <f t="shared" si="124"/>
        <v>0</v>
      </c>
      <c r="BU88" s="190">
        <f t="shared" si="124"/>
        <v>0</v>
      </c>
      <c r="BV88" s="193">
        <f t="shared" si="124"/>
        <v>0</v>
      </c>
      <c r="BW88" s="189">
        <f t="shared" si="83"/>
        <v>0</v>
      </c>
      <c r="BX88" s="191">
        <f t="shared" si="84"/>
        <v>0</v>
      </c>
      <c r="BY88" s="192">
        <f t="shared" si="125"/>
        <v>0</v>
      </c>
      <c r="BZ88" s="190">
        <f t="shared" si="125"/>
        <v>0</v>
      </c>
      <c r="CA88" s="190">
        <f t="shared" si="125"/>
        <v>0</v>
      </c>
      <c r="CB88" s="190">
        <f t="shared" si="125"/>
        <v>0</v>
      </c>
      <c r="CC88" s="190">
        <f t="shared" si="125"/>
        <v>0</v>
      </c>
      <c r="CD88" s="190">
        <f t="shared" si="125"/>
        <v>0</v>
      </c>
      <c r="CE88" s="190">
        <f t="shared" si="125"/>
        <v>0</v>
      </c>
      <c r="CF88" s="190">
        <f t="shared" si="125"/>
        <v>0</v>
      </c>
      <c r="CG88" s="190">
        <f t="shared" si="125"/>
        <v>0</v>
      </c>
      <c r="CH88" s="190">
        <f t="shared" si="125"/>
        <v>0</v>
      </c>
      <c r="CI88" s="190">
        <f t="shared" si="125"/>
        <v>0</v>
      </c>
      <c r="CJ88" s="193">
        <f t="shared" si="125"/>
        <v>0</v>
      </c>
      <c r="CK88" s="189">
        <f t="shared" si="86"/>
        <v>0</v>
      </c>
      <c r="CL88" s="191">
        <f t="shared" si="87"/>
        <v>0</v>
      </c>
      <c r="CM88" s="192">
        <f t="shared" si="126"/>
        <v>0</v>
      </c>
      <c r="CN88" s="190">
        <f t="shared" si="126"/>
        <v>0</v>
      </c>
      <c r="CO88" s="190">
        <f t="shared" si="126"/>
        <v>0</v>
      </c>
      <c r="CP88" s="190">
        <f t="shared" si="126"/>
        <v>0</v>
      </c>
      <c r="CQ88" s="190">
        <f t="shared" si="126"/>
        <v>0</v>
      </c>
      <c r="CR88" s="190">
        <f t="shared" si="126"/>
        <v>0</v>
      </c>
      <c r="CS88" s="190">
        <f t="shared" si="126"/>
        <v>0</v>
      </c>
      <c r="CT88" s="190">
        <f t="shared" si="126"/>
        <v>0</v>
      </c>
      <c r="CU88" s="190">
        <f t="shared" si="126"/>
        <v>0</v>
      </c>
      <c r="CV88" s="190">
        <f t="shared" si="126"/>
        <v>0</v>
      </c>
      <c r="CW88" s="190">
        <f t="shared" si="126"/>
        <v>0</v>
      </c>
      <c r="CX88" s="193">
        <f t="shared" si="126"/>
        <v>0</v>
      </c>
      <c r="CY88" s="189">
        <f t="shared" si="89"/>
        <v>0</v>
      </c>
      <c r="CZ88" s="191">
        <f t="shared" si="90"/>
        <v>0</v>
      </c>
      <c r="DA88" s="192">
        <f t="shared" si="127"/>
        <v>0</v>
      </c>
      <c r="DB88" s="190">
        <f t="shared" si="127"/>
        <v>0</v>
      </c>
      <c r="DC88" s="190">
        <f t="shared" si="127"/>
        <v>0</v>
      </c>
      <c r="DD88" s="190">
        <f t="shared" si="127"/>
        <v>0</v>
      </c>
      <c r="DE88" s="190">
        <f t="shared" si="127"/>
        <v>0</v>
      </c>
      <c r="DF88" s="190">
        <f t="shared" si="127"/>
        <v>0</v>
      </c>
      <c r="DG88" s="190">
        <f t="shared" si="127"/>
        <v>0</v>
      </c>
      <c r="DH88" s="190">
        <f t="shared" si="127"/>
        <v>0</v>
      </c>
      <c r="DI88" s="190">
        <f t="shared" si="127"/>
        <v>0</v>
      </c>
      <c r="DJ88" s="190">
        <f t="shared" si="127"/>
        <v>0</v>
      </c>
      <c r="DK88" s="190">
        <f t="shared" si="127"/>
        <v>0</v>
      </c>
      <c r="DL88" s="193">
        <f t="shared" si="127"/>
        <v>0</v>
      </c>
      <c r="DM88" s="189">
        <f t="shared" si="92"/>
        <v>0</v>
      </c>
      <c r="DN88" s="191">
        <f>IF(AND($DL$9&gt;$A88,$DM88&lt;&gt;0),$D88-$S88-$AG88-$AU88-$BI88-$BW88-$CK$10-$CY88-$DM88,0)</f>
        <v>0</v>
      </c>
      <c r="DO88" s="192">
        <f t="shared" si="128"/>
        <v>0</v>
      </c>
      <c r="DP88" s="190">
        <f t="shared" si="128"/>
        <v>0</v>
      </c>
      <c r="DQ88" s="190">
        <f t="shared" si="128"/>
        <v>0</v>
      </c>
      <c r="DR88" s="190">
        <f t="shared" si="128"/>
        <v>0</v>
      </c>
      <c r="DS88" s="190">
        <f t="shared" si="128"/>
        <v>0</v>
      </c>
      <c r="DT88" s="190">
        <f t="shared" si="128"/>
        <v>0</v>
      </c>
      <c r="DU88" s="190">
        <f t="shared" si="128"/>
        <v>0</v>
      </c>
      <c r="DV88" s="190">
        <f t="shared" si="128"/>
        <v>0</v>
      </c>
      <c r="DW88" s="190">
        <f t="shared" si="128"/>
        <v>0</v>
      </c>
      <c r="DX88" s="190">
        <f t="shared" si="128"/>
        <v>0</v>
      </c>
      <c r="DY88" s="190">
        <f t="shared" si="128"/>
        <v>0</v>
      </c>
      <c r="DZ88" s="193">
        <f t="shared" si="128"/>
        <v>0</v>
      </c>
      <c r="EA88" s="189">
        <f t="shared" si="95"/>
        <v>0</v>
      </c>
      <c r="EB88" s="194">
        <f t="shared" si="96"/>
        <v>0</v>
      </c>
    </row>
    <row r="89" spans="1:132">
      <c r="F89" s="195"/>
    </row>
    <row r="90" spans="1:132">
      <c r="F90" s="195"/>
    </row>
    <row r="91" spans="1:132">
      <c r="F91" s="195"/>
    </row>
    <row r="92" spans="1:132">
      <c r="F92" s="195"/>
    </row>
    <row r="93" spans="1:132">
      <c r="F93" s="195"/>
    </row>
    <row r="94" spans="1:132">
      <c r="F94" s="195"/>
    </row>
    <row r="95" spans="1:132">
      <c r="F95" s="195"/>
    </row>
    <row r="96" spans="1:132">
      <c r="F96" s="195"/>
    </row>
    <row r="97" spans="6:6">
      <c r="F97" s="195"/>
    </row>
    <row r="98" spans="6:6">
      <c r="F98" s="195"/>
    </row>
  </sheetData>
  <autoFilter ref="A9:E86">
    <sortState ref="A10:E136">
      <sortCondition ref="A9:A136"/>
    </sortState>
  </autoFilter>
  <mergeCells count="3">
    <mergeCell ref="V1:AA1"/>
    <mergeCell ref="V3:Z3"/>
    <mergeCell ref="V4:Y4"/>
  </mergeCells>
  <conditionalFormatting sqref="T10:T88">
    <cfRule type="cellIs" dxfId="5" priority="9" operator="lessThan">
      <formula>0</formula>
    </cfRule>
  </conditionalFormatting>
  <conditionalFormatting sqref="AH10:AH88 AV10:AV88">
    <cfRule type="cellIs" dxfId="4" priority="8" operator="lessThanOrEqual">
      <formula>0</formula>
    </cfRule>
  </conditionalFormatting>
  <conditionalFormatting sqref="BJ10:BJ88 BX10:BX88 CL10:CL88 CZ10:CZ88 DN10:DN88 EB10:EB88">
    <cfRule type="cellIs" dxfId="3" priority="6" stopIfTrue="1" operator="lessThanOrEqual">
      <formula>0</formula>
    </cfRule>
  </conditionalFormatting>
  <dataValidations count="2">
    <dataValidation type="list" allowBlank="1" showInputMessage="1" showErrorMessage="1" sqref="B10:B36 B55:B88">
      <formula1>$A$1:$A$6</formula1>
    </dataValidation>
    <dataValidation type="list" allowBlank="1" showInputMessage="1" showErrorMessage="1" sqref="B37:B54">
      <formula1>INDIRECT(A37)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H12" sqref="H12"/>
    </sheetView>
  </sheetViews>
  <sheetFormatPr baseColWidth="10" defaultRowHeight="12.75"/>
  <cols>
    <col min="1" max="1" width="11.28515625" bestFit="1" customWidth="1"/>
    <col min="2" max="2" width="24.28515625" bestFit="1" customWidth="1"/>
    <col min="3" max="3" width="4.7109375" bestFit="1" customWidth="1"/>
    <col min="4" max="4" width="12.85546875" bestFit="1" customWidth="1"/>
    <col min="5" max="5" width="14.42578125" bestFit="1" customWidth="1"/>
    <col min="6" max="6" width="12.85546875" bestFit="1" customWidth="1"/>
  </cols>
  <sheetData>
    <row r="1" spans="1:6" ht="21">
      <c r="A1" s="384"/>
      <c r="B1" s="489" t="s">
        <v>236</v>
      </c>
      <c r="C1" s="490"/>
      <c r="D1" s="490"/>
      <c r="E1" s="490"/>
      <c r="F1" s="490"/>
    </row>
    <row r="2" spans="1:6" ht="15">
      <c r="A2" s="385"/>
      <c r="B2" s="386"/>
      <c r="C2" s="387"/>
      <c r="D2" s="387"/>
      <c r="E2" s="388">
        <f>SUBTOTAL(9,E3:E517)</f>
        <v>1516230</v>
      </c>
      <c r="F2" s="387"/>
    </row>
    <row r="3" spans="1:6" ht="15">
      <c r="A3" s="389">
        <v>42434</v>
      </c>
      <c r="B3" s="380" t="s">
        <v>195</v>
      </c>
      <c r="C3" s="390">
        <v>1</v>
      </c>
      <c r="D3" s="383">
        <v>40000</v>
      </c>
      <c r="E3" s="383">
        <f>C3*D3</f>
        <v>40000</v>
      </c>
      <c r="F3" s="383">
        <v>40000</v>
      </c>
    </row>
    <row r="4" spans="1:6" ht="15">
      <c r="A4" s="389">
        <v>42469</v>
      </c>
      <c r="B4" s="380" t="s">
        <v>196</v>
      </c>
      <c r="C4" s="390">
        <v>1</v>
      </c>
      <c r="D4" s="383">
        <v>32000</v>
      </c>
      <c r="E4" s="383">
        <f t="shared" ref="E4:E58" si="0">C4*D4</f>
        <v>32000</v>
      </c>
      <c r="F4" s="383">
        <v>32000</v>
      </c>
    </row>
    <row r="5" spans="1:6" ht="15">
      <c r="A5" s="389">
        <v>42434</v>
      </c>
      <c r="B5" s="380" t="s">
        <v>197</v>
      </c>
      <c r="C5" s="390">
        <v>1</v>
      </c>
      <c r="D5" s="383">
        <v>2000</v>
      </c>
      <c r="E5" s="383">
        <f t="shared" si="0"/>
        <v>2000</v>
      </c>
      <c r="F5" s="383">
        <v>2000</v>
      </c>
    </row>
    <row r="6" spans="1:6" ht="15">
      <c r="A6" s="389">
        <v>42434</v>
      </c>
      <c r="B6" s="380" t="s">
        <v>198</v>
      </c>
      <c r="C6" s="390">
        <v>2</v>
      </c>
      <c r="D6" s="383">
        <v>5000</v>
      </c>
      <c r="E6" s="383">
        <f t="shared" si="0"/>
        <v>10000</v>
      </c>
      <c r="F6" s="383">
        <v>10000</v>
      </c>
    </row>
    <row r="7" spans="1:6" ht="15">
      <c r="A7" s="389">
        <v>42434</v>
      </c>
      <c r="B7" s="380" t="s">
        <v>198</v>
      </c>
      <c r="C7" s="390">
        <v>1</v>
      </c>
      <c r="D7" s="383">
        <v>8000</v>
      </c>
      <c r="E7" s="383">
        <f t="shared" si="0"/>
        <v>8000</v>
      </c>
      <c r="F7" s="383">
        <v>8000</v>
      </c>
    </row>
    <row r="8" spans="1:6" ht="15">
      <c r="A8" s="389">
        <v>42434</v>
      </c>
      <c r="B8" s="380" t="s">
        <v>198</v>
      </c>
      <c r="C8" s="390">
        <v>1</v>
      </c>
      <c r="D8" s="383">
        <v>40000</v>
      </c>
      <c r="E8" s="383">
        <f t="shared" si="0"/>
        <v>40000</v>
      </c>
      <c r="F8" s="383">
        <v>40000</v>
      </c>
    </row>
    <row r="9" spans="1:6" ht="15">
      <c r="A9" s="389">
        <v>42434</v>
      </c>
      <c r="B9" s="380" t="s">
        <v>199</v>
      </c>
      <c r="C9" s="390">
        <v>1</v>
      </c>
      <c r="D9" s="383">
        <v>10000</v>
      </c>
      <c r="E9" s="383">
        <f t="shared" si="0"/>
        <v>10000</v>
      </c>
      <c r="F9" s="383">
        <v>10000</v>
      </c>
    </row>
    <row r="10" spans="1:6" ht="15">
      <c r="A10" s="389">
        <v>42434</v>
      </c>
      <c r="B10" s="380" t="s">
        <v>200</v>
      </c>
      <c r="C10" s="390">
        <v>3</v>
      </c>
      <c r="D10" s="383">
        <v>6000</v>
      </c>
      <c r="E10" s="383">
        <f t="shared" si="0"/>
        <v>18000</v>
      </c>
      <c r="F10" s="383">
        <v>18000</v>
      </c>
    </row>
    <row r="11" spans="1:6" ht="15">
      <c r="A11" s="389">
        <v>42434</v>
      </c>
      <c r="B11" s="380" t="s">
        <v>167</v>
      </c>
      <c r="C11" s="390">
        <v>4</v>
      </c>
      <c r="D11" s="383">
        <v>1000</v>
      </c>
      <c r="E11" s="383">
        <f t="shared" si="0"/>
        <v>4000</v>
      </c>
      <c r="F11" s="383"/>
    </row>
    <row r="12" spans="1:6" ht="15">
      <c r="A12" s="389">
        <v>42434</v>
      </c>
      <c r="B12" s="380" t="s">
        <v>201</v>
      </c>
      <c r="C12" s="390">
        <v>1</v>
      </c>
      <c r="D12" s="383">
        <v>4000</v>
      </c>
      <c r="E12" s="383">
        <f t="shared" si="0"/>
        <v>4000</v>
      </c>
      <c r="F12" s="383">
        <v>4000</v>
      </c>
    </row>
    <row r="13" spans="1:6" ht="15">
      <c r="A13" s="389">
        <v>42434</v>
      </c>
      <c r="B13" s="380" t="s">
        <v>202</v>
      </c>
      <c r="C13" s="390">
        <v>3</v>
      </c>
      <c r="D13" s="383">
        <v>250</v>
      </c>
      <c r="E13" s="383">
        <f t="shared" si="0"/>
        <v>750</v>
      </c>
      <c r="F13" s="383">
        <v>750</v>
      </c>
    </row>
    <row r="14" spans="1:6" ht="15">
      <c r="A14" s="389">
        <v>42434</v>
      </c>
      <c r="B14" s="380" t="s">
        <v>203</v>
      </c>
      <c r="C14" s="390">
        <v>2</v>
      </c>
      <c r="D14" s="383">
        <v>2500</v>
      </c>
      <c r="E14" s="383">
        <f t="shared" si="0"/>
        <v>5000</v>
      </c>
      <c r="F14" s="383">
        <v>5000</v>
      </c>
    </row>
    <row r="15" spans="1:6" ht="15">
      <c r="A15" s="389">
        <v>42526</v>
      </c>
      <c r="B15" s="380" t="s">
        <v>204</v>
      </c>
      <c r="C15" s="390">
        <v>1</v>
      </c>
      <c r="D15" s="383">
        <v>37000</v>
      </c>
      <c r="E15" s="383">
        <f t="shared" si="0"/>
        <v>37000</v>
      </c>
      <c r="F15" s="383">
        <v>37000</v>
      </c>
    </row>
    <row r="16" spans="1:6" ht="15">
      <c r="A16" s="389">
        <v>42434</v>
      </c>
      <c r="B16" s="380" t="s">
        <v>205</v>
      </c>
      <c r="C16" s="390">
        <v>1</v>
      </c>
      <c r="D16" s="383">
        <v>12500</v>
      </c>
      <c r="E16" s="383">
        <f t="shared" si="0"/>
        <v>12500</v>
      </c>
      <c r="F16" s="383"/>
    </row>
    <row r="17" spans="1:6" ht="15">
      <c r="A17" s="389">
        <v>42434</v>
      </c>
      <c r="B17" s="380" t="s">
        <v>206</v>
      </c>
      <c r="C17" s="390"/>
      <c r="D17" s="383">
        <v>40000</v>
      </c>
      <c r="E17" s="383">
        <v>40000</v>
      </c>
      <c r="F17" s="383">
        <v>40000</v>
      </c>
    </row>
    <row r="18" spans="1:6" ht="15">
      <c r="A18" s="389">
        <v>42434</v>
      </c>
      <c r="B18" s="380" t="s">
        <v>160</v>
      </c>
      <c r="C18" s="390">
        <v>1</v>
      </c>
      <c r="D18" s="383">
        <v>15000</v>
      </c>
      <c r="E18" s="383">
        <f t="shared" si="0"/>
        <v>15000</v>
      </c>
      <c r="F18" s="383">
        <v>15000</v>
      </c>
    </row>
    <row r="19" spans="1:6" ht="15">
      <c r="A19" s="389">
        <v>42434</v>
      </c>
      <c r="B19" s="380" t="s">
        <v>207</v>
      </c>
      <c r="C19" s="390">
        <v>1</v>
      </c>
      <c r="D19" s="383">
        <v>15000</v>
      </c>
      <c r="E19" s="383">
        <f t="shared" si="0"/>
        <v>15000</v>
      </c>
      <c r="F19" s="383">
        <v>15000</v>
      </c>
    </row>
    <row r="20" spans="1:6" ht="15">
      <c r="A20" s="389">
        <v>42434</v>
      </c>
      <c r="B20" s="380" t="s">
        <v>208</v>
      </c>
      <c r="C20" s="390">
        <v>1</v>
      </c>
      <c r="D20" s="383">
        <v>25000</v>
      </c>
      <c r="E20" s="383">
        <f t="shared" si="0"/>
        <v>25000</v>
      </c>
      <c r="F20" s="383">
        <v>25000</v>
      </c>
    </row>
    <row r="21" spans="1:6" ht="15">
      <c r="A21" s="389">
        <v>42434</v>
      </c>
      <c r="B21" s="380" t="s">
        <v>209</v>
      </c>
      <c r="C21" s="390">
        <v>1</v>
      </c>
      <c r="D21" s="383">
        <v>20000</v>
      </c>
      <c r="E21" s="383">
        <f t="shared" si="0"/>
        <v>20000</v>
      </c>
      <c r="F21" s="383"/>
    </row>
    <row r="22" spans="1:6" ht="15">
      <c r="A22" s="389">
        <v>42490</v>
      </c>
      <c r="B22" s="380" t="s">
        <v>209</v>
      </c>
      <c r="C22" s="390">
        <v>1</v>
      </c>
      <c r="D22" s="383">
        <v>6000</v>
      </c>
      <c r="E22" s="383">
        <f t="shared" si="0"/>
        <v>6000</v>
      </c>
      <c r="F22" s="383">
        <v>6000</v>
      </c>
    </row>
    <row r="23" spans="1:6" ht="15">
      <c r="A23" s="389">
        <v>42434</v>
      </c>
      <c r="B23" s="380" t="s">
        <v>210</v>
      </c>
      <c r="C23" s="390">
        <v>1</v>
      </c>
      <c r="D23" s="383">
        <v>5000</v>
      </c>
      <c r="E23" s="383">
        <f t="shared" si="0"/>
        <v>5000</v>
      </c>
      <c r="F23" s="383">
        <v>5000</v>
      </c>
    </row>
    <row r="24" spans="1:6" ht="15">
      <c r="A24" s="389">
        <v>42434</v>
      </c>
      <c r="B24" s="380" t="s">
        <v>211</v>
      </c>
      <c r="C24" s="390">
        <v>1</v>
      </c>
      <c r="D24" s="383">
        <v>25000</v>
      </c>
      <c r="E24" s="383">
        <f t="shared" si="0"/>
        <v>25000</v>
      </c>
      <c r="F24" s="383">
        <v>25000</v>
      </c>
    </row>
    <row r="25" spans="1:6" ht="15">
      <c r="A25" s="389">
        <v>42434</v>
      </c>
      <c r="B25" s="380" t="s">
        <v>212</v>
      </c>
      <c r="C25" s="390">
        <v>1</v>
      </c>
      <c r="D25" s="383">
        <v>30000</v>
      </c>
      <c r="E25" s="383">
        <f t="shared" si="0"/>
        <v>30000</v>
      </c>
      <c r="F25" s="383">
        <v>30000</v>
      </c>
    </row>
    <row r="26" spans="1:6" ht="15">
      <c r="A26" s="389">
        <v>42434</v>
      </c>
      <c r="B26" s="380" t="s">
        <v>213</v>
      </c>
      <c r="C26" s="390">
        <v>1</v>
      </c>
      <c r="D26" s="383">
        <v>50000</v>
      </c>
      <c r="E26" s="383"/>
      <c r="F26" s="383" t="s">
        <v>249</v>
      </c>
    </row>
    <row r="27" spans="1:6" ht="15">
      <c r="A27" s="389">
        <v>42434</v>
      </c>
      <c r="B27" s="380" t="s">
        <v>214</v>
      </c>
      <c r="C27" s="390">
        <v>1</v>
      </c>
      <c r="D27" s="383">
        <v>15000</v>
      </c>
      <c r="E27" s="383">
        <f t="shared" si="0"/>
        <v>15000</v>
      </c>
      <c r="F27" s="383">
        <v>15000</v>
      </c>
    </row>
    <row r="28" spans="1:6" ht="15">
      <c r="A28" s="389">
        <v>42434</v>
      </c>
      <c r="B28" s="380" t="s">
        <v>215</v>
      </c>
      <c r="C28" s="390">
        <v>1</v>
      </c>
      <c r="D28" s="383">
        <v>5000</v>
      </c>
      <c r="E28" s="383">
        <f t="shared" si="0"/>
        <v>5000</v>
      </c>
      <c r="F28" s="383">
        <v>5000</v>
      </c>
    </row>
    <row r="29" spans="1:6" ht="15">
      <c r="A29" s="389">
        <v>42434</v>
      </c>
      <c r="B29" s="380" t="s">
        <v>216</v>
      </c>
      <c r="C29" s="390">
        <v>1</v>
      </c>
      <c r="D29" s="383">
        <v>15000</v>
      </c>
      <c r="E29" s="383">
        <f t="shared" si="0"/>
        <v>15000</v>
      </c>
      <c r="F29" s="383">
        <v>15000</v>
      </c>
    </row>
    <row r="30" spans="1:6" ht="15">
      <c r="A30" s="389">
        <v>42434</v>
      </c>
      <c r="B30" s="380" t="s">
        <v>217</v>
      </c>
      <c r="C30" s="390">
        <v>1</v>
      </c>
      <c r="D30" s="383">
        <v>4000</v>
      </c>
      <c r="E30" s="383">
        <f t="shared" si="0"/>
        <v>4000</v>
      </c>
      <c r="F30" s="383">
        <v>4000</v>
      </c>
    </row>
    <row r="31" spans="1:6" ht="15">
      <c r="A31" s="389">
        <v>42434</v>
      </c>
      <c r="B31" s="380" t="s">
        <v>175</v>
      </c>
      <c r="C31" s="390">
        <v>1</v>
      </c>
      <c r="D31" s="383">
        <v>4000</v>
      </c>
      <c r="E31" s="383">
        <f t="shared" si="0"/>
        <v>4000</v>
      </c>
      <c r="F31" s="383">
        <v>4000</v>
      </c>
    </row>
    <row r="32" spans="1:6" ht="15">
      <c r="A32" s="389">
        <v>42434</v>
      </c>
      <c r="B32" s="380" t="s">
        <v>218</v>
      </c>
      <c r="C32" s="390">
        <v>1</v>
      </c>
      <c r="D32" s="383">
        <v>15000</v>
      </c>
      <c r="E32" s="383">
        <f t="shared" si="0"/>
        <v>15000</v>
      </c>
      <c r="F32" s="383">
        <v>15000</v>
      </c>
    </row>
    <row r="33" spans="1:6" ht="15">
      <c r="A33" s="389">
        <v>42434</v>
      </c>
      <c r="B33" s="380" t="s">
        <v>219</v>
      </c>
      <c r="C33" s="390">
        <v>1</v>
      </c>
      <c r="D33" s="383">
        <v>15000</v>
      </c>
      <c r="E33" s="383">
        <f t="shared" si="0"/>
        <v>15000</v>
      </c>
      <c r="F33" s="383">
        <v>15000</v>
      </c>
    </row>
    <row r="34" spans="1:6" ht="15">
      <c r="A34" s="389">
        <v>42434</v>
      </c>
      <c r="B34" s="380" t="s">
        <v>220</v>
      </c>
      <c r="C34" s="390">
        <v>1</v>
      </c>
      <c r="D34" s="383">
        <v>15000</v>
      </c>
      <c r="E34" s="383">
        <f t="shared" si="0"/>
        <v>15000</v>
      </c>
      <c r="F34" s="383">
        <v>15000</v>
      </c>
    </row>
    <row r="35" spans="1:6" ht="15">
      <c r="A35" s="389">
        <v>42434</v>
      </c>
      <c r="B35" s="380" t="s">
        <v>221</v>
      </c>
      <c r="C35" s="390">
        <v>1</v>
      </c>
      <c r="D35" s="383">
        <v>5000</v>
      </c>
      <c r="E35" s="383">
        <f t="shared" si="0"/>
        <v>5000</v>
      </c>
      <c r="F35" s="383">
        <v>5000</v>
      </c>
    </row>
    <row r="36" spans="1:6" ht="15">
      <c r="A36" s="389">
        <v>42434</v>
      </c>
      <c r="B36" s="380" t="s">
        <v>222</v>
      </c>
      <c r="C36" s="390">
        <v>1</v>
      </c>
      <c r="D36" s="383">
        <v>14000</v>
      </c>
      <c r="E36" s="383">
        <f t="shared" si="0"/>
        <v>14000</v>
      </c>
      <c r="F36" s="383">
        <v>14000</v>
      </c>
    </row>
    <row r="37" spans="1:6" ht="15">
      <c r="A37" s="389">
        <v>42434</v>
      </c>
      <c r="B37" s="380" t="s">
        <v>223</v>
      </c>
      <c r="C37" s="390">
        <v>1</v>
      </c>
      <c r="D37" s="383">
        <v>150000</v>
      </c>
      <c r="E37" s="383">
        <f t="shared" si="0"/>
        <v>150000</v>
      </c>
      <c r="F37" s="383">
        <v>150000</v>
      </c>
    </row>
    <row r="38" spans="1:6" ht="15">
      <c r="A38" s="389">
        <v>42434</v>
      </c>
      <c r="B38" s="380" t="s">
        <v>224</v>
      </c>
      <c r="C38" s="390">
        <v>8</v>
      </c>
      <c r="D38" s="383">
        <v>10000</v>
      </c>
      <c r="E38" s="383">
        <f t="shared" si="0"/>
        <v>80000</v>
      </c>
      <c r="F38" s="383">
        <v>80000</v>
      </c>
    </row>
    <row r="39" spans="1:6" ht="15">
      <c r="A39" s="389">
        <v>42434</v>
      </c>
      <c r="B39" s="380" t="s">
        <v>225</v>
      </c>
      <c r="C39" s="390">
        <v>3</v>
      </c>
      <c r="D39" s="383">
        <v>15000</v>
      </c>
      <c r="E39" s="383">
        <f t="shared" si="0"/>
        <v>45000</v>
      </c>
      <c r="F39" s="383">
        <v>45000</v>
      </c>
    </row>
    <row r="40" spans="1:6" ht="15">
      <c r="A40" s="389">
        <v>42434</v>
      </c>
      <c r="B40" s="380" t="s">
        <v>226</v>
      </c>
      <c r="C40" s="390">
        <v>1</v>
      </c>
      <c r="D40" s="383">
        <v>190000</v>
      </c>
      <c r="E40" s="383">
        <f t="shared" si="0"/>
        <v>190000</v>
      </c>
      <c r="F40" s="383">
        <v>190000</v>
      </c>
    </row>
    <row r="41" spans="1:6" ht="15">
      <c r="A41" s="389">
        <v>42434</v>
      </c>
      <c r="B41" s="380" t="s">
        <v>227</v>
      </c>
      <c r="C41" s="390">
        <v>1</v>
      </c>
      <c r="D41" s="383">
        <v>140000</v>
      </c>
      <c r="E41" s="383">
        <f t="shared" si="0"/>
        <v>140000</v>
      </c>
      <c r="F41" s="383">
        <v>140000</v>
      </c>
    </row>
    <row r="42" spans="1:6" ht="15">
      <c r="A42" s="389">
        <v>42434</v>
      </c>
      <c r="B42" s="380" t="s">
        <v>228</v>
      </c>
      <c r="C42" s="390">
        <v>1</v>
      </c>
      <c r="D42" s="383">
        <v>15000</v>
      </c>
      <c r="E42" s="383">
        <f t="shared" si="0"/>
        <v>15000</v>
      </c>
      <c r="F42" s="383">
        <v>15000</v>
      </c>
    </row>
    <row r="43" spans="1:6" ht="15">
      <c r="A43" s="389">
        <v>42434</v>
      </c>
      <c r="B43" s="380" t="s">
        <v>229</v>
      </c>
      <c r="C43" s="390">
        <v>1</v>
      </c>
      <c r="D43" s="383">
        <v>120000</v>
      </c>
      <c r="E43" s="383">
        <f t="shared" si="0"/>
        <v>120000</v>
      </c>
      <c r="F43" s="383">
        <v>120000</v>
      </c>
    </row>
    <row r="44" spans="1:6" ht="15">
      <c r="A44" s="389">
        <v>42798</v>
      </c>
      <c r="B44" s="380" t="s">
        <v>200</v>
      </c>
      <c r="C44" s="390">
        <v>1</v>
      </c>
      <c r="D44" s="383">
        <v>10000</v>
      </c>
      <c r="E44" s="383">
        <f t="shared" si="0"/>
        <v>10000</v>
      </c>
      <c r="F44" s="383">
        <v>10000</v>
      </c>
    </row>
    <row r="45" spans="1:6" ht="15">
      <c r="A45" s="389">
        <v>42868</v>
      </c>
      <c r="B45" s="380" t="s">
        <v>200</v>
      </c>
      <c r="C45" s="390">
        <v>2</v>
      </c>
      <c r="D45" s="383">
        <v>7600</v>
      </c>
      <c r="E45" s="383">
        <f t="shared" si="0"/>
        <v>15200</v>
      </c>
      <c r="F45" s="383">
        <v>15200</v>
      </c>
    </row>
    <row r="46" spans="1:6" ht="15">
      <c r="A46" s="382">
        <v>42767</v>
      </c>
      <c r="B46" s="380" t="s">
        <v>203</v>
      </c>
      <c r="C46" s="390">
        <v>4</v>
      </c>
      <c r="D46" s="383">
        <v>4500</v>
      </c>
      <c r="E46" s="383">
        <f t="shared" si="0"/>
        <v>18000</v>
      </c>
      <c r="F46" s="383">
        <v>18000</v>
      </c>
    </row>
    <row r="47" spans="1:6" ht="15">
      <c r="A47" s="382">
        <v>42868</v>
      </c>
      <c r="B47" s="381" t="s">
        <v>160</v>
      </c>
      <c r="C47" s="390">
        <v>1</v>
      </c>
      <c r="D47" s="383">
        <v>14800</v>
      </c>
      <c r="E47" s="383">
        <f t="shared" si="0"/>
        <v>14800</v>
      </c>
      <c r="F47" s="383">
        <v>14800</v>
      </c>
    </row>
    <row r="48" spans="1:6" ht="15">
      <c r="A48" s="382">
        <v>42716</v>
      </c>
      <c r="B48" s="381" t="s">
        <v>230</v>
      </c>
      <c r="C48" s="390">
        <v>1</v>
      </c>
      <c r="D48" s="383">
        <v>4980</v>
      </c>
      <c r="E48" s="383">
        <f t="shared" si="0"/>
        <v>4980</v>
      </c>
      <c r="F48" s="383">
        <v>4980</v>
      </c>
    </row>
    <row r="49" spans="1:6" ht="15">
      <c r="A49" s="382">
        <v>42721</v>
      </c>
      <c r="B49" s="380" t="s">
        <v>227</v>
      </c>
      <c r="C49" s="390">
        <v>1</v>
      </c>
      <c r="D49" s="383">
        <v>145000</v>
      </c>
      <c r="E49" s="383">
        <f t="shared" si="0"/>
        <v>145000</v>
      </c>
      <c r="F49" s="383">
        <v>145000</v>
      </c>
    </row>
    <row r="50" spans="1:6" ht="15">
      <c r="A50" s="382">
        <v>42721</v>
      </c>
      <c r="B50" s="380" t="s">
        <v>231</v>
      </c>
      <c r="C50" s="390">
        <v>1</v>
      </c>
      <c r="D50" s="383">
        <v>13000</v>
      </c>
      <c r="E50" s="383">
        <f t="shared" si="0"/>
        <v>13000</v>
      </c>
      <c r="F50" s="383">
        <v>13000</v>
      </c>
    </row>
    <row r="51" spans="1:6" ht="14.25">
      <c r="A51" s="382">
        <v>42868</v>
      </c>
      <c r="B51" s="382" t="s">
        <v>232</v>
      </c>
      <c r="C51" s="390">
        <v>1</v>
      </c>
      <c r="D51" s="383">
        <v>2200</v>
      </c>
      <c r="E51" s="383">
        <f t="shared" si="0"/>
        <v>2200</v>
      </c>
      <c r="F51" s="383">
        <v>2200</v>
      </c>
    </row>
    <row r="52" spans="1:6" ht="14.25">
      <c r="A52" s="382">
        <v>42868</v>
      </c>
      <c r="B52" s="382" t="s">
        <v>233</v>
      </c>
      <c r="C52" s="390">
        <v>1</v>
      </c>
      <c r="D52" s="383">
        <v>1700</v>
      </c>
      <c r="E52" s="383">
        <f t="shared" si="0"/>
        <v>1700</v>
      </c>
      <c r="F52" s="383">
        <v>1700</v>
      </c>
    </row>
    <row r="53" spans="1:6" ht="15">
      <c r="A53" s="382">
        <v>42868</v>
      </c>
      <c r="B53" s="380" t="s">
        <v>234</v>
      </c>
      <c r="C53" s="390">
        <v>1</v>
      </c>
      <c r="D53" s="383">
        <v>9500</v>
      </c>
      <c r="E53" s="383">
        <f t="shared" si="0"/>
        <v>9500</v>
      </c>
      <c r="F53" s="383">
        <v>9500</v>
      </c>
    </row>
    <row r="54" spans="1:6" ht="15">
      <c r="A54" s="382">
        <v>43010</v>
      </c>
      <c r="B54" s="381" t="s">
        <v>235</v>
      </c>
      <c r="C54" s="390">
        <v>1</v>
      </c>
      <c r="D54" s="383">
        <v>12500</v>
      </c>
      <c r="E54" s="383">
        <f t="shared" si="0"/>
        <v>12500</v>
      </c>
      <c r="F54" s="383">
        <v>12500</v>
      </c>
    </row>
    <row r="55" spans="1:6" ht="15">
      <c r="A55" s="382">
        <v>42474</v>
      </c>
      <c r="B55" s="381" t="s">
        <v>237</v>
      </c>
      <c r="C55" s="390">
        <v>1</v>
      </c>
      <c r="D55" s="383">
        <v>14000</v>
      </c>
      <c r="E55" s="383">
        <f t="shared" si="0"/>
        <v>14000</v>
      </c>
      <c r="F55" s="383">
        <v>14000</v>
      </c>
    </row>
    <row r="56" spans="1:6" ht="15">
      <c r="A56" s="382">
        <v>42551</v>
      </c>
      <c r="B56" s="381" t="s">
        <v>167</v>
      </c>
      <c r="C56" s="390">
        <v>1</v>
      </c>
      <c r="D56" s="383">
        <v>1100</v>
      </c>
      <c r="E56" s="383">
        <f t="shared" si="0"/>
        <v>1100</v>
      </c>
      <c r="F56" s="383">
        <v>1100</v>
      </c>
    </row>
    <row r="57" spans="1:6" ht="15">
      <c r="A57" s="382">
        <v>42567</v>
      </c>
      <c r="B57" s="381" t="s">
        <v>161</v>
      </c>
      <c r="C57" s="390">
        <v>1</v>
      </c>
      <c r="D57" s="383">
        <v>1000</v>
      </c>
      <c r="E57" s="383">
        <f t="shared" si="0"/>
        <v>1000</v>
      </c>
      <c r="F57" s="383">
        <v>1000</v>
      </c>
    </row>
    <row r="58" spans="1:6" ht="15">
      <c r="A58" s="382">
        <v>42475</v>
      </c>
      <c r="B58" s="381" t="s">
        <v>161</v>
      </c>
      <c r="C58" s="390">
        <v>4</v>
      </c>
      <c r="D58" s="383">
        <v>500</v>
      </c>
      <c r="E58" s="383">
        <f t="shared" si="0"/>
        <v>2000</v>
      </c>
      <c r="F58" s="383">
        <v>2000</v>
      </c>
    </row>
  </sheetData>
  <autoFilter ref="A2:F58"/>
  <mergeCells count="1">
    <mergeCell ref="B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48"/>
  <sheetViews>
    <sheetView workbookViewId="0">
      <pane ySplit="9" topLeftCell="A10" activePane="bottomLeft" state="frozen"/>
      <selection pane="bottomLeft" activeCell="B7" sqref="B7"/>
    </sheetView>
  </sheetViews>
  <sheetFormatPr baseColWidth="10" defaultColWidth="11.42578125" defaultRowHeight="15" outlineLevelCol="1"/>
  <cols>
    <col min="1" max="1" width="17.28515625" style="131" bestFit="1" customWidth="1"/>
    <col min="2" max="2" width="18" style="132" bestFit="1" customWidth="1"/>
    <col min="3" max="3" width="27.85546875" style="401" customWidth="1"/>
    <col min="4" max="4" width="17.42578125" style="124" bestFit="1" customWidth="1"/>
    <col min="5" max="5" width="12.28515625" style="402" bestFit="1" customWidth="1"/>
    <col min="6" max="6" width="14.85546875" style="126" bestFit="1" customWidth="1"/>
    <col min="7" max="18" width="12.28515625" style="126" hidden="1" customWidth="1" outlineLevel="1"/>
    <col min="19" max="19" width="15.28515625" style="126" bestFit="1" customWidth="1" collapsed="1"/>
    <col min="20" max="20" width="16.42578125" style="126" bestFit="1" customWidth="1"/>
    <col min="21" max="32" width="11.85546875" style="126" hidden="1" customWidth="1" outlineLevel="1"/>
    <col min="33" max="33" width="14.85546875" style="126" customWidth="1" collapsed="1"/>
    <col min="34" max="34" width="16.42578125" style="126" customWidth="1"/>
    <col min="35" max="46" width="12.85546875" style="126" hidden="1" customWidth="1" outlineLevel="1"/>
    <col min="47" max="47" width="15.5703125" style="126" customWidth="1" collapsed="1"/>
    <col min="48" max="48" width="16.42578125" style="126" bestFit="1" customWidth="1"/>
    <col min="49" max="60" width="11.85546875" style="126" hidden="1" customWidth="1" outlineLevel="1"/>
    <col min="61" max="61" width="15" style="126" customWidth="1" collapsed="1"/>
    <col min="62" max="62" width="16.42578125" style="126" bestFit="1" customWidth="1"/>
    <col min="63" max="74" width="11.85546875" style="126" hidden="1" customWidth="1" outlineLevel="1"/>
    <col min="75" max="75" width="14.42578125" style="126" customWidth="1" collapsed="1"/>
    <col min="76" max="76" width="16.42578125" style="126" bestFit="1" customWidth="1"/>
    <col min="77" max="88" width="11.85546875" style="126" hidden="1" customWidth="1" outlineLevel="1"/>
    <col min="89" max="89" width="14.7109375" style="126" customWidth="1" collapsed="1"/>
    <col min="90" max="90" width="16.42578125" style="126" bestFit="1" customWidth="1"/>
    <col min="91" max="102" width="11.85546875" style="126" hidden="1" customWidth="1" outlineLevel="1"/>
    <col min="103" max="103" width="15.140625" style="126" customWidth="1" collapsed="1"/>
    <col min="104" max="104" width="16.42578125" style="126" bestFit="1" customWidth="1"/>
    <col min="105" max="116" width="11.85546875" style="126" hidden="1" customWidth="1" outlineLevel="1"/>
    <col min="117" max="117" width="14.7109375" style="126" customWidth="1" collapsed="1"/>
    <col min="118" max="118" width="16.42578125" style="126" bestFit="1" customWidth="1"/>
    <col min="119" max="130" width="11.85546875" style="126" hidden="1" customWidth="1" outlineLevel="1"/>
    <col min="131" max="131" width="15" style="126" customWidth="1" collapsed="1"/>
    <col min="132" max="132" width="21.42578125" style="126" bestFit="1" customWidth="1"/>
    <col min="133" max="16384" width="11.42578125" style="126"/>
  </cols>
  <sheetData>
    <row r="1" spans="1:132" ht="15.75" thickBot="1">
      <c r="A1" s="121" t="s">
        <v>87</v>
      </c>
      <c r="B1" s="122"/>
      <c r="S1" s="121" t="s">
        <v>87</v>
      </c>
      <c r="T1" s="127" t="e">
        <f t="shared" ref="T1:T6" si="0">SUMIF($B$10:$B$1479,S1,$T$10:$T$14079)</f>
        <v>#DIV/0!</v>
      </c>
      <c r="V1" s="487"/>
      <c r="W1" s="487"/>
      <c r="X1" s="487"/>
      <c r="Y1" s="487"/>
      <c r="Z1" s="487"/>
      <c r="AA1" s="487"/>
      <c r="AG1" s="121" t="s">
        <v>87</v>
      </c>
      <c r="AH1" s="127" t="e">
        <f t="shared" ref="AH1:AH6" si="1">SUMIF($B$10:$B$1479,AG1,$AH$10:$AH$14079)</f>
        <v>#DIV/0!</v>
      </c>
      <c r="AU1" s="121" t="s">
        <v>87</v>
      </c>
      <c r="AV1" s="127" t="e">
        <f t="shared" ref="AV1:AV6" si="2">SUMIF($B$10:$B$1479,AU1,$AV$10:$AV$14079)</f>
        <v>#DIV/0!</v>
      </c>
      <c r="BI1" s="121" t="s">
        <v>87</v>
      </c>
      <c r="BJ1" s="127" t="e">
        <f t="shared" ref="BJ1:BJ6" si="3">SUMIF($B$10:$B$1479,BI1,$BJ$10:$BJ$14079)</f>
        <v>#DIV/0!</v>
      </c>
      <c r="BW1" s="121" t="s">
        <v>87</v>
      </c>
      <c r="BX1" s="127" t="e">
        <f t="shared" ref="BX1:BX6" si="4">SUMIF($B$10:$B$1479,BW1,$BX$10:$BX$14079)</f>
        <v>#DIV/0!</v>
      </c>
      <c r="CK1" s="121" t="s">
        <v>87</v>
      </c>
      <c r="CL1" s="127" t="e">
        <f t="shared" ref="CL1:CL6" si="5">SUMIF($B$10:$B$1479,CK1,$CL$10:$CL$14079)</f>
        <v>#DIV/0!</v>
      </c>
      <c r="CY1" s="121" t="s">
        <v>87</v>
      </c>
      <c r="CZ1" s="127" t="e">
        <f t="shared" ref="CZ1:CZ6" si="6">SUMIF($B$10:$B$1479,CY1,$CZ$10:$CZ$14079)</f>
        <v>#DIV/0!</v>
      </c>
      <c r="DM1" s="121" t="s">
        <v>87</v>
      </c>
      <c r="DN1" s="127" t="e">
        <f t="shared" ref="DN1:DN6" si="7">SUMIF($B$10:$B$1479,DM1,$DN$10:$DN$14079)</f>
        <v>#DIV/0!</v>
      </c>
      <c r="EA1" s="121" t="s">
        <v>87</v>
      </c>
      <c r="EB1" s="127" t="e">
        <f t="shared" ref="EB1:EB6" si="8">SUMIF($B$10:$B$1479,EA1,$EB$10:$EB$14079)</f>
        <v>#DIV/0!</v>
      </c>
    </row>
    <row r="2" spans="1:132" ht="20.25" thickTop="1" thickBot="1">
      <c r="A2" s="121" t="s">
        <v>88</v>
      </c>
      <c r="B2" s="122"/>
      <c r="C2" s="128" t="s">
        <v>89</v>
      </c>
      <c r="E2" s="129">
        <v>43831</v>
      </c>
      <c r="G2" s="130"/>
      <c r="H2" s="130"/>
      <c r="S2" s="121" t="s">
        <v>88</v>
      </c>
      <c r="T2" s="127" t="e">
        <f t="shared" si="0"/>
        <v>#DIV/0!</v>
      </c>
      <c r="AG2" s="121" t="s">
        <v>88</v>
      </c>
      <c r="AH2" s="127" t="e">
        <f t="shared" si="1"/>
        <v>#DIV/0!</v>
      </c>
      <c r="AU2" s="121" t="s">
        <v>88</v>
      </c>
      <c r="AV2" s="127" t="e">
        <f t="shared" si="2"/>
        <v>#DIV/0!</v>
      </c>
      <c r="BI2" s="121" t="s">
        <v>88</v>
      </c>
      <c r="BJ2" s="127" t="e">
        <f t="shared" si="3"/>
        <v>#DIV/0!</v>
      </c>
      <c r="BW2" s="121" t="s">
        <v>88</v>
      </c>
      <c r="BX2" s="127" t="e">
        <f t="shared" si="4"/>
        <v>#DIV/0!</v>
      </c>
      <c r="CK2" s="121" t="s">
        <v>88</v>
      </c>
      <c r="CL2" s="127" t="e">
        <f t="shared" si="5"/>
        <v>#DIV/0!</v>
      </c>
      <c r="CY2" s="121" t="s">
        <v>88</v>
      </c>
      <c r="CZ2" s="127" t="e">
        <f t="shared" si="6"/>
        <v>#DIV/0!</v>
      </c>
      <c r="DM2" s="121" t="s">
        <v>88</v>
      </c>
      <c r="DN2" s="127" t="e">
        <f t="shared" si="7"/>
        <v>#DIV/0!</v>
      </c>
      <c r="EA2" s="121" t="s">
        <v>88</v>
      </c>
      <c r="EB2" s="127" t="e">
        <f t="shared" si="8"/>
        <v>#DIV/0!</v>
      </c>
    </row>
    <row r="3" spans="1:132" ht="16.5" thickTop="1" thickBot="1">
      <c r="A3" s="121" t="s">
        <v>90</v>
      </c>
      <c r="B3" s="122"/>
      <c r="E3" s="129"/>
      <c r="S3" s="121" t="s">
        <v>90</v>
      </c>
      <c r="T3" s="127" t="e">
        <f t="shared" si="0"/>
        <v>#DIV/0!</v>
      </c>
      <c r="V3" s="487"/>
      <c r="W3" s="487"/>
      <c r="X3" s="487"/>
      <c r="Y3" s="487"/>
      <c r="Z3" s="487"/>
      <c r="AG3" s="121" t="s">
        <v>90</v>
      </c>
      <c r="AH3" s="127" t="e">
        <f t="shared" si="1"/>
        <v>#DIV/0!</v>
      </c>
      <c r="AU3" s="121" t="s">
        <v>90</v>
      </c>
      <c r="AV3" s="127" t="e">
        <f t="shared" si="2"/>
        <v>#DIV/0!</v>
      </c>
      <c r="BI3" s="121" t="s">
        <v>90</v>
      </c>
      <c r="BJ3" s="127" t="e">
        <f t="shared" si="3"/>
        <v>#DIV/0!</v>
      </c>
      <c r="BW3" s="121" t="s">
        <v>90</v>
      </c>
      <c r="BX3" s="127" t="e">
        <f t="shared" si="4"/>
        <v>#DIV/0!</v>
      </c>
      <c r="CK3" s="121" t="s">
        <v>90</v>
      </c>
      <c r="CL3" s="127" t="e">
        <f t="shared" si="5"/>
        <v>#DIV/0!</v>
      </c>
      <c r="CY3" s="121" t="s">
        <v>90</v>
      </c>
      <c r="CZ3" s="127" t="e">
        <f t="shared" si="6"/>
        <v>#DIV/0!</v>
      </c>
      <c r="DM3" s="121" t="s">
        <v>90</v>
      </c>
      <c r="DN3" s="127" t="e">
        <f t="shared" si="7"/>
        <v>#DIV/0!</v>
      </c>
      <c r="EA3" s="121" t="s">
        <v>90</v>
      </c>
      <c r="EB3" s="127" t="e">
        <f t="shared" si="8"/>
        <v>#DIV/0!</v>
      </c>
    </row>
    <row r="4" spans="1:132" ht="16.5" thickTop="1" thickBot="1">
      <c r="A4" s="121" t="s">
        <v>91</v>
      </c>
      <c r="B4" s="122"/>
      <c r="S4" s="121" t="s">
        <v>91</v>
      </c>
      <c r="T4" s="127" t="e">
        <f t="shared" si="0"/>
        <v>#DIV/0!</v>
      </c>
      <c r="V4" s="488"/>
      <c r="W4" s="488"/>
      <c r="X4" s="488"/>
      <c r="Y4" s="488"/>
      <c r="AG4" s="121" t="s">
        <v>91</v>
      </c>
      <c r="AH4" s="127" t="e">
        <f t="shared" si="1"/>
        <v>#DIV/0!</v>
      </c>
      <c r="AU4" s="121" t="s">
        <v>91</v>
      </c>
      <c r="AV4" s="127" t="e">
        <f t="shared" si="2"/>
        <v>#DIV/0!</v>
      </c>
      <c r="BI4" s="121" t="s">
        <v>91</v>
      </c>
      <c r="BJ4" s="127" t="e">
        <f t="shared" si="3"/>
        <v>#DIV/0!</v>
      </c>
      <c r="BW4" s="121" t="s">
        <v>91</v>
      </c>
      <c r="BX4" s="127" t="e">
        <f t="shared" si="4"/>
        <v>#DIV/0!</v>
      </c>
      <c r="CK4" s="121" t="s">
        <v>91</v>
      </c>
      <c r="CL4" s="127" t="e">
        <f t="shared" si="5"/>
        <v>#DIV/0!</v>
      </c>
      <c r="CY4" s="121" t="s">
        <v>91</v>
      </c>
      <c r="CZ4" s="127" t="e">
        <f t="shared" si="6"/>
        <v>#DIV/0!</v>
      </c>
      <c r="DM4" s="121" t="s">
        <v>91</v>
      </c>
      <c r="DN4" s="127" t="e">
        <f t="shared" si="7"/>
        <v>#DIV/0!</v>
      </c>
      <c r="EA4" s="121" t="s">
        <v>91</v>
      </c>
      <c r="EB4" s="127" t="e">
        <f t="shared" si="8"/>
        <v>#DIV/0!</v>
      </c>
    </row>
    <row r="5" spans="1:132" ht="16.5" thickTop="1" thickBot="1">
      <c r="A5" s="121" t="s">
        <v>92</v>
      </c>
      <c r="B5" s="122"/>
      <c r="F5" s="130"/>
      <c r="S5" s="121" t="s">
        <v>92</v>
      </c>
      <c r="T5" s="127">
        <f t="shared" si="0"/>
        <v>0</v>
      </c>
      <c r="V5" s="402"/>
      <c r="W5" s="402"/>
      <c r="X5" s="402"/>
      <c r="Y5" s="402"/>
      <c r="AG5" s="121" t="s">
        <v>92</v>
      </c>
      <c r="AH5" s="127">
        <f t="shared" si="1"/>
        <v>0</v>
      </c>
      <c r="AU5" s="121" t="s">
        <v>92</v>
      </c>
      <c r="AV5" s="127">
        <f t="shared" si="2"/>
        <v>0</v>
      </c>
      <c r="BI5" s="121" t="s">
        <v>92</v>
      </c>
      <c r="BJ5" s="127">
        <f t="shared" si="3"/>
        <v>0</v>
      </c>
      <c r="BW5" s="121" t="s">
        <v>92</v>
      </c>
      <c r="BX5" s="127">
        <f t="shared" si="4"/>
        <v>0</v>
      </c>
      <c r="CK5" s="121" t="s">
        <v>92</v>
      </c>
      <c r="CL5" s="127">
        <f t="shared" si="5"/>
        <v>0</v>
      </c>
      <c r="CY5" s="121" t="s">
        <v>92</v>
      </c>
      <c r="CZ5" s="127">
        <f t="shared" si="6"/>
        <v>0</v>
      </c>
      <c r="DM5" s="121" t="s">
        <v>92</v>
      </c>
      <c r="DN5" s="127">
        <f t="shared" si="7"/>
        <v>0</v>
      </c>
      <c r="EA5" s="121" t="s">
        <v>92</v>
      </c>
      <c r="EB5" s="127">
        <f t="shared" si="8"/>
        <v>0</v>
      </c>
    </row>
    <row r="6" spans="1:132" ht="16.5" thickTop="1" thickBot="1">
      <c r="A6" s="121" t="s">
        <v>93</v>
      </c>
      <c r="B6" s="122"/>
      <c r="G6" s="130"/>
      <c r="S6" s="121"/>
      <c r="T6" s="127">
        <f t="shared" si="0"/>
        <v>0</v>
      </c>
      <c r="AG6" s="121"/>
      <c r="AH6" s="127">
        <f t="shared" si="1"/>
        <v>0</v>
      </c>
      <c r="AU6" s="121"/>
      <c r="AV6" s="127">
        <f t="shared" si="2"/>
        <v>0</v>
      </c>
      <c r="BI6" s="121"/>
      <c r="BJ6" s="127">
        <f t="shared" si="3"/>
        <v>0</v>
      </c>
      <c r="BW6" s="121"/>
      <c r="BX6" s="127">
        <f t="shared" si="4"/>
        <v>0</v>
      </c>
      <c r="CK6" s="121"/>
      <c r="CL6" s="127">
        <f t="shared" si="5"/>
        <v>0</v>
      </c>
      <c r="CY6" s="121"/>
      <c r="CZ6" s="127">
        <f t="shared" si="6"/>
        <v>0</v>
      </c>
      <c r="DM6" s="121"/>
      <c r="DN6" s="127">
        <f t="shared" si="7"/>
        <v>0</v>
      </c>
      <c r="EA6" s="121"/>
      <c r="EB6" s="127">
        <f t="shared" si="8"/>
        <v>0</v>
      </c>
    </row>
    <row r="7" spans="1:132" ht="23.25" customHeight="1" thickTop="1" thickBot="1"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</row>
    <row r="8" spans="1:132" ht="16.5" thickBot="1">
      <c r="D8" s="133">
        <f>SUBTOTAL(9,D10:D489)</f>
        <v>2991100</v>
      </c>
      <c r="G8" s="134" t="e">
        <f t="shared" ref="G8:BR8" si="9">SUBTOTAL(9,G10:G489)</f>
        <v>#DIV/0!</v>
      </c>
      <c r="H8" s="135" t="e">
        <f t="shared" si="9"/>
        <v>#DIV/0!</v>
      </c>
      <c r="I8" s="135" t="e">
        <f t="shared" si="9"/>
        <v>#DIV/0!</v>
      </c>
      <c r="J8" s="135" t="e">
        <f t="shared" si="9"/>
        <v>#DIV/0!</v>
      </c>
      <c r="K8" s="135" t="e">
        <f t="shared" si="9"/>
        <v>#DIV/0!</v>
      </c>
      <c r="L8" s="135" t="e">
        <f t="shared" si="9"/>
        <v>#DIV/0!</v>
      </c>
      <c r="M8" s="135" t="e">
        <f t="shared" si="9"/>
        <v>#DIV/0!</v>
      </c>
      <c r="N8" s="135" t="e">
        <f t="shared" si="9"/>
        <v>#DIV/0!</v>
      </c>
      <c r="O8" s="135" t="e">
        <f t="shared" si="9"/>
        <v>#DIV/0!</v>
      </c>
      <c r="P8" s="135" t="e">
        <f t="shared" si="9"/>
        <v>#DIV/0!</v>
      </c>
      <c r="Q8" s="135" t="e">
        <f t="shared" si="9"/>
        <v>#DIV/0!</v>
      </c>
      <c r="R8" s="136" t="e">
        <f t="shared" si="9"/>
        <v>#DIV/0!</v>
      </c>
      <c r="S8" s="137" t="e">
        <f t="shared" si="9"/>
        <v>#DIV/0!</v>
      </c>
      <c r="T8" s="138" t="e">
        <f t="shared" si="9"/>
        <v>#DIV/0!</v>
      </c>
      <c r="U8" s="139" t="e">
        <f t="shared" si="9"/>
        <v>#DIV/0!</v>
      </c>
      <c r="V8" s="140" t="e">
        <f t="shared" si="9"/>
        <v>#DIV/0!</v>
      </c>
      <c r="W8" s="140" t="e">
        <f t="shared" si="9"/>
        <v>#DIV/0!</v>
      </c>
      <c r="X8" s="140" t="e">
        <f t="shared" si="9"/>
        <v>#DIV/0!</v>
      </c>
      <c r="Y8" s="140" t="e">
        <f t="shared" si="9"/>
        <v>#DIV/0!</v>
      </c>
      <c r="Z8" s="140" t="e">
        <f t="shared" si="9"/>
        <v>#DIV/0!</v>
      </c>
      <c r="AA8" s="140" t="e">
        <f t="shared" si="9"/>
        <v>#DIV/0!</v>
      </c>
      <c r="AB8" s="140" t="e">
        <f t="shared" si="9"/>
        <v>#DIV/0!</v>
      </c>
      <c r="AC8" s="140" t="e">
        <f t="shared" si="9"/>
        <v>#DIV/0!</v>
      </c>
      <c r="AD8" s="140" t="e">
        <f t="shared" si="9"/>
        <v>#DIV/0!</v>
      </c>
      <c r="AE8" s="140" t="e">
        <f t="shared" si="9"/>
        <v>#DIV/0!</v>
      </c>
      <c r="AF8" s="141" t="e">
        <f t="shared" si="9"/>
        <v>#DIV/0!</v>
      </c>
      <c r="AG8" s="137" t="e">
        <f t="shared" si="9"/>
        <v>#DIV/0!</v>
      </c>
      <c r="AH8" s="138" t="e">
        <f t="shared" si="9"/>
        <v>#DIV/0!</v>
      </c>
      <c r="AI8" s="142" t="e">
        <f t="shared" si="9"/>
        <v>#DIV/0!</v>
      </c>
      <c r="AJ8" s="135" t="e">
        <f t="shared" si="9"/>
        <v>#DIV/0!</v>
      </c>
      <c r="AK8" s="135" t="e">
        <f t="shared" si="9"/>
        <v>#DIV/0!</v>
      </c>
      <c r="AL8" s="135" t="e">
        <f t="shared" si="9"/>
        <v>#DIV/0!</v>
      </c>
      <c r="AM8" s="135" t="e">
        <f t="shared" si="9"/>
        <v>#DIV/0!</v>
      </c>
      <c r="AN8" s="135" t="e">
        <f t="shared" si="9"/>
        <v>#DIV/0!</v>
      </c>
      <c r="AO8" s="135" t="e">
        <f t="shared" si="9"/>
        <v>#DIV/0!</v>
      </c>
      <c r="AP8" s="135" t="e">
        <f t="shared" si="9"/>
        <v>#DIV/0!</v>
      </c>
      <c r="AQ8" s="135" t="e">
        <f t="shared" si="9"/>
        <v>#DIV/0!</v>
      </c>
      <c r="AR8" s="135" t="e">
        <f t="shared" si="9"/>
        <v>#DIV/0!</v>
      </c>
      <c r="AS8" s="135" t="e">
        <f t="shared" si="9"/>
        <v>#DIV/0!</v>
      </c>
      <c r="AT8" s="143" t="e">
        <f t="shared" si="9"/>
        <v>#DIV/0!</v>
      </c>
      <c r="AU8" s="137" t="e">
        <f t="shared" si="9"/>
        <v>#DIV/0!</v>
      </c>
      <c r="AV8" s="138" t="e">
        <f t="shared" si="9"/>
        <v>#DIV/0!</v>
      </c>
      <c r="AW8" s="139" t="e">
        <f t="shared" si="9"/>
        <v>#DIV/0!</v>
      </c>
      <c r="AX8" s="140" t="e">
        <f t="shared" si="9"/>
        <v>#DIV/0!</v>
      </c>
      <c r="AY8" s="140" t="e">
        <f t="shared" si="9"/>
        <v>#DIV/0!</v>
      </c>
      <c r="AZ8" s="140" t="e">
        <f t="shared" si="9"/>
        <v>#DIV/0!</v>
      </c>
      <c r="BA8" s="140" t="e">
        <f t="shared" si="9"/>
        <v>#DIV/0!</v>
      </c>
      <c r="BB8" s="140" t="e">
        <f t="shared" si="9"/>
        <v>#DIV/0!</v>
      </c>
      <c r="BC8" s="140" t="e">
        <f t="shared" si="9"/>
        <v>#DIV/0!</v>
      </c>
      <c r="BD8" s="140" t="e">
        <f t="shared" si="9"/>
        <v>#DIV/0!</v>
      </c>
      <c r="BE8" s="140" t="e">
        <f t="shared" si="9"/>
        <v>#DIV/0!</v>
      </c>
      <c r="BF8" s="140" t="e">
        <f t="shared" si="9"/>
        <v>#DIV/0!</v>
      </c>
      <c r="BG8" s="140" t="e">
        <f t="shared" si="9"/>
        <v>#DIV/0!</v>
      </c>
      <c r="BH8" s="141" t="e">
        <f t="shared" si="9"/>
        <v>#DIV/0!</v>
      </c>
      <c r="BI8" s="137" t="e">
        <f t="shared" si="9"/>
        <v>#DIV/0!</v>
      </c>
      <c r="BJ8" s="138" t="e">
        <f t="shared" si="9"/>
        <v>#DIV/0!</v>
      </c>
      <c r="BK8" s="142" t="e">
        <f t="shared" si="9"/>
        <v>#DIV/0!</v>
      </c>
      <c r="BL8" s="135" t="e">
        <f t="shared" si="9"/>
        <v>#DIV/0!</v>
      </c>
      <c r="BM8" s="135" t="e">
        <f t="shared" si="9"/>
        <v>#DIV/0!</v>
      </c>
      <c r="BN8" s="135" t="e">
        <f t="shared" si="9"/>
        <v>#DIV/0!</v>
      </c>
      <c r="BO8" s="135" t="e">
        <f t="shared" si="9"/>
        <v>#DIV/0!</v>
      </c>
      <c r="BP8" s="135" t="e">
        <f t="shared" si="9"/>
        <v>#DIV/0!</v>
      </c>
      <c r="BQ8" s="135" t="e">
        <f t="shared" si="9"/>
        <v>#DIV/0!</v>
      </c>
      <c r="BR8" s="135" t="e">
        <f t="shared" si="9"/>
        <v>#DIV/0!</v>
      </c>
      <c r="BS8" s="135" t="e">
        <f t="shared" ref="BS8:EB8" si="10">SUBTOTAL(9,BS10:BS489)</f>
        <v>#DIV/0!</v>
      </c>
      <c r="BT8" s="135" t="e">
        <f t="shared" si="10"/>
        <v>#DIV/0!</v>
      </c>
      <c r="BU8" s="135" t="e">
        <f t="shared" si="10"/>
        <v>#DIV/0!</v>
      </c>
      <c r="BV8" s="143" t="e">
        <f t="shared" si="10"/>
        <v>#DIV/0!</v>
      </c>
      <c r="BW8" s="137" t="e">
        <f t="shared" si="10"/>
        <v>#DIV/0!</v>
      </c>
      <c r="BX8" s="138" t="e">
        <f t="shared" si="10"/>
        <v>#DIV/0!</v>
      </c>
      <c r="BY8" s="142" t="e">
        <f t="shared" si="10"/>
        <v>#DIV/0!</v>
      </c>
      <c r="BZ8" s="135" t="e">
        <f t="shared" si="10"/>
        <v>#DIV/0!</v>
      </c>
      <c r="CA8" s="135" t="e">
        <f t="shared" si="10"/>
        <v>#DIV/0!</v>
      </c>
      <c r="CB8" s="135" t="e">
        <f t="shared" si="10"/>
        <v>#DIV/0!</v>
      </c>
      <c r="CC8" s="135" t="e">
        <f t="shared" si="10"/>
        <v>#DIV/0!</v>
      </c>
      <c r="CD8" s="135" t="e">
        <f t="shared" si="10"/>
        <v>#DIV/0!</v>
      </c>
      <c r="CE8" s="135" t="e">
        <f t="shared" si="10"/>
        <v>#DIV/0!</v>
      </c>
      <c r="CF8" s="135" t="e">
        <f t="shared" si="10"/>
        <v>#DIV/0!</v>
      </c>
      <c r="CG8" s="135" t="e">
        <f t="shared" si="10"/>
        <v>#DIV/0!</v>
      </c>
      <c r="CH8" s="135" t="e">
        <f t="shared" si="10"/>
        <v>#DIV/0!</v>
      </c>
      <c r="CI8" s="135" t="e">
        <f t="shared" si="10"/>
        <v>#DIV/0!</v>
      </c>
      <c r="CJ8" s="143" t="e">
        <f t="shared" si="10"/>
        <v>#DIV/0!</v>
      </c>
      <c r="CK8" s="137" t="e">
        <f t="shared" si="10"/>
        <v>#DIV/0!</v>
      </c>
      <c r="CL8" s="138" t="e">
        <f t="shared" si="10"/>
        <v>#DIV/0!</v>
      </c>
      <c r="CM8" s="142" t="e">
        <f t="shared" si="10"/>
        <v>#DIV/0!</v>
      </c>
      <c r="CN8" s="135" t="e">
        <f t="shared" si="10"/>
        <v>#DIV/0!</v>
      </c>
      <c r="CO8" s="135" t="e">
        <f t="shared" si="10"/>
        <v>#DIV/0!</v>
      </c>
      <c r="CP8" s="135" t="e">
        <f t="shared" si="10"/>
        <v>#DIV/0!</v>
      </c>
      <c r="CQ8" s="135" t="e">
        <f t="shared" si="10"/>
        <v>#DIV/0!</v>
      </c>
      <c r="CR8" s="135" t="e">
        <f t="shared" si="10"/>
        <v>#DIV/0!</v>
      </c>
      <c r="CS8" s="135" t="e">
        <f t="shared" si="10"/>
        <v>#DIV/0!</v>
      </c>
      <c r="CT8" s="135" t="e">
        <f t="shared" si="10"/>
        <v>#DIV/0!</v>
      </c>
      <c r="CU8" s="135" t="e">
        <f t="shared" si="10"/>
        <v>#DIV/0!</v>
      </c>
      <c r="CV8" s="135" t="e">
        <f t="shared" si="10"/>
        <v>#DIV/0!</v>
      </c>
      <c r="CW8" s="135" t="e">
        <f t="shared" si="10"/>
        <v>#DIV/0!</v>
      </c>
      <c r="CX8" s="143" t="e">
        <f t="shared" si="10"/>
        <v>#DIV/0!</v>
      </c>
      <c r="CY8" s="137" t="e">
        <f t="shared" si="10"/>
        <v>#DIV/0!</v>
      </c>
      <c r="CZ8" s="138" t="e">
        <f t="shared" si="10"/>
        <v>#DIV/0!</v>
      </c>
      <c r="DA8" s="142" t="e">
        <f t="shared" si="10"/>
        <v>#DIV/0!</v>
      </c>
      <c r="DB8" s="135" t="e">
        <f t="shared" si="10"/>
        <v>#DIV/0!</v>
      </c>
      <c r="DC8" s="135" t="e">
        <f t="shared" si="10"/>
        <v>#DIV/0!</v>
      </c>
      <c r="DD8" s="135" t="e">
        <f t="shared" si="10"/>
        <v>#DIV/0!</v>
      </c>
      <c r="DE8" s="135" t="e">
        <f t="shared" si="10"/>
        <v>#DIV/0!</v>
      </c>
      <c r="DF8" s="135" t="e">
        <f t="shared" si="10"/>
        <v>#DIV/0!</v>
      </c>
      <c r="DG8" s="135" t="e">
        <f t="shared" si="10"/>
        <v>#DIV/0!</v>
      </c>
      <c r="DH8" s="135" t="e">
        <f t="shared" si="10"/>
        <v>#DIV/0!</v>
      </c>
      <c r="DI8" s="135" t="e">
        <f t="shared" si="10"/>
        <v>#DIV/0!</v>
      </c>
      <c r="DJ8" s="135" t="e">
        <f t="shared" si="10"/>
        <v>#DIV/0!</v>
      </c>
      <c r="DK8" s="135" t="e">
        <f t="shared" si="10"/>
        <v>#DIV/0!</v>
      </c>
      <c r="DL8" s="143" t="e">
        <f t="shared" si="10"/>
        <v>#DIV/0!</v>
      </c>
      <c r="DM8" s="137" t="e">
        <f t="shared" si="10"/>
        <v>#DIV/0!</v>
      </c>
      <c r="DN8" s="138" t="e">
        <f t="shared" si="10"/>
        <v>#DIV/0!</v>
      </c>
      <c r="DO8" s="142" t="e">
        <f t="shared" si="10"/>
        <v>#DIV/0!</v>
      </c>
      <c r="DP8" s="135" t="e">
        <f t="shared" si="10"/>
        <v>#DIV/0!</v>
      </c>
      <c r="DQ8" s="135" t="e">
        <f t="shared" si="10"/>
        <v>#DIV/0!</v>
      </c>
      <c r="DR8" s="135" t="e">
        <f t="shared" si="10"/>
        <v>#DIV/0!</v>
      </c>
      <c r="DS8" s="135" t="e">
        <f t="shared" si="10"/>
        <v>#DIV/0!</v>
      </c>
      <c r="DT8" s="135" t="e">
        <f t="shared" si="10"/>
        <v>#DIV/0!</v>
      </c>
      <c r="DU8" s="135" t="e">
        <f t="shared" si="10"/>
        <v>#DIV/0!</v>
      </c>
      <c r="DV8" s="135" t="e">
        <f t="shared" si="10"/>
        <v>#DIV/0!</v>
      </c>
      <c r="DW8" s="135" t="e">
        <f t="shared" si="10"/>
        <v>#DIV/0!</v>
      </c>
      <c r="DX8" s="135" t="e">
        <f t="shared" si="10"/>
        <v>#DIV/0!</v>
      </c>
      <c r="DY8" s="135" t="e">
        <f t="shared" si="10"/>
        <v>#DIV/0!</v>
      </c>
      <c r="DZ8" s="143" t="e">
        <f t="shared" si="10"/>
        <v>#DIV/0!</v>
      </c>
      <c r="EA8" s="137" t="e">
        <f t="shared" si="10"/>
        <v>#DIV/0!</v>
      </c>
      <c r="EB8" s="138" t="e">
        <f t="shared" si="10"/>
        <v>#DIV/0!</v>
      </c>
    </row>
    <row r="9" spans="1:132" s="162" customFormat="1" ht="30.75" thickBot="1">
      <c r="A9" s="144" t="s">
        <v>94</v>
      </c>
      <c r="B9" s="145" t="s">
        <v>95</v>
      </c>
      <c r="C9" s="146" t="s">
        <v>96</v>
      </c>
      <c r="D9" s="147" t="s">
        <v>33</v>
      </c>
      <c r="E9" s="146" t="s">
        <v>97</v>
      </c>
      <c r="F9" s="148" t="s">
        <v>98</v>
      </c>
      <c r="G9" s="149">
        <f>EOMONTH($E$2,0)</f>
        <v>43861</v>
      </c>
      <c r="H9" s="150">
        <f>EOMONTH(G9,1)</f>
        <v>43890</v>
      </c>
      <c r="I9" s="151">
        <f t="shared" ref="I9:R9" si="11">EOMONTH(H9,1)</f>
        <v>43921</v>
      </c>
      <c r="J9" s="151">
        <f t="shared" si="11"/>
        <v>43951</v>
      </c>
      <c r="K9" s="151">
        <f t="shared" si="11"/>
        <v>43982</v>
      </c>
      <c r="L9" s="151">
        <f t="shared" si="11"/>
        <v>44012</v>
      </c>
      <c r="M9" s="151">
        <f t="shared" si="11"/>
        <v>44043</v>
      </c>
      <c r="N9" s="151">
        <f t="shared" si="11"/>
        <v>44074</v>
      </c>
      <c r="O9" s="151">
        <f t="shared" si="11"/>
        <v>44104</v>
      </c>
      <c r="P9" s="151">
        <f t="shared" si="11"/>
        <v>44135</v>
      </c>
      <c r="Q9" s="151">
        <f t="shared" si="11"/>
        <v>44165</v>
      </c>
      <c r="R9" s="152">
        <f t="shared" si="11"/>
        <v>44196</v>
      </c>
      <c r="S9" s="153" t="str">
        <f>"Amortissement"&amp;" "&amp;YEAR(E2)+1</f>
        <v>Amortissement 2021</v>
      </c>
      <c r="T9" s="154" t="str">
        <f>"Valeur résiduelle"&amp;" "&amp;YEAR(E2)+1</f>
        <v>Valeur résiduelle 2021</v>
      </c>
      <c r="U9" s="155">
        <f>EOMONTH(R9,1)</f>
        <v>44227</v>
      </c>
      <c r="V9" s="156">
        <f>EOMONTH(U9,1)</f>
        <v>44255</v>
      </c>
      <c r="W9" s="156">
        <f t="shared" ref="W9:AF9" si="12">EOMONTH(V9,1)</f>
        <v>44286</v>
      </c>
      <c r="X9" s="156">
        <f t="shared" si="12"/>
        <v>44316</v>
      </c>
      <c r="Y9" s="156">
        <f t="shared" si="12"/>
        <v>44347</v>
      </c>
      <c r="Z9" s="156">
        <f t="shared" si="12"/>
        <v>44377</v>
      </c>
      <c r="AA9" s="156">
        <f t="shared" si="12"/>
        <v>44408</v>
      </c>
      <c r="AB9" s="156">
        <f t="shared" si="12"/>
        <v>44439</v>
      </c>
      <c r="AC9" s="156">
        <f t="shared" si="12"/>
        <v>44469</v>
      </c>
      <c r="AD9" s="156">
        <f t="shared" si="12"/>
        <v>44500</v>
      </c>
      <c r="AE9" s="156">
        <f t="shared" si="12"/>
        <v>44530</v>
      </c>
      <c r="AF9" s="157">
        <f t="shared" si="12"/>
        <v>44561</v>
      </c>
      <c r="AG9" s="158" t="str">
        <f>"Amortissement"&amp;" "&amp;YEAR(E2)+2</f>
        <v>Amortissement 2022</v>
      </c>
      <c r="AH9" s="159" t="str">
        <f>"Valeur résiduelle"&amp;" "&amp;YEAR(E2)+2</f>
        <v>Valeur résiduelle 2022</v>
      </c>
      <c r="AI9" s="160">
        <f>EOMONTH(AF9,1)</f>
        <v>44592</v>
      </c>
      <c r="AJ9" s="151">
        <f>EOMONTH(AI9,1)</f>
        <v>44620</v>
      </c>
      <c r="AK9" s="151">
        <f t="shared" ref="AK9:AT9" si="13">EOMONTH(AJ9,1)</f>
        <v>44651</v>
      </c>
      <c r="AL9" s="151">
        <f t="shared" si="13"/>
        <v>44681</v>
      </c>
      <c r="AM9" s="151">
        <f t="shared" si="13"/>
        <v>44712</v>
      </c>
      <c r="AN9" s="151">
        <f t="shared" si="13"/>
        <v>44742</v>
      </c>
      <c r="AO9" s="151">
        <f t="shared" si="13"/>
        <v>44773</v>
      </c>
      <c r="AP9" s="151">
        <f t="shared" si="13"/>
        <v>44804</v>
      </c>
      <c r="AQ9" s="151">
        <f t="shared" si="13"/>
        <v>44834</v>
      </c>
      <c r="AR9" s="151">
        <f t="shared" si="13"/>
        <v>44865</v>
      </c>
      <c r="AS9" s="151">
        <f t="shared" si="13"/>
        <v>44895</v>
      </c>
      <c r="AT9" s="161">
        <f t="shared" si="13"/>
        <v>44926</v>
      </c>
      <c r="AU9" s="153" t="str">
        <f>"Amortissement"&amp;" "&amp;YEAR(E2)+3</f>
        <v>Amortissement 2023</v>
      </c>
      <c r="AV9" s="154" t="str">
        <f>"Valeur résiduelle"&amp;" "&amp;YEAR(E2)+3</f>
        <v>Valeur résiduelle 2023</v>
      </c>
      <c r="AW9" s="155">
        <f>EOMONTH(AT9,1)</f>
        <v>44957</v>
      </c>
      <c r="AX9" s="156">
        <f>EOMONTH(AW9,1)</f>
        <v>44985</v>
      </c>
      <c r="AY9" s="156">
        <f t="shared" ref="AY9:BH9" si="14">EOMONTH(AX9,1)</f>
        <v>45016</v>
      </c>
      <c r="AZ9" s="156">
        <f t="shared" si="14"/>
        <v>45046</v>
      </c>
      <c r="BA9" s="156">
        <f t="shared" si="14"/>
        <v>45077</v>
      </c>
      <c r="BB9" s="156">
        <f t="shared" si="14"/>
        <v>45107</v>
      </c>
      <c r="BC9" s="156">
        <f t="shared" si="14"/>
        <v>45138</v>
      </c>
      <c r="BD9" s="156">
        <f t="shared" si="14"/>
        <v>45169</v>
      </c>
      <c r="BE9" s="156">
        <f t="shared" si="14"/>
        <v>45199</v>
      </c>
      <c r="BF9" s="156">
        <f t="shared" si="14"/>
        <v>45230</v>
      </c>
      <c r="BG9" s="156">
        <f t="shared" si="14"/>
        <v>45260</v>
      </c>
      <c r="BH9" s="157">
        <f t="shared" si="14"/>
        <v>45291</v>
      </c>
      <c r="BI9" s="158" t="str">
        <f>"Amortissement"&amp;" "&amp;YEAR(E2)+4</f>
        <v>Amortissement 2024</v>
      </c>
      <c r="BJ9" s="159" t="str">
        <f>"Valeur résiduelle"&amp;" "&amp;YEAR(E2)+4</f>
        <v>Valeur résiduelle 2024</v>
      </c>
      <c r="BK9" s="160">
        <f>EOMONTH(BH9,1)</f>
        <v>45322</v>
      </c>
      <c r="BL9" s="151">
        <f>EOMONTH(BK9,1)</f>
        <v>45351</v>
      </c>
      <c r="BM9" s="151">
        <f t="shared" ref="BM9:BV9" si="15">EOMONTH(BL9,1)</f>
        <v>45382</v>
      </c>
      <c r="BN9" s="151">
        <f t="shared" si="15"/>
        <v>45412</v>
      </c>
      <c r="BO9" s="151">
        <f t="shared" si="15"/>
        <v>45443</v>
      </c>
      <c r="BP9" s="151">
        <f t="shared" si="15"/>
        <v>45473</v>
      </c>
      <c r="BQ9" s="151">
        <f t="shared" si="15"/>
        <v>45504</v>
      </c>
      <c r="BR9" s="151">
        <f t="shared" si="15"/>
        <v>45535</v>
      </c>
      <c r="BS9" s="151">
        <f t="shared" si="15"/>
        <v>45565</v>
      </c>
      <c r="BT9" s="151">
        <f t="shared" si="15"/>
        <v>45596</v>
      </c>
      <c r="BU9" s="151">
        <f t="shared" si="15"/>
        <v>45626</v>
      </c>
      <c r="BV9" s="161">
        <f t="shared" si="15"/>
        <v>45657</v>
      </c>
      <c r="BW9" s="153" t="str">
        <f>"Amortissement"&amp;" "&amp;YEAR(E2)+5</f>
        <v>Amortissement 2025</v>
      </c>
      <c r="BX9" s="154" t="str">
        <f>"Valeur résiduelle"&amp;" "&amp;YEAR(E2)+5</f>
        <v>Valeur résiduelle 2025</v>
      </c>
      <c r="BY9" s="155">
        <f>EOMONTH(BV9,1)</f>
        <v>45688</v>
      </c>
      <c r="BZ9" s="156">
        <f>EOMONTH(BY9,1)</f>
        <v>45716</v>
      </c>
      <c r="CA9" s="156">
        <f t="shared" ref="CA9:CJ9" si="16">EOMONTH(BZ9,1)</f>
        <v>45747</v>
      </c>
      <c r="CB9" s="156">
        <f t="shared" si="16"/>
        <v>45777</v>
      </c>
      <c r="CC9" s="156">
        <f t="shared" si="16"/>
        <v>45808</v>
      </c>
      <c r="CD9" s="156">
        <f t="shared" si="16"/>
        <v>45838</v>
      </c>
      <c r="CE9" s="156">
        <f t="shared" si="16"/>
        <v>45869</v>
      </c>
      <c r="CF9" s="156">
        <f t="shared" si="16"/>
        <v>45900</v>
      </c>
      <c r="CG9" s="156">
        <f t="shared" si="16"/>
        <v>45930</v>
      </c>
      <c r="CH9" s="156">
        <f t="shared" si="16"/>
        <v>45961</v>
      </c>
      <c r="CI9" s="156">
        <f t="shared" si="16"/>
        <v>45991</v>
      </c>
      <c r="CJ9" s="157">
        <f t="shared" si="16"/>
        <v>46022</v>
      </c>
      <c r="CK9" s="158" t="str">
        <f>"Amortissement"&amp;" "&amp;YEAR(E2)+6</f>
        <v>Amortissement 2026</v>
      </c>
      <c r="CL9" s="159" t="str">
        <f>"Valeur résiduelle"&amp;" "&amp;YEAR(E2)+6</f>
        <v>Valeur résiduelle 2026</v>
      </c>
      <c r="CM9" s="160">
        <f>EOMONTH(CJ9,1)</f>
        <v>46053</v>
      </c>
      <c r="CN9" s="151">
        <f>EOMONTH(CM9,1)</f>
        <v>46081</v>
      </c>
      <c r="CO9" s="151">
        <f t="shared" ref="CO9:CX9" si="17">EOMONTH(CN9,1)</f>
        <v>46112</v>
      </c>
      <c r="CP9" s="151">
        <f t="shared" si="17"/>
        <v>46142</v>
      </c>
      <c r="CQ9" s="151">
        <f t="shared" si="17"/>
        <v>46173</v>
      </c>
      <c r="CR9" s="151">
        <f t="shared" si="17"/>
        <v>46203</v>
      </c>
      <c r="CS9" s="151">
        <f t="shared" si="17"/>
        <v>46234</v>
      </c>
      <c r="CT9" s="151">
        <f t="shared" si="17"/>
        <v>46265</v>
      </c>
      <c r="CU9" s="151">
        <f t="shared" si="17"/>
        <v>46295</v>
      </c>
      <c r="CV9" s="151">
        <f t="shared" si="17"/>
        <v>46326</v>
      </c>
      <c r="CW9" s="151">
        <f t="shared" si="17"/>
        <v>46356</v>
      </c>
      <c r="CX9" s="161">
        <f t="shared" si="17"/>
        <v>46387</v>
      </c>
      <c r="CY9" s="153" t="str">
        <f>"Amortissement"&amp;" "&amp;YEAR(E2)+7</f>
        <v>Amortissement 2027</v>
      </c>
      <c r="CZ9" s="154" t="str">
        <f>"Valeur résiduelle"&amp;" "&amp;YEAR(E2)+7</f>
        <v>Valeur résiduelle 2027</v>
      </c>
      <c r="DA9" s="155">
        <f>EOMONTH(CX9,1)</f>
        <v>46418</v>
      </c>
      <c r="DB9" s="156">
        <f>EOMONTH(DA9,1)</f>
        <v>46446</v>
      </c>
      <c r="DC9" s="156">
        <f t="shared" ref="DC9:DL9" si="18">EOMONTH(DB9,1)</f>
        <v>46477</v>
      </c>
      <c r="DD9" s="156">
        <f t="shared" si="18"/>
        <v>46507</v>
      </c>
      <c r="DE9" s="156">
        <f t="shared" si="18"/>
        <v>46538</v>
      </c>
      <c r="DF9" s="156">
        <f t="shared" si="18"/>
        <v>46568</v>
      </c>
      <c r="DG9" s="156">
        <f t="shared" si="18"/>
        <v>46599</v>
      </c>
      <c r="DH9" s="156">
        <f t="shared" si="18"/>
        <v>46630</v>
      </c>
      <c r="DI9" s="156">
        <f t="shared" si="18"/>
        <v>46660</v>
      </c>
      <c r="DJ9" s="156">
        <f t="shared" si="18"/>
        <v>46691</v>
      </c>
      <c r="DK9" s="156">
        <f t="shared" si="18"/>
        <v>46721</v>
      </c>
      <c r="DL9" s="157">
        <f t="shared" si="18"/>
        <v>46752</v>
      </c>
      <c r="DM9" s="158" t="str">
        <f>"Amortissement"&amp;" "&amp;YEAR(E2)+8</f>
        <v>Amortissement 2028</v>
      </c>
      <c r="DN9" s="159" t="str">
        <f>"Valeur résiduelle"&amp;" "&amp;YEAR(E2)+8</f>
        <v>Valeur résiduelle 2028</v>
      </c>
      <c r="DO9" s="160">
        <f>EOMONTH(DL9,1)</f>
        <v>46783</v>
      </c>
      <c r="DP9" s="151">
        <f>EOMONTH(DO9,1)</f>
        <v>46812</v>
      </c>
      <c r="DQ9" s="151">
        <f t="shared" ref="DQ9:DZ9" si="19">EOMONTH(DP9,1)</f>
        <v>46843</v>
      </c>
      <c r="DR9" s="151">
        <f t="shared" si="19"/>
        <v>46873</v>
      </c>
      <c r="DS9" s="151">
        <f t="shared" si="19"/>
        <v>46904</v>
      </c>
      <c r="DT9" s="151">
        <f t="shared" si="19"/>
        <v>46934</v>
      </c>
      <c r="DU9" s="151">
        <f t="shared" si="19"/>
        <v>46965</v>
      </c>
      <c r="DV9" s="151">
        <f t="shared" si="19"/>
        <v>46996</v>
      </c>
      <c r="DW9" s="151">
        <f t="shared" si="19"/>
        <v>47026</v>
      </c>
      <c r="DX9" s="151">
        <f t="shared" si="19"/>
        <v>47057</v>
      </c>
      <c r="DY9" s="151">
        <f t="shared" si="19"/>
        <v>47087</v>
      </c>
      <c r="DZ9" s="161">
        <f t="shared" si="19"/>
        <v>47118</v>
      </c>
      <c r="EA9" s="153" t="str">
        <f>"Amortissement"&amp;" "&amp;YEAR(E2)+9</f>
        <v>Amortissement 2029</v>
      </c>
      <c r="EB9" s="154" t="str">
        <f>"Valeur résiduelle"&amp;" "&amp;YEAR(E2)+9</f>
        <v>Valeur résiduelle 2029</v>
      </c>
    </row>
    <row r="10" spans="1:132" s="177" customFormat="1" ht="15.75">
      <c r="A10" s="163">
        <v>43831</v>
      </c>
      <c r="B10" s="403" t="s">
        <v>88</v>
      </c>
      <c r="C10" s="404" t="s">
        <v>252</v>
      </c>
      <c r="D10" s="405">
        <v>10000</v>
      </c>
      <c r="E10" s="167"/>
      <c r="F10" s="168" t="e">
        <f t="shared" ref="F10:F73" si="20">D10/E10</f>
        <v>#DIV/0!</v>
      </c>
      <c r="G10" s="169" t="e">
        <f>IF(OR($F10&lt;=0,(G$9-$A10)&gt;(365*$E10)),0,IF($A10&lt;=G$9,$F10/12,0))</f>
        <v>#DIV/0!</v>
      </c>
      <c r="H10" s="170" t="e">
        <f t="shared" ref="H10:R25" si="21">IF(OR($F10&lt;=0,(H$9-$A10)&gt;(365*$E10)),0,IF($A10&lt;=H$9,$F10/12,0))</f>
        <v>#DIV/0!</v>
      </c>
      <c r="I10" s="170" t="e">
        <f t="shared" si="21"/>
        <v>#DIV/0!</v>
      </c>
      <c r="J10" s="170" t="e">
        <f t="shared" si="21"/>
        <v>#DIV/0!</v>
      </c>
      <c r="K10" s="170" t="e">
        <f t="shared" si="21"/>
        <v>#DIV/0!</v>
      </c>
      <c r="L10" s="170" t="e">
        <f t="shared" si="21"/>
        <v>#DIV/0!</v>
      </c>
      <c r="M10" s="170" t="e">
        <f t="shared" si="21"/>
        <v>#DIV/0!</v>
      </c>
      <c r="N10" s="170" t="e">
        <f t="shared" si="21"/>
        <v>#DIV/0!</v>
      </c>
      <c r="O10" s="170" t="e">
        <f t="shared" si="21"/>
        <v>#DIV/0!</v>
      </c>
      <c r="P10" s="170" t="e">
        <f t="shared" si="21"/>
        <v>#DIV/0!</v>
      </c>
      <c r="Q10" s="170" t="e">
        <f t="shared" si="21"/>
        <v>#DIV/0!</v>
      </c>
      <c r="R10" s="171" t="e">
        <f t="shared" si="21"/>
        <v>#DIV/0!</v>
      </c>
      <c r="S10" s="172" t="e">
        <f>SUM(G10:R10)</f>
        <v>#DIV/0!</v>
      </c>
      <c r="T10" s="171" t="e">
        <f>IF(AND($R$9&gt;A10,$S10&lt;&gt;0),$D10-$S10,0)</f>
        <v>#DIV/0!</v>
      </c>
      <c r="U10" s="173" t="e">
        <f>IF(OR($F10&lt;=0,(U$9-$A10)&gt;(365*$E10)),0,IF($A10&lt;=U$9,$F10/12,0))</f>
        <v>#DIV/0!</v>
      </c>
      <c r="V10" s="170" t="e">
        <f t="shared" ref="V10:AF25" si="22">IF(OR($F10&lt;=0,(V$9-$A10)&gt;(365*$E10)),0,IF($A10&lt;=V$9,$F10/12,0))</f>
        <v>#DIV/0!</v>
      </c>
      <c r="W10" s="170" t="e">
        <f t="shared" si="22"/>
        <v>#DIV/0!</v>
      </c>
      <c r="X10" s="170" t="e">
        <f t="shared" si="22"/>
        <v>#DIV/0!</v>
      </c>
      <c r="Y10" s="170" t="e">
        <f t="shared" si="22"/>
        <v>#DIV/0!</v>
      </c>
      <c r="Z10" s="170" t="e">
        <f t="shared" si="22"/>
        <v>#DIV/0!</v>
      </c>
      <c r="AA10" s="170" t="e">
        <f t="shared" si="22"/>
        <v>#DIV/0!</v>
      </c>
      <c r="AB10" s="170" t="e">
        <f t="shared" si="22"/>
        <v>#DIV/0!</v>
      </c>
      <c r="AC10" s="170" t="e">
        <f t="shared" si="22"/>
        <v>#DIV/0!</v>
      </c>
      <c r="AD10" s="170" t="e">
        <f t="shared" si="22"/>
        <v>#DIV/0!</v>
      </c>
      <c r="AE10" s="170" t="e">
        <f t="shared" si="22"/>
        <v>#DIV/0!</v>
      </c>
      <c r="AF10" s="174" t="e">
        <f t="shared" si="22"/>
        <v>#DIV/0!</v>
      </c>
      <c r="AG10" s="172" t="e">
        <f>SUM(U10:AF10)</f>
        <v>#DIV/0!</v>
      </c>
      <c r="AH10" s="171" t="e">
        <f>IF(AND($AF$9&gt;$A10,$AG10&lt;&gt;0),$D10-$S10-$AG10,0)</f>
        <v>#DIV/0!</v>
      </c>
      <c r="AI10" s="173" t="e">
        <f>IF(OR($F10&lt;=0,(AI$9-$A10)&gt;(365*$E10)),0,IF($A10&lt;=AI$9,$F10/12,0))</f>
        <v>#DIV/0!</v>
      </c>
      <c r="AJ10" s="170" t="e">
        <f t="shared" ref="AJ10:AT25" si="23">IF(OR($F10&lt;=0,(AJ$9-$A10)&gt;(365*$E10)),0,IF($A10&lt;=AJ$9,$F10/12,0))</f>
        <v>#DIV/0!</v>
      </c>
      <c r="AK10" s="170" t="e">
        <f t="shared" si="23"/>
        <v>#DIV/0!</v>
      </c>
      <c r="AL10" s="170" t="e">
        <f t="shared" si="23"/>
        <v>#DIV/0!</v>
      </c>
      <c r="AM10" s="170" t="e">
        <f t="shared" si="23"/>
        <v>#DIV/0!</v>
      </c>
      <c r="AN10" s="170" t="e">
        <f t="shared" si="23"/>
        <v>#DIV/0!</v>
      </c>
      <c r="AO10" s="170" t="e">
        <f t="shared" si="23"/>
        <v>#DIV/0!</v>
      </c>
      <c r="AP10" s="170" t="e">
        <f t="shared" si="23"/>
        <v>#DIV/0!</v>
      </c>
      <c r="AQ10" s="170" t="e">
        <f t="shared" si="23"/>
        <v>#DIV/0!</v>
      </c>
      <c r="AR10" s="170" t="e">
        <f t="shared" si="23"/>
        <v>#DIV/0!</v>
      </c>
      <c r="AS10" s="170" t="e">
        <f t="shared" si="23"/>
        <v>#DIV/0!</v>
      </c>
      <c r="AT10" s="174" t="e">
        <f t="shared" si="23"/>
        <v>#DIV/0!</v>
      </c>
      <c r="AU10" s="172" t="e">
        <f>SUM(AI10:AT10)</f>
        <v>#DIV/0!</v>
      </c>
      <c r="AV10" s="171" t="e">
        <f>IF(AND($AT$9&gt;$A10,$AU10&lt;&gt;0),$D10-$S10-$AG10-$AU10,0)</f>
        <v>#DIV/0!</v>
      </c>
      <c r="AW10" s="173" t="e">
        <f>IF(OR($F10&lt;=0,(AW$9-$A10)&gt;(365*$E10)),0,IF($A10&lt;=AW$9,$F10/12,0))</f>
        <v>#DIV/0!</v>
      </c>
      <c r="AX10" s="170" t="e">
        <f t="shared" ref="AX10:BH25" si="24">IF(OR($F10&lt;=0,(AX$9-$A10)&gt;(365*$E10)),0,IF($A10&lt;=AX$9,$F10/12,0))</f>
        <v>#DIV/0!</v>
      </c>
      <c r="AY10" s="170" t="e">
        <f t="shared" si="24"/>
        <v>#DIV/0!</v>
      </c>
      <c r="AZ10" s="170" t="e">
        <f t="shared" si="24"/>
        <v>#DIV/0!</v>
      </c>
      <c r="BA10" s="170" t="e">
        <f t="shared" si="24"/>
        <v>#DIV/0!</v>
      </c>
      <c r="BB10" s="170" t="e">
        <f t="shared" si="24"/>
        <v>#DIV/0!</v>
      </c>
      <c r="BC10" s="170" t="e">
        <f t="shared" si="24"/>
        <v>#DIV/0!</v>
      </c>
      <c r="BD10" s="170" t="e">
        <f t="shared" si="24"/>
        <v>#DIV/0!</v>
      </c>
      <c r="BE10" s="170" t="e">
        <f t="shared" si="24"/>
        <v>#DIV/0!</v>
      </c>
      <c r="BF10" s="170" t="e">
        <f t="shared" si="24"/>
        <v>#DIV/0!</v>
      </c>
      <c r="BG10" s="170" t="e">
        <f t="shared" si="24"/>
        <v>#DIV/0!</v>
      </c>
      <c r="BH10" s="174" t="e">
        <f t="shared" si="24"/>
        <v>#DIV/0!</v>
      </c>
      <c r="BI10" s="172" t="e">
        <f>SUM(AW10:BH10)</f>
        <v>#DIV/0!</v>
      </c>
      <c r="BJ10" s="171" t="e">
        <f>IF(AND($BH$9&gt;$A10,$BI10&lt;&gt;0),$D10-$S10-$AG10-$AU10-$BI10,0)</f>
        <v>#DIV/0!</v>
      </c>
      <c r="BK10" s="173" t="e">
        <f>IF(OR($BJ10&lt;=0,(BK$9-$A10)&gt;($E10*365)),0,IF($A10&lt;=BK$9,$F10/12))</f>
        <v>#DIV/0!</v>
      </c>
      <c r="BL10" s="170" t="e">
        <f t="shared" ref="BL10:BV25" si="25">IF(OR($BJ10&lt;=0,(BL$9-$A10)&gt;($E10*365)),0,IF($A10&lt;=BL$9,$F10/12))</f>
        <v>#DIV/0!</v>
      </c>
      <c r="BM10" s="170" t="e">
        <f t="shared" si="25"/>
        <v>#DIV/0!</v>
      </c>
      <c r="BN10" s="170" t="e">
        <f t="shared" si="25"/>
        <v>#DIV/0!</v>
      </c>
      <c r="BO10" s="170" t="e">
        <f t="shared" si="25"/>
        <v>#DIV/0!</v>
      </c>
      <c r="BP10" s="170" t="e">
        <f t="shared" si="25"/>
        <v>#DIV/0!</v>
      </c>
      <c r="BQ10" s="170" t="e">
        <f t="shared" si="25"/>
        <v>#DIV/0!</v>
      </c>
      <c r="BR10" s="170" t="e">
        <f t="shared" si="25"/>
        <v>#DIV/0!</v>
      </c>
      <c r="BS10" s="170" t="e">
        <f t="shared" si="25"/>
        <v>#DIV/0!</v>
      </c>
      <c r="BT10" s="170" t="e">
        <f t="shared" si="25"/>
        <v>#DIV/0!</v>
      </c>
      <c r="BU10" s="170" t="e">
        <f t="shared" si="25"/>
        <v>#DIV/0!</v>
      </c>
      <c r="BV10" s="174" t="e">
        <f t="shared" si="25"/>
        <v>#DIV/0!</v>
      </c>
      <c r="BW10" s="172" t="e">
        <f>SUM(BK10:BV10)</f>
        <v>#DIV/0!</v>
      </c>
      <c r="BX10" s="171" t="e">
        <f>IF(AND($BV$9&gt;$A10,$BW10&lt;&gt;0),$D10-$S10-$AG10-$AU10-$BI10-$BW10,0)</f>
        <v>#DIV/0!</v>
      </c>
      <c r="BY10" s="173" t="e">
        <f>IF(OR($BX10&lt;=0,(BY$9-$A10)&gt;($E10*365)),0,IF($A10&lt;=BY$9,$F10/12))</f>
        <v>#DIV/0!</v>
      </c>
      <c r="BZ10" s="170" t="e">
        <f t="shared" ref="BZ10:CJ25" si="26">IF(OR($BX10&lt;=0,(BZ$9-$A10)&gt;($E10*365)),0,IF($A10&lt;=BZ$9,$F10/12))</f>
        <v>#DIV/0!</v>
      </c>
      <c r="CA10" s="170" t="e">
        <f t="shared" si="26"/>
        <v>#DIV/0!</v>
      </c>
      <c r="CB10" s="170" t="e">
        <f t="shared" si="26"/>
        <v>#DIV/0!</v>
      </c>
      <c r="CC10" s="170" t="e">
        <f t="shared" si="26"/>
        <v>#DIV/0!</v>
      </c>
      <c r="CD10" s="170" t="e">
        <f t="shared" si="26"/>
        <v>#DIV/0!</v>
      </c>
      <c r="CE10" s="170" t="e">
        <f t="shared" si="26"/>
        <v>#DIV/0!</v>
      </c>
      <c r="CF10" s="170" t="e">
        <f t="shared" si="26"/>
        <v>#DIV/0!</v>
      </c>
      <c r="CG10" s="170" t="e">
        <f t="shared" si="26"/>
        <v>#DIV/0!</v>
      </c>
      <c r="CH10" s="170" t="e">
        <f t="shared" si="26"/>
        <v>#DIV/0!</v>
      </c>
      <c r="CI10" s="170" t="e">
        <f t="shared" si="26"/>
        <v>#DIV/0!</v>
      </c>
      <c r="CJ10" s="174" t="e">
        <f>IF(OR($BX10&lt;=0,(CJ$9-$A10)&gt;($E10*365)),0,IF($A10&lt;=CJ$9,$F10/12))</f>
        <v>#DIV/0!</v>
      </c>
      <c r="CK10" s="172" t="e">
        <f>SUM(BY10:CJ10)</f>
        <v>#DIV/0!</v>
      </c>
      <c r="CL10" s="171" t="e">
        <f>IF(AND($CJ$9&gt;$A10,$CK10&lt;&gt;0),$D10-$S10-$AG10-$AU10-$BI10-$BW10-$CK$10,0)</f>
        <v>#DIV/0!</v>
      </c>
      <c r="CM10" s="173" t="e">
        <f>IF(OR($CL10&lt;=0,(CM$9-$A10)&gt;($E10*365)),0,IF($A10&lt;=CM$9,$F10/12))</f>
        <v>#DIV/0!</v>
      </c>
      <c r="CN10" s="170" t="e">
        <f t="shared" ref="CN10:CX25" si="27">IF(OR($CL10&lt;=0,(CN$9-$A10)&gt;($E10*365)),0,IF($A10&lt;=CN$9,$F10/12))</f>
        <v>#DIV/0!</v>
      </c>
      <c r="CO10" s="170" t="e">
        <f t="shared" si="27"/>
        <v>#DIV/0!</v>
      </c>
      <c r="CP10" s="170" t="e">
        <f t="shared" si="27"/>
        <v>#DIV/0!</v>
      </c>
      <c r="CQ10" s="170" t="e">
        <f t="shared" si="27"/>
        <v>#DIV/0!</v>
      </c>
      <c r="CR10" s="170" t="e">
        <f t="shared" si="27"/>
        <v>#DIV/0!</v>
      </c>
      <c r="CS10" s="170" t="e">
        <f t="shared" si="27"/>
        <v>#DIV/0!</v>
      </c>
      <c r="CT10" s="170" t="e">
        <f t="shared" si="27"/>
        <v>#DIV/0!</v>
      </c>
      <c r="CU10" s="170" t="e">
        <f t="shared" si="27"/>
        <v>#DIV/0!</v>
      </c>
      <c r="CV10" s="170" t="e">
        <f t="shared" si="27"/>
        <v>#DIV/0!</v>
      </c>
      <c r="CW10" s="170" t="e">
        <f t="shared" si="27"/>
        <v>#DIV/0!</v>
      </c>
      <c r="CX10" s="174" t="e">
        <f t="shared" si="27"/>
        <v>#DIV/0!</v>
      </c>
      <c r="CY10" s="172" t="e">
        <f>SUM(CM10:CX10)</f>
        <v>#DIV/0!</v>
      </c>
      <c r="CZ10" s="171" t="e">
        <f>IF(AND($CX$9&gt;$A10,$CY10&lt;&gt;0),$D10-$S10-$AG10-$AU10-$BI10-$BW10-$CK10-$CY10,0)</f>
        <v>#DIV/0!</v>
      </c>
      <c r="DA10" s="173" t="e">
        <f>IF(OR($CZ10&lt;=0,(DA$9-$A10)&gt;($E10*365)),0,IF($A10&lt;=DA$9,$F10/12))</f>
        <v>#DIV/0!</v>
      </c>
      <c r="DB10" s="170" t="e">
        <f t="shared" ref="DB10:DL25" si="28">IF(OR($CZ10&lt;=0,(DB$9-$A10)&gt;($E10*365)),0,IF($A10&lt;=DB$9,$F10/12))</f>
        <v>#DIV/0!</v>
      </c>
      <c r="DC10" s="170" t="e">
        <f t="shared" si="28"/>
        <v>#DIV/0!</v>
      </c>
      <c r="DD10" s="170" t="e">
        <f t="shared" si="28"/>
        <v>#DIV/0!</v>
      </c>
      <c r="DE10" s="170" t="e">
        <f t="shared" si="28"/>
        <v>#DIV/0!</v>
      </c>
      <c r="DF10" s="170" t="e">
        <f t="shared" si="28"/>
        <v>#DIV/0!</v>
      </c>
      <c r="DG10" s="170" t="e">
        <f t="shared" si="28"/>
        <v>#DIV/0!</v>
      </c>
      <c r="DH10" s="170" t="e">
        <f t="shared" si="28"/>
        <v>#DIV/0!</v>
      </c>
      <c r="DI10" s="170" t="e">
        <f t="shared" si="28"/>
        <v>#DIV/0!</v>
      </c>
      <c r="DJ10" s="170" t="e">
        <f t="shared" si="28"/>
        <v>#DIV/0!</v>
      </c>
      <c r="DK10" s="170" t="e">
        <f t="shared" si="28"/>
        <v>#DIV/0!</v>
      </c>
      <c r="DL10" s="174" t="e">
        <f t="shared" si="28"/>
        <v>#DIV/0!</v>
      </c>
      <c r="DM10" s="172" t="e">
        <f>SUM(DA10:DL10)</f>
        <v>#DIV/0!</v>
      </c>
      <c r="DN10" s="171" t="e">
        <f>IF(AND($DL$9&gt;$A10,$DM10&lt;&gt;0),$D10-$S10-$AG10-$AU10-$BI10-$BW10-$CK$10-$CY10-$DM10,0)</f>
        <v>#DIV/0!</v>
      </c>
      <c r="DO10" s="173" t="e">
        <f>IF(OR($DN10&lt;=0,(DO$9-$A10)&gt;($E10*365)),0,IF($A10&lt;=DO$9,$F10/12))</f>
        <v>#DIV/0!</v>
      </c>
      <c r="DP10" s="170" t="e">
        <f t="shared" ref="DP10:DZ25" si="29">IF(OR($DN10&lt;=0,(DP$9-$A10)&gt;($E10*365)),0,IF($A10&lt;=DP$9,$F10/12))</f>
        <v>#DIV/0!</v>
      </c>
      <c r="DQ10" s="170" t="e">
        <f t="shared" si="29"/>
        <v>#DIV/0!</v>
      </c>
      <c r="DR10" s="170" t="e">
        <f t="shared" si="29"/>
        <v>#DIV/0!</v>
      </c>
      <c r="DS10" s="170" t="e">
        <f t="shared" si="29"/>
        <v>#DIV/0!</v>
      </c>
      <c r="DT10" s="170" t="e">
        <f t="shared" si="29"/>
        <v>#DIV/0!</v>
      </c>
      <c r="DU10" s="170" t="e">
        <f t="shared" si="29"/>
        <v>#DIV/0!</v>
      </c>
      <c r="DV10" s="170" t="e">
        <f t="shared" si="29"/>
        <v>#DIV/0!</v>
      </c>
      <c r="DW10" s="170" t="e">
        <f t="shared" si="29"/>
        <v>#DIV/0!</v>
      </c>
      <c r="DX10" s="170" t="e">
        <f t="shared" si="29"/>
        <v>#DIV/0!</v>
      </c>
      <c r="DY10" s="170" t="e">
        <f t="shared" si="29"/>
        <v>#DIV/0!</v>
      </c>
      <c r="DZ10" s="174" t="e">
        <f t="shared" si="29"/>
        <v>#DIV/0!</v>
      </c>
      <c r="EA10" s="175" t="e">
        <f>SUM(DO10:DZ10)</f>
        <v>#DIV/0!</v>
      </c>
      <c r="EB10" s="176" t="e">
        <f>IF(AND($DZ$9&gt;$A10,$EA10&lt;&gt;0),$D10-$S10-$AG10-$AU10-$BI10-$BW10--CY10-$DM10-$CK10-$EA10,0)</f>
        <v>#DIV/0!</v>
      </c>
    </row>
    <row r="11" spans="1:132" s="177" customFormat="1" ht="15.75">
      <c r="A11" s="163">
        <v>43831</v>
      </c>
      <c r="B11" s="403" t="s">
        <v>88</v>
      </c>
      <c r="C11" s="404" t="s">
        <v>253</v>
      </c>
      <c r="D11" s="405">
        <v>4000</v>
      </c>
      <c r="E11" s="167"/>
      <c r="F11" s="168" t="e">
        <f t="shared" si="20"/>
        <v>#DIV/0!</v>
      </c>
      <c r="G11" s="169" t="e">
        <f t="shared" ref="G11:R45" si="30">IF(OR($F11&lt;=0,(G$9-$A11)&gt;(365*$E11)),0,IF($A11&lt;=G$9,$F11/12,0))</f>
        <v>#DIV/0!</v>
      </c>
      <c r="H11" s="178" t="e">
        <f t="shared" si="21"/>
        <v>#DIV/0!</v>
      </c>
      <c r="I11" s="178" t="e">
        <f t="shared" si="21"/>
        <v>#DIV/0!</v>
      </c>
      <c r="J11" s="178" t="e">
        <f t="shared" si="21"/>
        <v>#DIV/0!</v>
      </c>
      <c r="K11" s="178" t="e">
        <f t="shared" si="21"/>
        <v>#DIV/0!</v>
      </c>
      <c r="L11" s="178" t="e">
        <f t="shared" si="21"/>
        <v>#DIV/0!</v>
      </c>
      <c r="M11" s="178" t="e">
        <f t="shared" si="21"/>
        <v>#DIV/0!</v>
      </c>
      <c r="N11" s="178" t="e">
        <f t="shared" si="21"/>
        <v>#DIV/0!</v>
      </c>
      <c r="O11" s="178" t="e">
        <f t="shared" si="21"/>
        <v>#DIV/0!</v>
      </c>
      <c r="P11" s="178" t="e">
        <f t="shared" si="21"/>
        <v>#DIV/0!</v>
      </c>
      <c r="Q11" s="178" t="e">
        <f t="shared" si="21"/>
        <v>#DIV/0!</v>
      </c>
      <c r="R11" s="179" t="e">
        <f t="shared" si="21"/>
        <v>#DIV/0!</v>
      </c>
      <c r="S11" s="169" t="e">
        <f t="shared" ref="S11:S74" si="31">SUM(G11:R11)</f>
        <v>#DIV/0!</v>
      </c>
      <c r="T11" s="179" t="e">
        <f t="shared" ref="T11:T74" si="32">IF(AND($R$9&gt;A11,$S11&lt;&gt;0),$D11-$S11,0)</f>
        <v>#DIV/0!</v>
      </c>
      <c r="U11" s="180" t="e">
        <f t="shared" ref="U11:AF42" si="33">IF(OR($F11&lt;=0,(U$9-$A11)&gt;(365*$E11)),0,IF($A11&lt;=U$9,$F11/12,0))</f>
        <v>#DIV/0!</v>
      </c>
      <c r="V11" s="178" t="e">
        <f t="shared" si="22"/>
        <v>#DIV/0!</v>
      </c>
      <c r="W11" s="178" t="e">
        <f t="shared" si="22"/>
        <v>#DIV/0!</v>
      </c>
      <c r="X11" s="178" t="e">
        <f t="shared" si="22"/>
        <v>#DIV/0!</v>
      </c>
      <c r="Y11" s="178" t="e">
        <f t="shared" si="22"/>
        <v>#DIV/0!</v>
      </c>
      <c r="Z11" s="178" t="e">
        <f t="shared" si="22"/>
        <v>#DIV/0!</v>
      </c>
      <c r="AA11" s="178" t="e">
        <f t="shared" si="22"/>
        <v>#DIV/0!</v>
      </c>
      <c r="AB11" s="178" t="e">
        <f t="shared" si="22"/>
        <v>#DIV/0!</v>
      </c>
      <c r="AC11" s="178" t="e">
        <f t="shared" si="22"/>
        <v>#DIV/0!</v>
      </c>
      <c r="AD11" s="178" t="e">
        <f t="shared" si="22"/>
        <v>#DIV/0!</v>
      </c>
      <c r="AE11" s="178" t="e">
        <f t="shared" si="22"/>
        <v>#DIV/0!</v>
      </c>
      <c r="AF11" s="168" t="e">
        <f t="shared" si="22"/>
        <v>#DIV/0!</v>
      </c>
      <c r="AG11" s="169" t="e">
        <f t="shared" ref="AG11:AG74" si="34">SUM(U11:AF11)</f>
        <v>#DIV/0!</v>
      </c>
      <c r="AH11" s="179" t="e">
        <f t="shared" ref="AH11:AH74" si="35">IF(AND($AF$9&gt;$A11,$AG11&lt;&gt;0),$D11-$S11-$AG11,0)</f>
        <v>#DIV/0!</v>
      </c>
      <c r="AI11" s="180" t="e">
        <f t="shared" ref="AI11:AT42" si="36">IF(OR($F11&lt;=0,(AI$9-$A11)&gt;(365*$E11)),0,IF($A11&lt;=AI$9,$F11/12,0))</f>
        <v>#DIV/0!</v>
      </c>
      <c r="AJ11" s="178" t="e">
        <f t="shared" si="23"/>
        <v>#DIV/0!</v>
      </c>
      <c r="AK11" s="178" t="e">
        <f t="shared" si="23"/>
        <v>#DIV/0!</v>
      </c>
      <c r="AL11" s="178" t="e">
        <f t="shared" si="23"/>
        <v>#DIV/0!</v>
      </c>
      <c r="AM11" s="178" t="e">
        <f t="shared" si="23"/>
        <v>#DIV/0!</v>
      </c>
      <c r="AN11" s="178" t="e">
        <f t="shared" si="23"/>
        <v>#DIV/0!</v>
      </c>
      <c r="AO11" s="178" t="e">
        <f t="shared" si="23"/>
        <v>#DIV/0!</v>
      </c>
      <c r="AP11" s="178" t="e">
        <f t="shared" si="23"/>
        <v>#DIV/0!</v>
      </c>
      <c r="AQ11" s="178" t="e">
        <f t="shared" si="23"/>
        <v>#DIV/0!</v>
      </c>
      <c r="AR11" s="178" t="e">
        <f t="shared" si="23"/>
        <v>#DIV/0!</v>
      </c>
      <c r="AS11" s="178" t="e">
        <f t="shared" si="23"/>
        <v>#DIV/0!</v>
      </c>
      <c r="AT11" s="168" t="e">
        <f t="shared" si="23"/>
        <v>#DIV/0!</v>
      </c>
      <c r="AU11" s="169" t="e">
        <f t="shared" ref="AU11:AU74" si="37">SUM(AI11:AT11)</f>
        <v>#DIV/0!</v>
      </c>
      <c r="AV11" s="179" t="e">
        <f t="shared" ref="AV11:AV74" si="38">IF(AND($AT$9&gt;$A11,$AU11&lt;&gt;0),$D11-$S11-$AG11-$AU11,0)</f>
        <v>#DIV/0!</v>
      </c>
      <c r="AW11" s="180" t="e">
        <f t="shared" ref="AW11:BH42" si="39">IF(OR($F11&lt;=0,(AW$9-$A11)&gt;(365*$E11)),0,IF($A11&lt;=AW$9,$F11/12,0))</f>
        <v>#DIV/0!</v>
      </c>
      <c r="AX11" s="178" t="e">
        <f t="shared" si="24"/>
        <v>#DIV/0!</v>
      </c>
      <c r="AY11" s="178" t="e">
        <f t="shared" si="24"/>
        <v>#DIV/0!</v>
      </c>
      <c r="AZ11" s="178" t="e">
        <f t="shared" si="24"/>
        <v>#DIV/0!</v>
      </c>
      <c r="BA11" s="178" t="e">
        <f t="shared" si="24"/>
        <v>#DIV/0!</v>
      </c>
      <c r="BB11" s="178" t="e">
        <f t="shared" si="24"/>
        <v>#DIV/0!</v>
      </c>
      <c r="BC11" s="178" t="e">
        <f t="shared" si="24"/>
        <v>#DIV/0!</v>
      </c>
      <c r="BD11" s="178" t="e">
        <f t="shared" si="24"/>
        <v>#DIV/0!</v>
      </c>
      <c r="BE11" s="178" t="e">
        <f t="shared" si="24"/>
        <v>#DIV/0!</v>
      </c>
      <c r="BF11" s="178" t="e">
        <f t="shared" si="24"/>
        <v>#DIV/0!</v>
      </c>
      <c r="BG11" s="178" t="e">
        <f t="shared" si="24"/>
        <v>#DIV/0!</v>
      </c>
      <c r="BH11" s="168" t="e">
        <f t="shared" si="24"/>
        <v>#DIV/0!</v>
      </c>
      <c r="BI11" s="169" t="e">
        <f t="shared" ref="BI11:BI74" si="40">SUM(AW11:BH11)</f>
        <v>#DIV/0!</v>
      </c>
      <c r="BJ11" s="179" t="e">
        <f t="shared" ref="BJ11:BJ74" si="41">IF(AND($BH$9&gt;$A11,$BI11&lt;&gt;0),$D11-$S11-$AG11-$AU11-$BI11,0)</f>
        <v>#DIV/0!</v>
      </c>
      <c r="BK11" s="180" t="e">
        <f t="shared" ref="BK11:BV42" si="42">IF(OR($BJ11&lt;=0,(BK$9-$A11)&gt;($E11*365)),0,IF($A11&lt;=BK$9,$F11/12))</f>
        <v>#DIV/0!</v>
      </c>
      <c r="BL11" s="178" t="e">
        <f t="shared" si="25"/>
        <v>#DIV/0!</v>
      </c>
      <c r="BM11" s="178" t="e">
        <f t="shared" si="25"/>
        <v>#DIV/0!</v>
      </c>
      <c r="BN11" s="178" t="e">
        <f t="shared" si="25"/>
        <v>#DIV/0!</v>
      </c>
      <c r="BO11" s="178" t="e">
        <f t="shared" si="25"/>
        <v>#DIV/0!</v>
      </c>
      <c r="BP11" s="178" t="e">
        <f t="shared" si="25"/>
        <v>#DIV/0!</v>
      </c>
      <c r="BQ11" s="178" t="e">
        <f t="shared" si="25"/>
        <v>#DIV/0!</v>
      </c>
      <c r="BR11" s="178" t="e">
        <f t="shared" si="25"/>
        <v>#DIV/0!</v>
      </c>
      <c r="BS11" s="178" t="e">
        <f t="shared" si="25"/>
        <v>#DIV/0!</v>
      </c>
      <c r="BT11" s="178" t="e">
        <f t="shared" si="25"/>
        <v>#DIV/0!</v>
      </c>
      <c r="BU11" s="178" t="e">
        <f t="shared" si="25"/>
        <v>#DIV/0!</v>
      </c>
      <c r="BV11" s="168" t="e">
        <f t="shared" si="25"/>
        <v>#DIV/0!</v>
      </c>
      <c r="BW11" s="169" t="e">
        <f t="shared" ref="BW11:BW74" si="43">SUM(BK11:BV11)</f>
        <v>#DIV/0!</v>
      </c>
      <c r="BX11" s="179" t="e">
        <f t="shared" ref="BX11:BX74" si="44">IF(AND($BV$9&gt;$A11,$BW11&lt;&gt;0),$D11-$S11-$AG11-$AU11-$BI11-$BW11,0)</f>
        <v>#DIV/0!</v>
      </c>
      <c r="BY11" s="180" t="e">
        <f t="shared" ref="BY11:CJ42" si="45">IF(OR($BX11&lt;=0,(BY$9-$A11)&gt;($E11*365)),0,IF($A11&lt;=BY$9,$F11/12))</f>
        <v>#DIV/0!</v>
      </c>
      <c r="BZ11" s="178" t="e">
        <f t="shared" si="26"/>
        <v>#DIV/0!</v>
      </c>
      <c r="CA11" s="178" t="e">
        <f t="shared" si="26"/>
        <v>#DIV/0!</v>
      </c>
      <c r="CB11" s="178" t="e">
        <f t="shared" si="26"/>
        <v>#DIV/0!</v>
      </c>
      <c r="CC11" s="178" t="e">
        <f t="shared" si="26"/>
        <v>#DIV/0!</v>
      </c>
      <c r="CD11" s="178" t="e">
        <f t="shared" si="26"/>
        <v>#DIV/0!</v>
      </c>
      <c r="CE11" s="178" t="e">
        <f t="shared" si="26"/>
        <v>#DIV/0!</v>
      </c>
      <c r="CF11" s="178" t="e">
        <f t="shared" si="26"/>
        <v>#DIV/0!</v>
      </c>
      <c r="CG11" s="178" t="e">
        <f t="shared" si="26"/>
        <v>#DIV/0!</v>
      </c>
      <c r="CH11" s="178" t="e">
        <f t="shared" si="26"/>
        <v>#DIV/0!</v>
      </c>
      <c r="CI11" s="178" t="e">
        <f t="shared" si="26"/>
        <v>#DIV/0!</v>
      </c>
      <c r="CJ11" s="168" t="e">
        <f t="shared" si="26"/>
        <v>#DIV/0!</v>
      </c>
      <c r="CK11" s="169" t="e">
        <f t="shared" ref="CK11:CK74" si="46">SUM(BY11:CJ11)</f>
        <v>#DIV/0!</v>
      </c>
      <c r="CL11" s="179" t="e">
        <f t="shared" ref="CL11:CL74" si="47">IF(AND($CJ$9&gt;$A11,$CK11&lt;&gt;0),$D11-$S11-$AG11-$AU11-$BI11-$BW11-$CK$10,0)</f>
        <v>#DIV/0!</v>
      </c>
      <c r="CM11" s="180" t="e">
        <f t="shared" ref="CM11:CX42" si="48">IF(OR($CL11&lt;=0,(CM$9-$A11)&gt;($E11*365)),0,IF($A11&lt;=CM$9,$F11/12))</f>
        <v>#DIV/0!</v>
      </c>
      <c r="CN11" s="178" t="e">
        <f t="shared" si="27"/>
        <v>#DIV/0!</v>
      </c>
      <c r="CO11" s="178" t="e">
        <f t="shared" si="27"/>
        <v>#DIV/0!</v>
      </c>
      <c r="CP11" s="178" t="e">
        <f t="shared" si="27"/>
        <v>#DIV/0!</v>
      </c>
      <c r="CQ11" s="178" t="e">
        <f t="shared" si="27"/>
        <v>#DIV/0!</v>
      </c>
      <c r="CR11" s="178" t="e">
        <f t="shared" si="27"/>
        <v>#DIV/0!</v>
      </c>
      <c r="CS11" s="178" t="e">
        <f t="shared" si="27"/>
        <v>#DIV/0!</v>
      </c>
      <c r="CT11" s="178" t="e">
        <f t="shared" si="27"/>
        <v>#DIV/0!</v>
      </c>
      <c r="CU11" s="178" t="e">
        <f t="shared" si="27"/>
        <v>#DIV/0!</v>
      </c>
      <c r="CV11" s="178" t="e">
        <f t="shared" si="27"/>
        <v>#DIV/0!</v>
      </c>
      <c r="CW11" s="178" t="e">
        <f t="shared" si="27"/>
        <v>#DIV/0!</v>
      </c>
      <c r="CX11" s="168" t="e">
        <f t="shared" si="27"/>
        <v>#DIV/0!</v>
      </c>
      <c r="CY11" s="169" t="e">
        <f t="shared" ref="CY11:CY74" si="49">SUM(CM11:CX11)</f>
        <v>#DIV/0!</v>
      </c>
      <c r="CZ11" s="179" t="e">
        <f t="shared" ref="CZ11:CZ74" si="50">IF(AND($CX$9&gt;$A11,$CY11&lt;&gt;0),$D11-$S11-$AG11-$AU11-$BI11-$BW11-$CK11-$CY11,0)</f>
        <v>#DIV/0!</v>
      </c>
      <c r="DA11" s="180" t="e">
        <f t="shared" ref="DA11:DL42" si="51">IF(OR($CZ11&lt;=0,(DA$9-$A11)&gt;($E11*365)),0,IF($A11&lt;=DA$9,$F11/12))</f>
        <v>#DIV/0!</v>
      </c>
      <c r="DB11" s="178" t="e">
        <f t="shared" si="28"/>
        <v>#DIV/0!</v>
      </c>
      <c r="DC11" s="178" t="e">
        <f t="shared" si="28"/>
        <v>#DIV/0!</v>
      </c>
      <c r="DD11" s="178" t="e">
        <f t="shared" si="28"/>
        <v>#DIV/0!</v>
      </c>
      <c r="DE11" s="178" t="e">
        <f t="shared" si="28"/>
        <v>#DIV/0!</v>
      </c>
      <c r="DF11" s="178" t="e">
        <f t="shared" si="28"/>
        <v>#DIV/0!</v>
      </c>
      <c r="DG11" s="178" t="e">
        <f t="shared" si="28"/>
        <v>#DIV/0!</v>
      </c>
      <c r="DH11" s="178" t="e">
        <f t="shared" si="28"/>
        <v>#DIV/0!</v>
      </c>
      <c r="DI11" s="178" t="e">
        <f t="shared" si="28"/>
        <v>#DIV/0!</v>
      </c>
      <c r="DJ11" s="178" t="e">
        <f t="shared" si="28"/>
        <v>#DIV/0!</v>
      </c>
      <c r="DK11" s="178" t="e">
        <f t="shared" si="28"/>
        <v>#DIV/0!</v>
      </c>
      <c r="DL11" s="168" t="e">
        <f t="shared" si="28"/>
        <v>#DIV/0!</v>
      </c>
      <c r="DM11" s="169" t="e">
        <f t="shared" ref="DM11:DM74" si="52">SUM(DA11:DL11)</f>
        <v>#DIV/0!</v>
      </c>
      <c r="DN11" s="171" t="e">
        <f t="shared" ref="DN11:DN74" si="53">IF(AND($DL$9&gt;$A11,$DM11&lt;&gt;0),$D11-$S11-$AG11-$AU11-$BI11-$BW11-$CK$10-$CY11-$DM11,0)</f>
        <v>#DIV/0!</v>
      </c>
      <c r="DO11" s="180" t="e">
        <f t="shared" ref="DO11:DZ42" si="54">IF(OR($DN11&lt;=0,(DO$9-$A11)&gt;($E11*365)),0,IF($A11&lt;=DO$9,$F11/12))</f>
        <v>#DIV/0!</v>
      </c>
      <c r="DP11" s="178" t="e">
        <f t="shared" si="29"/>
        <v>#DIV/0!</v>
      </c>
      <c r="DQ11" s="178" t="e">
        <f t="shared" si="29"/>
        <v>#DIV/0!</v>
      </c>
      <c r="DR11" s="178" t="e">
        <f t="shared" si="29"/>
        <v>#DIV/0!</v>
      </c>
      <c r="DS11" s="178" t="e">
        <f t="shared" si="29"/>
        <v>#DIV/0!</v>
      </c>
      <c r="DT11" s="178" t="e">
        <f t="shared" si="29"/>
        <v>#DIV/0!</v>
      </c>
      <c r="DU11" s="178" t="e">
        <f t="shared" si="29"/>
        <v>#DIV/0!</v>
      </c>
      <c r="DV11" s="178" t="e">
        <f t="shared" si="29"/>
        <v>#DIV/0!</v>
      </c>
      <c r="DW11" s="178" t="e">
        <f t="shared" si="29"/>
        <v>#DIV/0!</v>
      </c>
      <c r="DX11" s="178" t="e">
        <f t="shared" si="29"/>
        <v>#DIV/0!</v>
      </c>
      <c r="DY11" s="178" t="e">
        <f t="shared" si="29"/>
        <v>#DIV/0!</v>
      </c>
      <c r="DZ11" s="168" t="e">
        <f t="shared" si="29"/>
        <v>#DIV/0!</v>
      </c>
      <c r="EA11" s="169" t="e">
        <f t="shared" ref="EA11:EA74" si="55">SUM(DO11:DZ11)</f>
        <v>#DIV/0!</v>
      </c>
      <c r="EB11" s="171" t="e">
        <f t="shared" ref="EB11:EB74" si="56">IF(AND($DZ$9&gt;$A11,$EA11&lt;&gt;0),$D11-$S11-$AG11-$AU11-$BI11-$BW11--CY11-$DM11-$CK11-$EA11,0)</f>
        <v>#DIV/0!</v>
      </c>
    </row>
    <row r="12" spans="1:132" s="177" customFormat="1" ht="15.75">
      <c r="A12" s="163">
        <v>43831</v>
      </c>
      <c r="B12" s="403" t="s">
        <v>91</v>
      </c>
      <c r="C12" s="404" t="s">
        <v>254</v>
      </c>
      <c r="D12" s="405">
        <v>40000</v>
      </c>
      <c r="E12" s="167"/>
      <c r="F12" s="168" t="e">
        <f t="shared" si="20"/>
        <v>#DIV/0!</v>
      </c>
      <c r="G12" s="169" t="e">
        <f t="shared" si="30"/>
        <v>#DIV/0!</v>
      </c>
      <c r="H12" s="178" t="e">
        <f t="shared" si="21"/>
        <v>#DIV/0!</v>
      </c>
      <c r="I12" s="178" t="e">
        <f t="shared" si="21"/>
        <v>#DIV/0!</v>
      </c>
      <c r="J12" s="178" t="e">
        <f t="shared" si="21"/>
        <v>#DIV/0!</v>
      </c>
      <c r="K12" s="178" t="e">
        <f t="shared" si="21"/>
        <v>#DIV/0!</v>
      </c>
      <c r="L12" s="178" t="e">
        <f t="shared" si="21"/>
        <v>#DIV/0!</v>
      </c>
      <c r="M12" s="178" t="e">
        <f t="shared" si="21"/>
        <v>#DIV/0!</v>
      </c>
      <c r="N12" s="178" t="e">
        <f t="shared" si="21"/>
        <v>#DIV/0!</v>
      </c>
      <c r="O12" s="178" t="e">
        <f t="shared" si="21"/>
        <v>#DIV/0!</v>
      </c>
      <c r="P12" s="178" t="e">
        <f t="shared" si="21"/>
        <v>#DIV/0!</v>
      </c>
      <c r="Q12" s="178" t="e">
        <f t="shared" si="21"/>
        <v>#DIV/0!</v>
      </c>
      <c r="R12" s="179" t="e">
        <f t="shared" si="21"/>
        <v>#DIV/0!</v>
      </c>
      <c r="S12" s="169" t="e">
        <f t="shared" si="31"/>
        <v>#DIV/0!</v>
      </c>
      <c r="T12" s="179" t="e">
        <f t="shared" si="32"/>
        <v>#DIV/0!</v>
      </c>
      <c r="U12" s="180" t="e">
        <f t="shared" si="33"/>
        <v>#DIV/0!</v>
      </c>
      <c r="V12" s="178" t="e">
        <f t="shared" si="22"/>
        <v>#DIV/0!</v>
      </c>
      <c r="W12" s="178" t="e">
        <f t="shared" si="22"/>
        <v>#DIV/0!</v>
      </c>
      <c r="X12" s="178" t="e">
        <f t="shared" si="22"/>
        <v>#DIV/0!</v>
      </c>
      <c r="Y12" s="178" t="e">
        <f t="shared" si="22"/>
        <v>#DIV/0!</v>
      </c>
      <c r="Z12" s="178" t="e">
        <f t="shared" si="22"/>
        <v>#DIV/0!</v>
      </c>
      <c r="AA12" s="178" t="e">
        <f t="shared" si="22"/>
        <v>#DIV/0!</v>
      </c>
      <c r="AB12" s="178" t="e">
        <f t="shared" si="22"/>
        <v>#DIV/0!</v>
      </c>
      <c r="AC12" s="178" t="e">
        <f t="shared" si="22"/>
        <v>#DIV/0!</v>
      </c>
      <c r="AD12" s="178" t="e">
        <f t="shared" si="22"/>
        <v>#DIV/0!</v>
      </c>
      <c r="AE12" s="178" t="e">
        <f t="shared" si="22"/>
        <v>#DIV/0!</v>
      </c>
      <c r="AF12" s="168" t="e">
        <f t="shared" si="22"/>
        <v>#DIV/0!</v>
      </c>
      <c r="AG12" s="169" t="e">
        <f t="shared" si="34"/>
        <v>#DIV/0!</v>
      </c>
      <c r="AH12" s="179" t="e">
        <f t="shared" si="35"/>
        <v>#DIV/0!</v>
      </c>
      <c r="AI12" s="180" t="e">
        <f t="shared" si="36"/>
        <v>#DIV/0!</v>
      </c>
      <c r="AJ12" s="178" t="e">
        <f t="shared" si="23"/>
        <v>#DIV/0!</v>
      </c>
      <c r="AK12" s="178" t="e">
        <f t="shared" si="23"/>
        <v>#DIV/0!</v>
      </c>
      <c r="AL12" s="178" t="e">
        <f t="shared" si="23"/>
        <v>#DIV/0!</v>
      </c>
      <c r="AM12" s="178" t="e">
        <f t="shared" si="23"/>
        <v>#DIV/0!</v>
      </c>
      <c r="AN12" s="178" t="e">
        <f t="shared" si="23"/>
        <v>#DIV/0!</v>
      </c>
      <c r="AO12" s="178" t="e">
        <f t="shared" si="23"/>
        <v>#DIV/0!</v>
      </c>
      <c r="AP12" s="178" t="e">
        <f t="shared" si="23"/>
        <v>#DIV/0!</v>
      </c>
      <c r="AQ12" s="178" t="e">
        <f t="shared" si="23"/>
        <v>#DIV/0!</v>
      </c>
      <c r="AR12" s="178" t="e">
        <f t="shared" si="23"/>
        <v>#DIV/0!</v>
      </c>
      <c r="AS12" s="178" t="e">
        <f t="shared" si="23"/>
        <v>#DIV/0!</v>
      </c>
      <c r="AT12" s="168" t="e">
        <f t="shared" si="23"/>
        <v>#DIV/0!</v>
      </c>
      <c r="AU12" s="169" t="e">
        <f t="shared" si="37"/>
        <v>#DIV/0!</v>
      </c>
      <c r="AV12" s="179" t="e">
        <f t="shared" si="38"/>
        <v>#DIV/0!</v>
      </c>
      <c r="AW12" s="180" t="e">
        <f t="shared" si="39"/>
        <v>#DIV/0!</v>
      </c>
      <c r="AX12" s="178" t="e">
        <f t="shared" si="24"/>
        <v>#DIV/0!</v>
      </c>
      <c r="AY12" s="178" t="e">
        <f t="shared" si="24"/>
        <v>#DIV/0!</v>
      </c>
      <c r="AZ12" s="178" t="e">
        <f t="shared" si="24"/>
        <v>#DIV/0!</v>
      </c>
      <c r="BA12" s="178" t="e">
        <f t="shared" si="24"/>
        <v>#DIV/0!</v>
      </c>
      <c r="BB12" s="178" t="e">
        <f t="shared" si="24"/>
        <v>#DIV/0!</v>
      </c>
      <c r="BC12" s="178" t="e">
        <f t="shared" si="24"/>
        <v>#DIV/0!</v>
      </c>
      <c r="BD12" s="178" t="e">
        <f t="shared" si="24"/>
        <v>#DIV/0!</v>
      </c>
      <c r="BE12" s="178" t="e">
        <f t="shared" si="24"/>
        <v>#DIV/0!</v>
      </c>
      <c r="BF12" s="178" t="e">
        <f t="shared" si="24"/>
        <v>#DIV/0!</v>
      </c>
      <c r="BG12" s="178" t="e">
        <f t="shared" si="24"/>
        <v>#DIV/0!</v>
      </c>
      <c r="BH12" s="168" t="e">
        <f t="shared" si="24"/>
        <v>#DIV/0!</v>
      </c>
      <c r="BI12" s="169" t="e">
        <f t="shared" si="40"/>
        <v>#DIV/0!</v>
      </c>
      <c r="BJ12" s="179" t="e">
        <f t="shared" si="41"/>
        <v>#DIV/0!</v>
      </c>
      <c r="BK12" s="180" t="e">
        <f t="shared" si="42"/>
        <v>#DIV/0!</v>
      </c>
      <c r="BL12" s="178" t="e">
        <f t="shared" si="25"/>
        <v>#DIV/0!</v>
      </c>
      <c r="BM12" s="178" t="e">
        <f t="shared" si="25"/>
        <v>#DIV/0!</v>
      </c>
      <c r="BN12" s="178" t="e">
        <f t="shared" si="25"/>
        <v>#DIV/0!</v>
      </c>
      <c r="BO12" s="178" t="e">
        <f t="shared" si="25"/>
        <v>#DIV/0!</v>
      </c>
      <c r="BP12" s="178" t="e">
        <f t="shared" si="25"/>
        <v>#DIV/0!</v>
      </c>
      <c r="BQ12" s="178" t="e">
        <f t="shared" si="25"/>
        <v>#DIV/0!</v>
      </c>
      <c r="BR12" s="178" t="e">
        <f t="shared" si="25"/>
        <v>#DIV/0!</v>
      </c>
      <c r="BS12" s="178" t="e">
        <f t="shared" si="25"/>
        <v>#DIV/0!</v>
      </c>
      <c r="BT12" s="178" t="e">
        <f t="shared" si="25"/>
        <v>#DIV/0!</v>
      </c>
      <c r="BU12" s="178" t="e">
        <f t="shared" si="25"/>
        <v>#DIV/0!</v>
      </c>
      <c r="BV12" s="168" t="e">
        <f t="shared" si="25"/>
        <v>#DIV/0!</v>
      </c>
      <c r="BW12" s="169" t="e">
        <f t="shared" si="43"/>
        <v>#DIV/0!</v>
      </c>
      <c r="BX12" s="179" t="e">
        <f t="shared" si="44"/>
        <v>#DIV/0!</v>
      </c>
      <c r="BY12" s="180" t="e">
        <f t="shared" si="45"/>
        <v>#DIV/0!</v>
      </c>
      <c r="BZ12" s="178" t="e">
        <f t="shared" si="26"/>
        <v>#DIV/0!</v>
      </c>
      <c r="CA12" s="178" t="e">
        <f t="shared" si="26"/>
        <v>#DIV/0!</v>
      </c>
      <c r="CB12" s="178" t="e">
        <f t="shared" si="26"/>
        <v>#DIV/0!</v>
      </c>
      <c r="CC12" s="178" t="e">
        <f t="shared" si="26"/>
        <v>#DIV/0!</v>
      </c>
      <c r="CD12" s="178" t="e">
        <f t="shared" si="26"/>
        <v>#DIV/0!</v>
      </c>
      <c r="CE12" s="178" t="e">
        <f t="shared" si="26"/>
        <v>#DIV/0!</v>
      </c>
      <c r="CF12" s="178" t="e">
        <f t="shared" si="26"/>
        <v>#DIV/0!</v>
      </c>
      <c r="CG12" s="178" t="e">
        <f t="shared" si="26"/>
        <v>#DIV/0!</v>
      </c>
      <c r="CH12" s="178" t="e">
        <f t="shared" si="26"/>
        <v>#DIV/0!</v>
      </c>
      <c r="CI12" s="178" t="e">
        <f t="shared" si="26"/>
        <v>#DIV/0!</v>
      </c>
      <c r="CJ12" s="168" t="e">
        <f t="shared" si="26"/>
        <v>#DIV/0!</v>
      </c>
      <c r="CK12" s="169" t="e">
        <f t="shared" si="46"/>
        <v>#DIV/0!</v>
      </c>
      <c r="CL12" s="179" t="e">
        <f t="shared" si="47"/>
        <v>#DIV/0!</v>
      </c>
      <c r="CM12" s="180" t="e">
        <f t="shared" si="48"/>
        <v>#DIV/0!</v>
      </c>
      <c r="CN12" s="178" t="e">
        <f t="shared" si="27"/>
        <v>#DIV/0!</v>
      </c>
      <c r="CO12" s="178" t="e">
        <f t="shared" si="27"/>
        <v>#DIV/0!</v>
      </c>
      <c r="CP12" s="178" t="e">
        <f t="shared" si="27"/>
        <v>#DIV/0!</v>
      </c>
      <c r="CQ12" s="178" t="e">
        <f t="shared" si="27"/>
        <v>#DIV/0!</v>
      </c>
      <c r="CR12" s="178" t="e">
        <f t="shared" si="27"/>
        <v>#DIV/0!</v>
      </c>
      <c r="CS12" s="178" t="e">
        <f t="shared" si="27"/>
        <v>#DIV/0!</v>
      </c>
      <c r="CT12" s="178" t="e">
        <f t="shared" si="27"/>
        <v>#DIV/0!</v>
      </c>
      <c r="CU12" s="178" t="e">
        <f t="shared" si="27"/>
        <v>#DIV/0!</v>
      </c>
      <c r="CV12" s="178" t="e">
        <f t="shared" si="27"/>
        <v>#DIV/0!</v>
      </c>
      <c r="CW12" s="178" t="e">
        <f t="shared" si="27"/>
        <v>#DIV/0!</v>
      </c>
      <c r="CX12" s="168" t="e">
        <f t="shared" si="27"/>
        <v>#DIV/0!</v>
      </c>
      <c r="CY12" s="169" t="e">
        <f t="shared" si="49"/>
        <v>#DIV/0!</v>
      </c>
      <c r="CZ12" s="179" t="e">
        <f t="shared" si="50"/>
        <v>#DIV/0!</v>
      </c>
      <c r="DA12" s="180" t="e">
        <f t="shared" si="51"/>
        <v>#DIV/0!</v>
      </c>
      <c r="DB12" s="178" t="e">
        <f t="shared" si="28"/>
        <v>#DIV/0!</v>
      </c>
      <c r="DC12" s="178" t="e">
        <f t="shared" si="28"/>
        <v>#DIV/0!</v>
      </c>
      <c r="DD12" s="178" t="e">
        <f t="shared" si="28"/>
        <v>#DIV/0!</v>
      </c>
      <c r="DE12" s="178" t="e">
        <f t="shared" si="28"/>
        <v>#DIV/0!</v>
      </c>
      <c r="DF12" s="178" t="e">
        <f t="shared" si="28"/>
        <v>#DIV/0!</v>
      </c>
      <c r="DG12" s="178" t="e">
        <f t="shared" si="28"/>
        <v>#DIV/0!</v>
      </c>
      <c r="DH12" s="178" t="e">
        <f t="shared" si="28"/>
        <v>#DIV/0!</v>
      </c>
      <c r="DI12" s="178" t="e">
        <f t="shared" si="28"/>
        <v>#DIV/0!</v>
      </c>
      <c r="DJ12" s="178" t="e">
        <f t="shared" si="28"/>
        <v>#DIV/0!</v>
      </c>
      <c r="DK12" s="178" t="e">
        <f t="shared" si="28"/>
        <v>#DIV/0!</v>
      </c>
      <c r="DL12" s="168" t="e">
        <f t="shared" si="28"/>
        <v>#DIV/0!</v>
      </c>
      <c r="DM12" s="169" t="e">
        <f t="shared" si="52"/>
        <v>#DIV/0!</v>
      </c>
      <c r="DN12" s="171" t="e">
        <f t="shared" si="53"/>
        <v>#DIV/0!</v>
      </c>
      <c r="DO12" s="180" t="e">
        <f t="shared" si="54"/>
        <v>#DIV/0!</v>
      </c>
      <c r="DP12" s="178" t="e">
        <f t="shared" si="29"/>
        <v>#DIV/0!</v>
      </c>
      <c r="DQ12" s="178" t="e">
        <f t="shared" si="29"/>
        <v>#DIV/0!</v>
      </c>
      <c r="DR12" s="178" t="e">
        <f t="shared" si="29"/>
        <v>#DIV/0!</v>
      </c>
      <c r="DS12" s="178" t="e">
        <f t="shared" si="29"/>
        <v>#DIV/0!</v>
      </c>
      <c r="DT12" s="178" t="e">
        <f t="shared" si="29"/>
        <v>#DIV/0!</v>
      </c>
      <c r="DU12" s="178" t="e">
        <f t="shared" si="29"/>
        <v>#DIV/0!</v>
      </c>
      <c r="DV12" s="178" t="e">
        <f t="shared" si="29"/>
        <v>#DIV/0!</v>
      </c>
      <c r="DW12" s="178" t="e">
        <f t="shared" si="29"/>
        <v>#DIV/0!</v>
      </c>
      <c r="DX12" s="178" t="e">
        <f t="shared" si="29"/>
        <v>#DIV/0!</v>
      </c>
      <c r="DY12" s="178" t="e">
        <f t="shared" si="29"/>
        <v>#DIV/0!</v>
      </c>
      <c r="DZ12" s="168" t="e">
        <f t="shared" si="29"/>
        <v>#DIV/0!</v>
      </c>
      <c r="EA12" s="169" t="e">
        <f t="shared" si="55"/>
        <v>#DIV/0!</v>
      </c>
      <c r="EB12" s="171" t="e">
        <f t="shared" si="56"/>
        <v>#DIV/0!</v>
      </c>
    </row>
    <row r="13" spans="1:132" s="177" customFormat="1" ht="15.75">
      <c r="A13" s="163">
        <v>43831</v>
      </c>
      <c r="B13" s="403" t="s">
        <v>88</v>
      </c>
      <c r="C13" s="404" t="s">
        <v>255</v>
      </c>
      <c r="D13" s="405">
        <v>30000</v>
      </c>
      <c r="E13" s="167"/>
      <c r="F13" s="168" t="e">
        <f t="shared" si="20"/>
        <v>#DIV/0!</v>
      </c>
      <c r="G13" s="169" t="e">
        <f t="shared" si="30"/>
        <v>#DIV/0!</v>
      </c>
      <c r="H13" s="178" t="e">
        <f t="shared" si="21"/>
        <v>#DIV/0!</v>
      </c>
      <c r="I13" s="178" t="e">
        <f t="shared" si="21"/>
        <v>#DIV/0!</v>
      </c>
      <c r="J13" s="178" t="e">
        <f t="shared" si="21"/>
        <v>#DIV/0!</v>
      </c>
      <c r="K13" s="178" t="e">
        <f t="shared" si="21"/>
        <v>#DIV/0!</v>
      </c>
      <c r="L13" s="178" t="e">
        <f t="shared" si="21"/>
        <v>#DIV/0!</v>
      </c>
      <c r="M13" s="178" t="e">
        <f t="shared" si="21"/>
        <v>#DIV/0!</v>
      </c>
      <c r="N13" s="178" t="e">
        <f t="shared" si="21"/>
        <v>#DIV/0!</v>
      </c>
      <c r="O13" s="178" t="e">
        <f t="shared" si="21"/>
        <v>#DIV/0!</v>
      </c>
      <c r="P13" s="178" t="e">
        <f t="shared" si="21"/>
        <v>#DIV/0!</v>
      </c>
      <c r="Q13" s="178" t="e">
        <f t="shared" si="21"/>
        <v>#DIV/0!</v>
      </c>
      <c r="R13" s="179" t="e">
        <f t="shared" si="21"/>
        <v>#DIV/0!</v>
      </c>
      <c r="S13" s="169" t="e">
        <f t="shared" si="31"/>
        <v>#DIV/0!</v>
      </c>
      <c r="T13" s="179" t="e">
        <f t="shared" si="32"/>
        <v>#DIV/0!</v>
      </c>
      <c r="U13" s="180" t="e">
        <f t="shared" si="33"/>
        <v>#DIV/0!</v>
      </c>
      <c r="V13" s="178" t="e">
        <f t="shared" si="22"/>
        <v>#DIV/0!</v>
      </c>
      <c r="W13" s="178" t="e">
        <f t="shared" si="22"/>
        <v>#DIV/0!</v>
      </c>
      <c r="X13" s="178" t="e">
        <f t="shared" si="22"/>
        <v>#DIV/0!</v>
      </c>
      <c r="Y13" s="178" t="e">
        <f t="shared" si="22"/>
        <v>#DIV/0!</v>
      </c>
      <c r="Z13" s="178" t="e">
        <f t="shared" si="22"/>
        <v>#DIV/0!</v>
      </c>
      <c r="AA13" s="178" t="e">
        <f t="shared" si="22"/>
        <v>#DIV/0!</v>
      </c>
      <c r="AB13" s="178" t="e">
        <f t="shared" si="22"/>
        <v>#DIV/0!</v>
      </c>
      <c r="AC13" s="178" t="e">
        <f t="shared" si="22"/>
        <v>#DIV/0!</v>
      </c>
      <c r="AD13" s="178" t="e">
        <f t="shared" si="22"/>
        <v>#DIV/0!</v>
      </c>
      <c r="AE13" s="178" t="e">
        <f t="shared" si="22"/>
        <v>#DIV/0!</v>
      </c>
      <c r="AF13" s="168" t="e">
        <f t="shared" si="22"/>
        <v>#DIV/0!</v>
      </c>
      <c r="AG13" s="169" t="e">
        <f t="shared" si="34"/>
        <v>#DIV/0!</v>
      </c>
      <c r="AH13" s="179" t="e">
        <f t="shared" si="35"/>
        <v>#DIV/0!</v>
      </c>
      <c r="AI13" s="180" t="e">
        <f t="shared" si="36"/>
        <v>#DIV/0!</v>
      </c>
      <c r="AJ13" s="178" t="e">
        <f t="shared" si="23"/>
        <v>#DIV/0!</v>
      </c>
      <c r="AK13" s="178" t="e">
        <f t="shared" si="23"/>
        <v>#DIV/0!</v>
      </c>
      <c r="AL13" s="178" t="e">
        <f t="shared" si="23"/>
        <v>#DIV/0!</v>
      </c>
      <c r="AM13" s="178" t="e">
        <f t="shared" si="23"/>
        <v>#DIV/0!</v>
      </c>
      <c r="AN13" s="178" t="e">
        <f t="shared" si="23"/>
        <v>#DIV/0!</v>
      </c>
      <c r="AO13" s="178" t="e">
        <f t="shared" si="23"/>
        <v>#DIV/0!</v>
      </c>
      <c r="AP13" s="178" t="e">
        <f t="shared" si="23"/>
        <v>#DIV/0!</v>
      </c>
      <c r="AQ13" s="178" t="e">
        <f t="shared" si="23"/>
        <v>#DIV/0!</v>
      </c>
      <c r="AR13" s="178" t="e">
        <f t="shared" si="23"/>
        <v>#DIV/0!</v>
      </c>
      <c r="AS13" s="178" t="e">
        <f t="shared" si="23"/>
        <v>#DIV/0!</v>
      </c>
      <c r="AT13" s="168" t="e">
        <f t="shared" si="23"/>
        <v>#DIV/0!</v>
      </c>
      <c r="AU13" s="169" t="e">
        <f t="shared" si="37"/>
        <v>#DIV/0!</v>
      </c>
      <c r="AV13" s="179" t="e">
        <f t="shared" si="38"/>
        <v>#DIV/0!</v>
      </c>
      <c r="AW13" s="180" t="e">
        <f t="shared" si="39"/>
        <v>#DIV/0!</v>
      </c>
      <c r="AX13" s="178" t="e">
        <f t="shared" si="24"/>
        <v>#DIV/0!</v>
      </c>
      <c r="AY13" s="178" t="e">
        <f t="shared" si="24"/>
        <v>#DIV/0!</v>
      </c>
      <c r="AZ13" s="178" t="e">
        <f t="shared" si="24"/>
        <v>#DIV/0!</v>
      </c>
      <c r="BA13" s="178" t="e">
        <f t="shared" si="24"/>
        <v>#DIV/0!</v>
      </c>
      <c r="BB13" s="178" t="e">
        <f t="shared" si="24"/>
        <v>#DIV/0!</v>
      </c>
      <c r="BC13" s="178" t="e">
        <f t="shared" si="24"/>
        <v>#DIV/0!</v>
      </c>
      <c r="BD13" s="178" t="e">
        <f t="shared" si="24"/>
        <v>#DIV/0!</v>
      </c>
      <c r="BE13" s="178" t="e">
        <f t="shared" si="24"/>
        <v>#DIV/0!</v>
      </c>
      <c r="BF13" s="178" t="e">
        <f t="shared" si="24"/>
        <v>#DIV/0!</v>
      </c>
      <c r="BG13" s="178" t="e">
        <f t="shared" si="24"/>
        <v>#DIV/0!</v>
      </c>
      <c r="BH13" s="168" t="e">
        <f t="shared" si="24"/>
        <v>#DIV/0!</v>
      </c>
      <c r="BI13" s="169" t="e">
        <f t="shared" si="40"/>
        <v>#DIV/0!</v>
      </c>
      <c r="BJ13" s="179" t="e">
        <f t="shared" si="41"/>
        <v>#DIV/0!</v>
      </c>
      <c r="BK13" s="180" t="e">
        <f t="shared" si="42"/>
        <v>#DIV/0!</v>
      </c>
      <c r="BL13" s="178" t="e">
        <f t="shared" si="25"/>
        <v>#DIV/0!</v>
      </c>
      <c r="BM13" s="178" t="e">
        <f t="shared" si="25"/>
        <v>#DIV/0!</v>
      </c>
      <c r="BN13" s="178" t="e">
        <f t="shared" si="25"/>
        <v>#DIV/0!</v>
      </c>
      <c r="BO13" s="178" t="e">
        <f t="shared" si="25"/>
        <v>#DIV/0!</v>
      </c>
      <c r="BP13" s="178" t="e">
        <f t="shared" si="25"/>
        <v>#DIV/0!</v>
      </c>
      <c r="BQ13" s="178" t="e">
        <f t="shared" si="25"/>
        <v>#DIV/0!</v>
      </c>
      <c r="BR13" s="178" t="e">
        <f t="shared" si="25"/>
        <v>#DIV/0!</v>
      </c>
      <c r="BS13" s="178" t="e">
        <f t="shared" si="25"/>
        <v>#DIV/0!</v>
      </c>
      <c r="BT13" s="178" t="e">
        <f t="shared" si="25"/>
        <v>#DIV/0!</v>
      </c>
      <c r="BU13" s="178" t="e">
        <f t="shared" si="25"/>
        <v>#DIV/0!</v>
      </c>
      <c r="BV13" s="168" t="e">
        <f t="shared" si="25"/>
        <v>#DIV/0!</v>
      </c>
      <c r="BW13" s="169" t="e">
        <f t="shared" si="43"/>
        <v>#DIV/0!</v>
      </c>
      <c r="BX13" s="179" t="e">
        <f t="shared" si="44"/>
        <v>#DIV/0!</v>
      </c>
      <c r="BY13" s="180" t="e">
        <f t="shared" si="45"/>
        <v>#DIV/0!</v>
      </c>
      <c r="BZ13" s="178" t="e">
        <f t="shared" si="26"/>
        <v>#DIV/0!</v>
      </c>
      <c r="CA13" s="178" t="e">
        <f t="shared" si="26"/>
        <v>#DIV/0!</v>
      </c>
      <c r="CB13" s="178" t="e">
        <f t="shared" si="26"/>
        <v>#DIV/0!</v>
      </c>
      <c r="CC13" s="178" t="e">
        <f t="shared" si="26"/>
        <v>#DIV/0!</v>
      </c>
      <c r="CD13" s="178" t="e">
        <f t="shared" si="26"/>
        <v>#DIV/0!</v>
      </c>
      <c r="CE13" s="178" t="e">
        <f t="shared" si="26"/>
        <v>#DIV/0!</v>
      </c>
      <c r="CF13" s="178" t="e">
        <f t="shared" si="26"/>
        <v>#DIV/0!</v>
      </c>
      <c r="CG13" s="178" t="e">
        <f t="shared" si="26"/>
        <v>#DIV/0!</v>
      </c>
      <c r="CH13" s="178" t="e">
        <f t="shared" si="26"/>
        <v>#DIV/0!</v>
      </c>
      <c r="CI13" s="178" t="e">
        <f t="shared" si="26"/>
        <v>#DIV/0!</v>
      </c>
      <c r="CJ13" s="168" t="e">
        <f t="shared" si="26"/>
        <v>#DIV/0!</v>
      </c>
      <c r="CK13" s="169" t="e">
        <f t="shared" si="46"/>
        <v>#DIV/0!</v>
      </c>
      <c r="CL13" s="179" t="e">
        <f t="shared" si="47"/>
        <v>#DIV/0!</v>
      </c>
      <c r="CM13" s="180" t="e">
        <f t="shared" si="48"/>
        <v>#DIV/0!</v>
      </c>
      <c r="CN13" s="178" t="e">
        <f t="shared" si="27"/>
        <v>#DIV/0!</v>
      </c>
      <c r="CO13" s="178" t="e">
        <f t="shared" si="27"/>
        <v>#DIV/0!</v>
      </c>
      <c r="CP13" s="178" t="e">
        <f t="shared" si="27"/>
        <v>#DIV/0!</v>
      </c>
      <c r="CQ13" s="178" t="e">
        <f t="shared" si="27"/>
        <v>#DIV/0!</v>
      </c>
      <c r="CR13" s="178" t="e">
        <f t="shared" si="27"/>
        <v>#DIV/0!</v>
      </c>
      <c r="CS13" s="178" t="e">
        <f t="shared" si="27"/>
        <v>#DIV/0!</v>
      </c>
      <c r="CT13" s="178" t="e">
        <f t="shared" si="27"/>
        <v>#DIV/0!</v>
      </c>
      <c r="CU13" s="178" t="e">
        <f t="shared" si="27"/>
        <v>#DIV/0!</v>
      </c>
      <c r="CV13" s="178" t="e">
        <f t="shared" si="27"/>
        <v>#DIV/0!</v>
      </c>
      <c r="CW13" s="178" t="e">
        <f t="shared" si="27"/>
        <v>#DIV/0!</v>
      </c>
      <c r="CX13" s="168" t="e">
        <f t="shared" si="27"/>
        <v>#DIV/0!</v>
      </c>
      <c r="CY13" s="169" t="e">
        <f t="shared" si="49"/>
        <v>#DIV/0!</v>
      </c>
      <c r="CZ13" s="179" t="e">
        <f t="shared" si="50"/>
        <v>#DIV/0!</v>
      </c>
      <c r="DA13" s="180" t="e">
        <f t="shared" si="51"/>
        <v>#DIV/0!</v>
      </c>
      <c r="DB13" s="178" t="e">
        <f t="shared" si="28"/>
        <v>#DIV/0!</v>
      </c>
      <c r="DC13" s="178" t="e">
        <f t="shared" si="28"/>
        <v>#DIV/0!</v>
      </c>
      <c r="DD13" s="178" t="e">
        <f t="shared" si="28"/>
        <v>#DIV/0!</v>
      </c>
      <c r="DE13" s="178" t="e">
        <f t="shared" si="28"/>
        <v>#DIV/0!</v>
      </c>
      <c r="DF13" s="178" t="e">
        <f t="shared" si="28"/>
        <v>#DIV/0!</v>
      </c>
      <c r="DG13" s="178" t="e">
        <f t="shared" si="28"/>
        <v>#DIV/0!</v>
      </c>
      <c r="DH13" s="178" t="e">
        <f t="shared" si="28"/>
        <v>#DIV/0!</v>
      </c>
      <c r="DI13" s="178" t="e">
        <f t="shared" si="28"/>
        <v>#DIV/0!</v>
      </c>
      <c r="DJ13" s="178" t="e">
        <f t="shared" si="28"/>
        <v>#DIV/0!</v>
      </c>
      <c r="DK13" s="178" t="e">
        <f t="shared" si="28"/>
        <v>#DIV/0!</v>
      </c>
      <c r="DL13" s="168" t="e">
        <f t="shared" si="28"/>
        <v>#DIV/0!</v>
      </c>
      <c r="DM13" s="169" t="e">
        <f t="shared" si="52"/>
        <v>#DIV/0!</v>
      </c>
      <c r="DN13" s="171" t="e">
        <f t="shared" si="53"/>
        <v>#DIV/0!</v>
      </c>
      <c r="DO13" s="180" t="e">
        <f t="shared" si="54"/>
        <v>#DIV/0!</v>
      </c>
      <c r="DP13" s="178" t="e">
        <f t="shared" si="29"/>
        <v>#DIV/0!</v>
      </c>
      <c r="DQ13" s="178" t="e">
        <f t="shared" si="29"/>
        <v>#DIV/0!</v>
      </c>
      <c r="DR13" s="178" t="e">
        <f t="shared" si="29"/>
        <v>#DIV/0!</v>
      </c>
      <c r="DS13" s="178" t="e">
        <f t="shared" si="29"/>
        <v>#DIV/0!</v>
      </c>
      <c r="DT13" s="178" t="e">
        <f t="shared" si="29"/>
        <v>#DIV/0!</v>
      </c>
      <c r="DU13" s="178" t="e">
        <f t="shared" si="29"/>
        <v>#DIV/0!</v>
      </c>
      <c r="DV13" s="178" t="e">
        <f t="shared" si="29"/>
        <v>#DIV/0!</v>
      </c>
      <c r="DW13" s="178" t="e">
        <f t="shared" si="29"/>
        <v>#DIV/0!</v>
      </c>
      <c r="DX13" s="178" t="e">
        <f t="shared" si="29"/>
        <v>#DIV/0!</v>
      </c>
      <c r="DY13" s="178" t="e">
        <f t="shared" si="29"/>
        <v>#DIV/0!</v>
      </c>
      <c r="DZ13" s="168" t="e">
        <f t="shared" si="29"/>
        <v>#DIV/0!</v>
      </c>
      <c r="EA13" s="169" t="e">
        <f t="shared" si="55"/>
        <v>#DIV/0!</v>
      </c>
      <c r="EB13" s="171" t="e">
        <f t="shared" si="56"/>
        <v>#DIV/0!</v>
      </c>
    </row>
    <row r="14" spans="1:132" s="177" customFormat="1" ht="15.75">
      <c r="A14" s="163">
        <v>43831</v>
      </c>
      <c r="B14" s="403" t="s">
        <v>88</v>
      </c>
      <c r="C14" s="406" t="s">
        <v>256</v>
      </c>
      <c r="D14" s="405">
        <v>10000</v>
      </c>
      <c r="E14" s="167"/>
      <c r="F14" s="168" t="e">
        <f t="shared" si="20"/>
        <v>#DIV/0!</v>
      </c>
      <c r="G14" s="169" t="e">
        <f t="shared" si="30"/>
        <v>#DIV/0!</v>
      </c>
      <c r="H14" s="178" t="e">
        <f t="shared" si="21"/>
        <v>#DIV/0!</v>
      </c>
      <c r="I14" s="178" t="e">
        <f t="shared" si="21"/>
        <v>#DIV/0!</v>
      </c>
      <c r="J14" s="178" t="e">
        <f t="shared" si="21"/>
        <v>#DIV/0!</v>
      </c>
      <c r="K14" s="178" t="e">
        <f t="shared" si="21"/>
        <v>#DIV/0!</v>
      </c>
      <c r="L14" s="178" t="e">
        <f t="shared" si="21"/>
        <v>#DIV/0!</v>
      </c>
      <c r="M14" s="178" t="e">
        <f t="shared" si="21"/>
        <v>#DIV/0!</v>
      </c>
      <c r="N14" s="178" t="e">
        <f t="shared" si="21"/>
        <v>#DIV/0!</v>
      </c>
      <c r="O14" s="178" t="e">
        <f t="shared" si="21"/>
        <v>#DIV/0!</v>
      </c>
      <c r="P14" s="178" t="e">
        <f t="shared" si="21"/>
        <v>#DIV/0!</v>
      </c>
      <c r="Q14" s="178" t="e">
        <f t="shared" si="21"/>
        <v>#DIV/0!</v>
      </c>
      <c r="R14" s="179" t="e">
        <f t="shared" si="21"/>
        <v>#DIV/0!</v>
      </c>
      <c r="S14" s="169" t="e">
        <f t="shared" si="31"/>
        <v>#DIV/0!</v>
      </c>
      <c r="T14" s="179" t="e">
        <f t="shared" si="32"/>
        <v>#DIV/0!</v>
      </c>
      <c r="U14" s="180" t="e">
        <f t="shared" si="33"/>
        <v>#DIV/0!</v>
      </c>
      <c r="V14" s="178" t="e">
        <f t="shared" si="22"/>
        <v>#DIV/0!</v>
      </c>
      <c r="W14" s="178" t="e">
        <f t="shared" si="22"/>
        <v>#DIV/0!</v>
      </c>
      <c r="X14" s="178" t="e">
        <f t="shared" si="22"/>
        <v>#DIV/0!</v>
      </c>
      <c r="Y14" s="178" t="e">
        <f t="shared" si="22"/>
        <v>#DIV/0!</v>
      </c>
      <c r="Z14" s="178" t="e">
        <f t="shared" si="22"/>
        <v>#DIV/0!</v>
      </c>
      <c r="AA14" s="178" t="e">
        <f t="shared" si="22"/>
        <v>#DIV/0!</v>
      </c>
      <c r="AB14" s="178" t="e">
        <f t="shared" si="22"/>
        <v>#DIV/0!</v>
      </c>
      <c r="AC14" s="178" t="e">
        <f t="shared" si="22"/>
        <v>#DIV/0!</v>
      </c>
      <c r="AD14" s="178" t="e">
        <f t="shared" si="22"/>
        <v>#DIV/0!</v>
      </c>
      <c r="AE14" s="178" t="e">
        <f t="shared" si="22"/>
        <v>#DIV/0!</v>
      </c>
      <c r="AF14" s="168" t="e">
        <f t="shared" si="22"/>
        <v>#DIV/0!</v>
      </c>
      <c r="AG14" s="169" t="e">
        <f t="shared" si="34"/>
        <v>#DIV/0!</v>
      </c>
      <c r="AH14" s="179" t="e">
        <f t="shared" si="35"/>
        <v>#DIV/0!</v>
      </c>
      <c r="AI14" s="180" t="e">
        <f t="shared" si="36"/>
        <v>#DIV/0!</v>
      </c>
      <c r="AJ14" s="178" t="e">
        <f t="shared" si="23"/>
        <v>#DIV/0!</v>
      </c>
      <c r="AK14" s="178" t="e">
        <f t="shared" si="23"/>
        <v>#DIV/0!</v>
      </c>
      <c r="AL14" s="178" t="e">
        <f t="shared" si="23"/>
        <v>#DIV/0!</v>
      </c>
      <c r="AM14" s="178" t="e">
        <f t="shared" si="23"/>
        <v>#DIV/0!</v>
      </c>
      <c r="AN14" s="178" t="e">
        <f t="shared" si="23"/>
        <v>#DIV/0!</v>
      </c>
      <c r="AO14" s="178" t="e">
        <f t="shared" si="23"/>
        <v>#DIV/0!</v>
      </c>
      <c r="AP14" s="178" t="e">
        <f t="shared" si="23"/>
        <v>#DIV/0!</v>
      </c>
      <c r="AQ14" s="178" t="e">
        <f t="shared" si="23"/>
        <v>#DIV/0!</v>
      </c>
      <c r="AR14" s="178" t="e">
        <f t="shared" si="23"/>
        <v>#DIV/0!</v>
      </c>
      <c r="AS14" s="178" t="e">
        <f t="shared" si="23"/>
        <v>#DIV/0!</v>
      </c>
      <c r="AT14" s="168" t="e">
        <f t="shared" si="23"/>
        <v>#DIV/0!</v>
      </c>
      <c r="AU14" s="169" t="e">
        <f t="shared" si="37"/>
        <v>#DIV/0!</v>
      </c>
      <c r="AV14" s="179" t="e">
        <f t="shared" si="38"/>
        <v>#DIV/0!</v>
      </c>
      <c r="AW14" s="180" t="e">
        <f t="shared" si="39"/>
        <v>#DIV/0!</v>
      </c>
      <c r="AX14" s="178" t="e">
        <f t="shared" si="24"/>
        <v>#DIV/0!</v>
      </c>
      <c r="AY14" s="178" t="e">
        <f t="shared" si="24"/>
        <v>#DIV/0!</v>
      </c>
      <c r="AZ14" s="178" t="e">
        <f t="shared" si="24"/>
        <v>#DIV/0!</v>
      </c>
      <c r="BA14" s="178" t="e">
        <f t="shared" si="24"/>
        <v>#DIV/0!</v>
      </c>
      <c r="BB14" s="178" t="e">
        <f t="shared" si="24"/>
        <v>#DIV/0!</v>
      </c>
      <c r="BC14" s="178" t="e">
        <f t="shared" si="24"/>
        <v>#DIV/0!</v>
      </c>
      <c r="BD14" s="178" t="e">
        <f t="shared" si="24"/>
        <v>#DIV/0!</v>
      </c>
      <c r="BE14" s="178" t="e">
        <f t="shared" si="24"/>
        <v>#DIV/0!</v>
      </c>
      <c r="BF14" s="178" t="e">
        <f t="shared" si="24"/>
        <v>#DIV/0!</v>
      </c>
      <c r="BG14" s="178" t="e">
        <f t="shared" si="24"/>
        <v>#DIV/0!</v>
      </c>
      <c r="BH14" s="168" t="e">
        <f t="shared" si="24"/>
        <v>#DIV/0!</v>
      </c>
      <c r="BI14" s="169" t="e">
        <f t="shared" si="40"/>
        <v>#DIV/0!</v>
      </c>
      <c r="BJ14" s="179" t="e">
        <f t="shared" si="41"/>
        <v>#DIV/0!</v>
      </c>
      <c r="BK14" s="180" t="e">
        <f t="shared" si="42"/>
        <v>#DIV/0!</v>
      </c>
      <c r="BL14" s="178" t="e">
        <f t="shared" si="25"/>
        <v>#DIV/0!</v>
      </c>
      <c r="BM14" s="178" t="e">
        <f t="shared" si="25"/>
        <v>#DIV/0!</v>
      </c>
      <c r="BN14" s="178" t="e">
        <f t="shared" si="25"/>
        <v>#DIV/0!</v>
      </c>
      <c r="BO14" s="178" t="e">
        <f t="shared" si="25"/>
        <v>#DIV/0!</v>
      </c>
      <c r="BP14" s="178" t="e">
        <f t="shared" si="25"/>
        <v>#DIV/0!</v>
      </c>
      <c r="BQ14" s="178" t="e">
        <f t="shared" si="25"/>
        <v>#DIV/0!</v>
      </c>
      <c r="BR14" s="178" t="e">
        <f t="shared" si="25"/>
        <v>#DIV/0!</v>
      </c>
      <c r="BS14" s="178" t="e">
        <f t="shared" si="25"/>
        <v>#DIV/0!</v>
      </c>
      <c r="BT14" s="178" t="e">
        <f t="shared" si="25"/>
        <v>#DIV/0!</v>
      </c>
      <c r="BU14" s="178" t="e">
        <f t="shared" si="25"/>
        <v>#DIV/0!</v>
      </c>
      <c r="BV14" s="168" t="e">
        <f t="shared" si="25"/>
        <v>#DIV/0!</v>
      </c>
      <c r="BW14" s="169" t="e">
        <f t="shared" si="43"/>
        <v>#DIV/0!</v>
      </c>
      <c r="BX14" s="179" t="e">
        <f t="shared" si="44"/>
        <v>#DIV/0!</v>
      </c>
      <c r="BY14" s="180" t="e">
        <f t="shared" si="45"/>
        <v>#DIV/0!</v>
      </c>
      <c r="BZ14" s="178" t="e">
        <f t="shared" si="26"/>
        <v>#DIV/0!</v>
      </c>
      <c r="CA14" s="178" t="e">
        <f t="shared" si="26"/>
        <v>#DIV/0!</v>
      </c>
      <c r="CB14" s="178" t="e">
        <f t="shared" si="26"/>
        <v>#DIV/0!</v>
      </c>
      <c r="CC14" s="178" t="e">
        <f t="shared" si="26"/>
        <v>#DIV/0!</v>
      </c>
      <c r="CD14" s="178" t="e">
        <f t="shared" si="26"/>
        <v>#DIV/0!</v>
      </c>
      <c r="CE14" s="178" t="e">
        <f t="shared" si="26"/>
        <v>#DIV/0!</v>
      </c>
      <c r="CF14" s="178" t="e">
        <f t="shared" si="26"/>
        <v>#DIV/0!</v>
      </c>
      <c r="CG14" s="178" t="e">
        <f t="shared" si="26"/>
        <v>#DIV/0!</v>
      </c>
      <c r="CH14" s="178" t="e">
        <f t="shared" si="26"/>
        <v>#DIV/0!</v>
      </c>
      <c r="CI14" s="178" t="e">
        <f t="shared" si="26"/>
        <v>#DIV/0!</v>
      </c>
      <c r="CJ14" s="168" t="e">
        <f t="shared" si="26"/>
        <v>#DIV/0!</v>
      </c>
      <c r="CK14" s="169" t="e">
        <f t="shared" si="46"/>
        <v>#DIV/0!</v>
      </c>
      <c r="CL14" s="179" t="e">
        <f t="shared" si="47"/>
        <v>#DIV/0!</v>
      </c>
      <c r="CM14" s="180" t="e">
        <f t="shared" si="48"/>
        <v>#DIV/0!</v>
      </c>
      <c r="CN14" s="178" t="e">
        <f t="shared" si="27"/>
        <v>#DIV/0!</v>
      </c>
      <c r="CO14" s="178" t="e">
        <f t="shared" si="27"/>
        <v>#DIV/0!</v>
      </c>
      <c r="CP14" s="178" t="e">
        <f t="shared" si="27"/>
        <v>#DIV/0!</v>
      </c>
      <c r="CQ14" s="178" t="e">
        <f t="shared" si="27"/>
        <v>#DIV/0!</v>
      </c>
      <c r="CR14" s="178" t="e">
        <f t="shared" si="27"/>
        <v>#DIV/0!</v>
      </c>
      <c r="CS14" s="178" t="e">
        <f t="shared" si="27"/>
        <v>#DIV/0!</v>
      </c>
      <c r="CT14" s="178" t="e">
        <f t="shared" si="27"/>
        <v>#DIV/0!</v>
      </c>
      <c r="CU14" s="178" t="e">
        <f t="shared" si="27"/>
        <v>#DIV/0!</v>
      </c>
      <c r="CV14" s="178" t="e">
        <f t="shared" si="27"/>
        <v>#DIV/0!</v>
      </c>
      <c r="CW14" s="178" t="e">
        <f t="shared" si="27"/>
        <v>#DIV/0!</v>
      </c>
      <c r="CX14" s="168" t="e">
        <f t="shared" si="27"/>
        <v>#DIV/0!</v>
      </c>
      <c r="CY14" s="169" t="e">
        <f t="shared" si="49"/>
        <v>#DIV/0!</v>
      </c>
      <c r="CZ14" s="179" t="e">
        <f t="shared" si="50"/>
        <v>#DIV/0!</v>
      </c>
      <c r="DA14" s="180" t="e">
        <f t="shared" si="51"/>
        <v>#DIV/0!</v>
      </c>
      <c r="DB14" s="178" t="e">
        <f t="shared" si="28"/>
        <v>#DIV/0!</v>
      </c>
      <c r="DC14" s="178" t="e">
        <f t="shared" si="28"/>
        <v>#DIV/0!</v>
      </c>
      <c r="DD14" s="178" t="e">
        <f t="shared" si="28"/>
        <v>#DIV/0!</v>
      </c>
      <c r="DE14" s="178" t="e">
        <f t="shared" si="28"/>
        <v>#DIV/0!</v>
      </c>
      <c r="DF14" s="178" t="e">
        <f t="shared" si="28"/>
        <v>#DIV/0!</v>
      </c>
      <c r="DG14" s="178" t="e">
        <f t="shared" si="28"/>
        <v>#DIV/0!</v>
      </c>
      <c r="DH14" s="178" t="e">
        <f t="shared" si="28"/>
        <v>#DIV/0!</v>
      </c>
      <c r="DI14" s="178" t="e">
        <f t="shared" si="28"/>
        <v>#DIV/0!</v>
      </c>
      <c r="DJ14" s="178" t="e">
        <f t="shared" si="28"/>
        <v>#DIV/0!</v>
      </c>
      <c r="DK14" s="178" t="e">
        <f t="shared" si="28"/>
        <v>#DIV/0!</v>
      </c>
      <c r="DL14" s="168" t="e">
        <f t="shared" si="28"/>
        <v>#DIV/0!</v>
      </c>
      <c r="DM14" s="169" t="e">
        <f t="shared" si="52"/>
        <v>#DIV/0!</v>
      </c>
      <c r="DN14" s="171" t="e">
        <f t="shared" si="53"/>
        <v>#DIV/0!</v>
      </c>
      <c r="DO14" s="180" t="e">
        <f t="shared" si="54"/>
        <v>#DIV/0!</v>
      </c>
      <c r="DP14" s="178" t="e">
        <f t="shared" si="29"/>
        <v>#DIV/0!</v>
      </c>
      <c r="DQ14" s="178" t="e">
        <f t="shared" si="29"/>
        <v>#DIV/0!</v>
      </c>
      <c r="DR14" s="178" t="e">
        <f t="shared" si="29"/>
        <v>#DIV/0!</v>
      </c>
      <c r="DS14" s="178" t="e">
        <f t="shared" si="29"/>
        <v>#DIV/0!</v>
      </c>
      <c r="DT14" s="178" t="e">
        <f t="shared" si="29"/>
        <v>#DIV/0!</v>
      </c>
      <c r="DU14" s="178" t="e">
        <f t="shared" si="29"/>
        <v>#DIV/0!</v>
      </c>
      <c r="DV14" s="178" t="e">
        <f t="shared" si="29"/>
        <v>#DIV/0!</v>
      </c>
      <c r="DW14" s="178" t="e">
        <f t="shared" si="29"/>
        <v>#DIV/0!</v>
      </c>
      <c r="DX14" s="178" t="e">
        <f t="shared" si="29"/>
        <v>#DIV/0!</v>
      </c>
      <c r="DY14" s="178" t="e">
        <f t="shared" si="29"/>
        <v>#DIV/0!</v>
      </c>
      <c r="DZ14" s="168" t="e">
        <f t="shared" si="29"/>
        <v>#DIV/0!</v>
      </c>
      <c r="EA14" s="169" t="e">
        <f t="shared" si="55"/>
        <v>#DIV/0!</v>
      </c>
      <c r="EB14" s="171" t="e">
        <f t="shared" si="56"/>
        <v>#DIV/0!</v>
      </c>
    </row>
    <row r="15" spans="1:132" s="177" customFormat="1" ht="15.75">
      <c r="A15" s="163">
        <v>43831</v>
      </c>
      <c r="B15" s="403" t="s">
        <v>88</v>
      </c>
      <c r="C15" s="406" t="s">
        <v>257</v>
      </c>
      <c r="D15" s="405">
        <v>75000</v>
      </c>
      <c r="E15" s="167"/>
      <c r="F15" s="168" t="e">
        <f t="shared" si="20"/>
        <v>#DIV/0!</v>
      </c>
      <c r="G15" s="169" t="e">
        <f t="shared" si="30"/>
        <v>#DIV/0!</v>
      </c>
      <c r="H15" s="178" t="e">
        <f t="shared" si="21"/>
        <v>#DIV/0!</v>
      </c>
      <c r="I15" s="178" t="e">
        <f t="shared" si="21"/>
        <v>#DIV/0!</v>
      </c>
      <c r="J15" s="178" t="e">
        <f t="shared" si="21"/>
        <v>#DIV/0!</v>
      </c>
      <c r="K15" s="178" t="e">
        <f t="shared" si="21"/>
        <v>#DIV/0!</v>
      </c>
      <c r="L15" s="178" t="e">
        <f t="shared" si="21"/>
        <v>#DIV/0!</v>
      </c>
      <c r="M15" s="178" t="e">
        <f t="shared" si="21"/>
        <v>#DIV/0!</v>
      </c>
      <c r="N15" s="178" t="e">
        <f t="shared" si="21"/>
        <v>#DIV/0!</v>
      </c>
      <c r="O15" s="178" t="e">
        <f t="shared" si="21"/>
        <v>#DIV/0!</v>
      </c>
      <c r="P15" s="178" t="e">
        <f t="shared" si="21"/>
        <v>#DIV/0!</v>
      </c>
      <c r="Q15" s="178" t="e">
        <f t="shared" si="21"/>
        <v>#DIV/0!</v>
      </c>
      <c r="R15" s="179" t="e">
        <f t="shared" si="21"/>
        <v>#DIV/0!</v>
      </c>
      <c r="S15" s="169" t="e">
        <f t="shared" si="31"/>
        <v>#DIV/0!</v>
      </c>
      <c r="T15" s="179" t="e">
        <f t="shared" si="32"/>
        <v>#DIV/0!</v>
      </c>
      <c r="U15" s="180" t="e">
        <f t="shared" si="33"/>
        <v>#DIV/0!</v>
      </c>
      <c r="V15" s="178" t="e">
        <f t="shared" si="22"/>
        <v>#DIV/0!</v>
      </c>
      <c r="W15" s="178" t="e">
        <f t="shared" si="22"/>
        <v>#DIV/0!</v>
      </c>
      <c r="X15" s="178" t="e">
        <f t="shared" si="22"/>
        <v>#DIV/0!</v>
      </c>
      <c r="Y15" s="178" t="e">
        <f t="shared" si="22"/>
        <v>#DIV/0!</v>
      </c>
      <c r="Z15" s="178" t="e">
        <f t="shared" si="22"/>
        <v>#DIV/0!</v>
      </c>
      <c r="AA15" s="178" t="e">
        <f t="shared" si="22"/>
        <v>#DIV/0!</v>
      </c>
      <c r="AB15" s="178" t="e">
        <f t="shared" si="22"/>
        <v>#DIV/0!</v>
      </c>
      <c r="AC15" s="178" t="e">
        <f t="shared" si="22"/>
        <v>#DIV/0!</v>
      </c>
      <c r="AD15" s="178" t="e">
        <f t="shared" si="22"/>
        <v>#DIV/0!</v>
      </c>
      <c r="AE15" s="178" t="e">
        <f t="shared" si="22"/>
        <v>#DIV/0!</v>
      </c>
      <c r="AF15" s="168" t="e">
        <f t="shared" si="22"/>
        <v>#DIV/0!</v>
      </c>
      <c r="AG15" s="169" t="e">
        <f t="shared" si="34"/>
        <v>#DIV/0!</v>
      </c>
      <c r="AH15" s="179" t="e">
        <f t="shared" si="35"/>
        <v>#DIV/0!</v>
      </c>
      <c r="AI15" s="180" t="e">
        <f t="shared" si="36"/>
        <v>#DIV/0!</v>
      </c>
      <c r="AJ15" s="178" t="e">
        <f t="shared" si="23"/>
        <v>#DIV/0!</v>
      </c>
      <c r="AK15" s="178" t="e">
        <f t="shared" si="23"/>
        <v>#DIV/0!</v>
      </c>
      <c r="AL15" s="178" t="e">
        <f t="shared" si="23"/>
        <v>#DIV/0!</v>
      </c>
      <c r="AM15" s="178" t="e">
        <f t="shared" si="23"/>
        <v>#DIV/0!</v>
      </c>
      <c r="AN15" s="178" t="e">
        <f t="shared" si="23"/>
        <v>#DIV/0!</v>
      </c>
      <c r="AO15" s="178" t="e">
        <f t="shared" si="23"/>
        <v>#DIV/0!</v>
      </c>
      <c r="AP15" s="178" t="e">
        <f t="shared" si="23"/>
        <v>#DIV/0!</v>
      </c>
      <c r="AQ15" s="178" t="e">
        <f t="shared" si="23"/>
        <v>#DIV/0!</v>
      </c>
      <c r="AR15" s="178" t="e">
        <f t="shared" si="23"/>
        <v>#DIV/0!</v>
      </c>
      <c r="AS15" s="178" t="e">
        <f t="shared" si="23"/>
        <v>#DIV/0!</v>
      </c>
      <c r="AT15" s="168" t="e">
        <f t="shared" si="23"/>
        <v>#DIV/0!</v>
      </c>
      <c r="AU15" s="169" t="e">
        <f t="shared" si="37"/>
        <v>#DIV/0!</v>
      </c>
      <c r="AV15" s="179" t="e">
        <f t="shared" si="38"/>
        <v>#DIV/0!</v>
      </c>
      <c r="AW15" s="180" t="e">
        <f t="shared" si="39"/>
        <v>#DIV/0!</v>
      </c>
      <c r="AX15" s="178" t="e">
        <f t="shared" si="24"/>
        <v>#DIV/0!</v>
      </c>
      <c r="AY15" s="178" t="e">
        <f t="shared" si="24"/>
        <v>#DIV/0!</v>
      </c>
      <c r="AZ15" s="178" t="e">
        <f t="shared" si="24"/>
        <v>#DIV/0!</v>
      </c>
      <c r="BA15" s="178" t="e">
        <f t="shared" si="24"/>
        <v>#DIV/0!</v>
      </c>
      <c r="BB15" s="178" t="e">
        <f t="shared" si="24"/>
        <v>#DIV/0!</v>
      </c>
      <c r="BC15" s="178" t="e">
        <f t="shared" si="24"/>
        <v>#DIV/0!</v>
      </c>
      <c r="BD15" s="178" t="e">
        <f t="shared" si="24"/>
        <v>#DIV/0!</v>
      </c>
      <c r="BE15" s="178" t="e">
        <f t="shared" si="24"/>
        <v>#DIV/0!</v>
      </c>
      <c r="BF15" s="178" t="e">
        <f t="shared" si="24"/>
        <v>#DIV/0!</v>
      </c>
      <c r="BG15" s="178" t="e">
        <f t="shared" si="24"/>
        <v>#DIV/0!</v>
      </c>
      <c r="BH15" s="168" t="e">
        <f t="shared" si="24"/>
        <v>#DIV/0!</v>
      </c>
      <c r="BI15" s="169" t="e">
        <f t="shared" si="40"/>
        <v>#DIV/0!</v>
      </c>
      <c r="BJ15" s="179" t="e">
        <f t="shared" si="41"/>
        <v>#DIV/0!</v>
      </c>
      <c r="BK15" s="180" t="e">
        <f t="shared" si="42"/>
        <v>#DIV/0!</v>
      </c>
      <c r="BL15" s="178" t="e">
        <f t="shared" si="25"/>
        <v>#DIV/0!</v>
      </c>
      <c r="BM15" s="178" t="e">
        <f t="shared" si="25"/>
        <v>#DIV/0!</v>
      </c>
      <c r="BN15" s="178" t="e">
        <f t="shared" si="25"/>
        <v>#DIV/0!</v>
      </c>
      <c r="BO15" s="178" t="e">
        <f t="shared" si="25"/>
        <v>#DIV/0!</v>
      </c>
      <c r="BP15" s="178" t="e">
        <f t="shared" si="25"/>
        <v>#DIV/0!</v>
      </c>
      <c r="BQ15" s="178" t="e">
        <f t="shared" si="25"/>
        <v>#DIV/0!</v>
      </c>
      <c r="BR15" s="178" t="e">
        <f t="shared" si="25"/>
        <v>#DIV/0!</v>
      </c>
      <c r="BS15" s="178" t="e">
        <f t="shared" si="25"/>
        <v>#DIV/0!</v>
      </c>
      <c r="BT15" s="178" t="e">
        <f t="shared" si="25"/>
        <v>#DIV/0!</v>
      </c>
      <c r="BU15" s="178" t="e">
        <f t="shared" si="25"/>
        <v>#DIV/0!</v>
      </c>
      <c r="BV15" s="168" t="e">
        <f t="shared" si="25"/>
        <v>#DIV/0!</v>
      </c>
      <c r="BW15" s="169" t="e">
        <f t="shared" si="43"/>
        <v>#DIV/0!</v>
      </c>
      <c r="BX15" s="179" t="e">
        <f t="shared" si="44"/>
        <v>#DIV/0!</v>
      </c>
      <c r="BY15" s="180" t="e">
        <f t="shared" si="45"/>
        <v>#DIV/0!</v>
      </c>
      <c r="BZ15" s="178" t="e">
        <f t="shared" si="26"/>
        <v>#DIV/0!</v>
      </c>
      <c r="CA15" s="178" t="e">
        <f t="shared" si="26"/>
        <v>#DIV/0!</v>
      </c>
      <c r="CB15" s="178" t="e">
        <f t="shared" si="26"/>
        <v>#DIV/0!</v>
      </c>
      <c r="CC15" s="178" t="e">
        <f t="shared" si="26"/>
        <v>#DIV/0!</v>
      </c>
      <c r="CD15" s="178" t="e">
        <f t="shared" si="26"/>
        <v>#DIV/0!</v>
      </c>
      <c r="CE15" s="178" t="e">
        <f t="shared" si="26"/>
        <v>#DIV/0!</v>
      </c>
      <c r="CF15" s="178" t="e">
        <f t="shared" si="26"/>
        <v>#DIV/0!</v>
      </c>
      <c r="CG15" s="178" t="e">
        <f t="shared" si="26"/>
        <v>#DIV/0!</v>
      </c>
      <c r="CH15" s="178" t="e">
        <f t="shared" si="26"/>
        <v>#DIV/0!</v>
      </c>
      <c r="CI15" s="178" t="e">
        <f t="shared" si="26"/>
        <v>#DIV/0!</v>
      </c>
      <c r="CJ15" s="168" t="e">
        <f t="shared" si="26"/>
        <v>#DIV/0!</v>
      </c>
      <c r="CK15" s="169" t="e">
        <f t="shared" si="46"/>
        <v>#DIV/0!</v>
      </c>
      <c r="CL15" s="179" t="e">
        <f t="shared" si="47"/>
        <v>#DIV/0!</v>
      </c>
      <c r="CM15" s="180" t="e">
        <f t="shared" si="48"/>
        <v>#DIV/0!</v>
      </c>
      <c r="CN15" s="178" t="e">
        <f t="shared" si="27"/>
        <v>#DIV/0!</v>
      </c>
      <c r="CO15" s="178" t="e">
        <f t="shared" si="27"/>
        <v>#DIV/0!</v>
      </c>
      <c r="CP15" s="178" t="e">
        <f t="shared" si="27"/>
        <v>#DIV/0!</v>
      </c>
      <c r="CQ15" s="178" t="e">
        <f t="shared" si="27"/>
        <v>#DIV/0!</v>
      </c>
      <c r="CR15" s="178" t="e">
        <f t="shared" si="27"/>
        <v>#DIV/0!</v>
      </c>
      <c r="CS15" s="178" t="e">
        <f t="shared" si="27"/>
        <v>#DIV/0!</v>
      </c>
      <c r="CT15" s="178" t="e">
        <f t="shared" si="27"/>
        <v>#DIV/0!</v>
      </c>
      <c r="CU15" s="178" t="e">
        <f t="shared" si="27"/>
        <v>#DIV/0!</v>
      </c>
      <c r="CV15" s="178" t="e">
        <f t="shared" si="27"/>
        <v>#DIV/0!</v>
      </c>
      <c r="CW15" s="178" t="e">
        <f t="shared" si="27"/>
        <v>#DIV/0!</v>
      </c>
      <c r="CX15" s="168" t="e">
        <f t="shared" si="27"/>
        <v>#DIV/0!</v>
      </c>
      <c r="CY15" s="169" t="e">
        <f t="shared" si="49"/>
        <v>#DIV/0!</v>
      </c>
      <c r="CZ15" s="179" t="e">
        <f t="shared" si="50"/>
        <v>#DIV/0!</v>
      </c>
      <c r="DA15" s="180" t="e">
        <f t="shared" si="51"/>
        <v>#DIV/0!</v>
      </c>
      <c r="DB15" s="178" t="e">
        <f t="shared" si="28"/>
        <v>#DIV/0!</v>
      </c>
      <c r="DC15" s="178" t="e">
        <f t="shared" si="28"/>
        <v>#DIV/0!</v>
      </c>
      <c r="DD15" s="178" t="e">
        <f t="shared" si="28"/>
        <v>#DIV/0!</v>
      </c>
      <c r="DE15" s="178" t="e">
        <f t="shared" si="28"/>
        <v>#DIV/0!</v>
      </c>
      <c r="DF15" s="178" t="e">
        <f t="shared" si="28"/>
        <v>#DIV/0!</v>
      </c>
      <c r="DG15" s="178" t="e">
        <f t="shared" si="28"/>
        <v>#DIV/0!</v>
      </c>
      <c r="DH15" s="178" t="e">
        <f t="shared" si="28"/>
        <v>#DIV/0!</v>
      </c>
      <c r="DI15" s="178" t="e">
        <f t="shared" si="28"/>
        <v>#DIV/0!</v>
      </c>
      <c r="DJ15" s="178" t="e">
        <f t="shared" si="28"/>
        <v>#DIV/0!</v>
      </c>
      <c r="DK15" s="178" t="e">
        <f t="shared" si="28"/>
        <v>#DIV/0!</v>
      </c>
      <c r="DL15" s="168" t="e">
        <f t="shared" si="28"/>
        <v>#DIV/0!</v>
      </c>
      <c r="DM15" s="169" t="e">
        <f t="shared" si="52"/>
        <v>#DIV/0!</v>
      </c>
      <c r="DN15" s="171" t="e">
        <f t="shared" si="53"/>
        <v>#DIV/0!</v>
      </c>
      <c r="DO15" s="180" t="e">
        <f t="shared" si="54"/>
        <v>#DIV/0!</v>
      </c>
      <c r="DP15" s="178" t="e">
        <f t="shared" si="29"/>
        <v>#DIV/0!</v>
      </c>
      <c r="DQ15" s="178" t="e">
        <f t="shared" si="29"/>
        <v>#DIV/0!</v>
      </c>
      <c r="DR15" s="178" t="e">
        <f t="shared" si="29"/>
        <v>#DIV/0!</v>
      </c>
      <c r="DS15" s="178" t="e">
        <f t="shared" si="29"/>
        <v>#DIV/0!</v>
      </c>
      <c r="DT15" s="178" t="e">
        <f t="shared" si="29"/>
        <v>#DIV/0!</v>
      </c>
      <c r="DU15" s="178" t="e">
        <f t="shared" si="29"/>
        <v>#DIV/0!</v>
      </c>
      <c r="DV15" s="178" t="e">
        <f t="shared" si="29"/>
        <v>#DIV/0!</v>
      </c>
      <c r="DW15" s="178" t="e">
        <f t="shared" si="29"/>
        <v>#DIV/0!</v>
      </c>
      <c r="DX15" s="178" t="e">
        <f t="shared" si="29"/>
        <v>#DIV/0!</v>
      </c>
      <c r="DY15" s="178" t="e">
        <f t="shared" si="29"/>
        <v>#DIV/0!</v>
      </c>
      <c r="DZ15" s="168" t="e">
        <f t="shared" si="29"/>
        <v>#DIV/0!</v>
      </c>
      <c r="EA15" s="169" t="e">
        <f t="shared" si="55"/>
        <v>#DIV/0!</v>
      </c>
      <c r="EB15" s="171" t="e">
        <f t="shared" si="56"/>
        <v>#DIV/0!</v>
      </c>
    </row>
    <row r="16" spans="1:132" s="177" customFormat="1" ht="15.75">
      <c r="A16" s="163">
        <v>43831</v>
      </c>
      <c r="B16" s="403" t="s">
        <v>258</v>
      </c>
      <c r="C16" s="406" t="s">
        <v>259</v>
      </c>
      <c r="D16" s="405">
        <v>111000</v>
      </c>
      <c r="E16" s="167"/>
      <c r="F16" s="168" t="e">
        <f t="shared" si="20"/>
        <v>#DIV/0!</v>
      </c>
      <c r="G16" s="169" t="e">
        <f t="shared" si="30"/>
        <v>#DIV/0!</v>
      </c>
      <c r="H16" s="178" t="e">
        <f t="shared" si="21"/>
        <v>#DIV/0!</v>
      </c>
      <c r="I16" s="178" t="e">
        <f t="shared" si="21"/>
        <v>#DIV/0!</v>
      </c>
      <c r="J16" s="178" t="e">
        <f t="shared" si="21"/>
        <v>#DIV/0!</v>
      </c>
      <c r="K16" s="178" t="e">
        <f t="shared" si="21"/>
        <v>#DIV/0!</v>
      </c>
      <c r="L16" s="178" t="e">
        <f t="shared" si="21"/>
        <v>#DIV/0!</v>
      </c>
      <c r="M16" s="178" t="e">
        <f t="shared" si="21"/>
        <v>#DIV/0!</v>
      </c>
      <c r="N16" s="178" t="e">
        <f t="shared" si="21"/>
        <v>#DIV/0!</v>
      </c>
      <c r="O16" s="178" t="e">
        <f t="shared" si="21"/>
        <v>#DIV/0!</v>
      </c>
      <c r="P16" s="178" t="e">
        <f t="shared" si="21"/>
        <v>#DIV/0!</v>
      </c>
      <c r="Q16" s="178" t="e">
        <f t="shared" si="21"/>
        <v>#DIV/0!</v>
      </c>
      <c r="R16" s="179" t="e">
        <f t="shared" si="21"/>
        <v>#DIV/0!</v>
      </c>
      <c r="S16" s="169" t="e">
        <f t="shared" si="31"/>
        <v>#DIV/0!</v>
      </c>
      <c r="T16" s="179" t="e">
        <f t="shared" si="32"/>
        <v>#DIV/0!</v>
      </c>
      <c r="U16" s="180" t="e">
        <f t="shared" si="33"/>
        <v>#DIV/0!</v>
      </c>
      <c r="V16" s="178" t="e">
        <f t="shared" si="22"/>
        <v>#DIV/0!</v>
      </c>
      <c r="W16" s="178" t="e">
        <f t="shared" si="22"/>
        <v>#DIV/0!</v>
      </c>
      <c r="X16" s="178" t="e">
        <f t="shared" si="22"/>
        <v>#DIV/0!</v>
      </c>
      <c r="Y16" s="178" t="e">
        <f t="shared" si="22"/>
        <v>#DIV/0!</v>
      </c>
      <c r="Z16" s="178" t="e">
        <f t="shared" si="22"/>
        <v>#DIV/0!</v>
      </c>
      <c r="AA16" s="178" t="e">
        <f t="shared" si="22"/>
        <v>#DIV/0!</v>
      </c>
      <c r="AB16" s="178" t="e">
        <f t="shared" si="22"/>
        <v>#DIV/0!</v>
      </c>
      <c r="AC16" s="178" t="e">
        <f t="shared" si="22"/>
        <v>#DIV/0!</v>
      </c>
      <c r="AD16" s="178" t="e">
        <f t="shared" si="22"/>
        <v>#DIV/0!</v>
      </c>
      <c r="AE16" s="178" t="e">
        <f t="shared" si="22"/>
        <v>#DIV/0!</v>
      </c>
      <c r="AF16" s="168" t="e">
        <f t="shared" si="22"/>
        <v>#DIV/0!</v>
      </c>
      <c r="AG16" s="169" t="e">
        <f t="shared" si="34"/>
        <v>#DIV/0!</v>
      </c>
      <c r="AH16" s="179" t="e">
        <f t="shared" si="35"/>
        <v>#DIV/0!</v>
      </c>
      <c r="AI16" s="180" t="e">
        <f t="shared" si="36"/>
        <v>#DIV/0!</v>
      </c>
      <c r="AJ16" s="178" t="e">
        <f t="shared" si="23"/>
        <v>#DIV/0!</v>
      </c>
      <c r="AK16" s="178" t="e">
        <f t="shared" si="23"/>
        <v>#DIV/0!</v>
      </c>
      <c r="AL16" s="178" t="e">
        <f t="shared" si="23"/>
        <v>#DIV/0!</v>
      </c>
      <c r="AM16" s="178" t="e">
        <f t="shared" si="23"/>
        <v>#DIV/0!</v>
      </c>
      <c r="AN16" s="178" t="e">
        <f t="shared" si="23"/>
        <v>#DIV/0!</v>
      </c>
      <c r="AO16" s="178" t="e">
        <f t="shared" si="23"/>
        <v>#DIV/0!</v>
      </c>
      <c r="AP16" s="178" t="e">
        <f t="shared" si="23"/>
        <v>#DIV/0!</v>
      </c>
      <c r="AQ16" s="178" t="e">
        <f t="shared" si="23"/>
        <v>#DIV/0!</v>
      </c>
      <c r="AR16" s="178" t="e">
        <f t="shared" si="23"/>
        <v>#DIV/0!</v>
      </c>
      <c r="AS16" s="178" t="e">
        <f t="shared" si="23"/>
        <v>#DIV/0!</v>
      </c>
      <c r="AT16" s="168" t="e">
        <f t="shared" si="23"/>
        <v>#DIV/0!</v>
      </c>
      <c r="AU16" s="169" t="e">
        <f t="shared" si="37"/>
        <v>#DIV/0!</v>
      </c>
      <c r="AV16" s="179" t="e">
        <f t="shared" si="38"/>
        <v>#DIV/0!</v>
      </c>
      <c r="AW16" s="180" t="e">
        <f t="shared" si="39"/>
        <v>#DIV/0!</v>
      </c>
      <c r="AX16" s="178" t="e">
        <f t="shared" si="24"/>
        <v>#DIV/0!</v>
      </c>
      <c r="AY16" s="178" t="e">
        <f t="shared" si="24"/>
        <v>#DIV/0!</v>
      </c>
      <c r="AZ16" s="178" t="e">
        <f t="shared" si="24"/>
        <v>#DIV/0!</v>
      </c>
      <c r="BA16" s="178" t="e">
        <f t="shared" si="24"/>
        <v>#DIV/0!</v>
      </c>
      <c r="BB16" s="178" t="e">
        <f t="shared" si="24"/>
        <v>#DIV/0!</v>
      </c>
      <c r="BC16" s="178" t="e">
        <f t="shared" si="24"/>
        <v>#DIV/0!</v>
      </c>
      <c r="BD16" s="178" t="e">
        <f t="shared" si="24"/>
        <v>#DIV/0!</v>
      </c>
      <c r="BE16" s="178" t="e">
        <f t="shared" si="24"/>
        <v>#DIV/0!</v>
      </c>
      <c r="BF16" s="178" t="e">
        <f t="shared" si="24"/>
        <v>#DIV/0!</v>
      </c>
      <c r="BG16" s="178" t="e">
        <f t="shared" si="24"/>
        <v>#DIV/0!</v>
      </c>
      <c r="BH16" s="168" t="e">
        <f t="shared" si="24"/>
        <v>#DIV/0!</v>
      </c>
      <c r="BI16" s="169" t="e">
        <f t="shared" si="40"/>
        <v>#DIV/0!</v>
      </c>
      <c r="BJ16" s="179" t="e">
        <f t="shared" si="41"/>
        <v>#DIV/0!</v>
      </c>
      <c r="BK16" s="180" t="e">
        <f t="shared" si="42"/>
        <v>#DIV/0!</v>
      </c>
      <c r="BL16" s="178" t="e">
        <f t="shared" si="25"/>
        <v>#DIV/0!</v>
      </c>
      <c r="BM16" s="178" t="e">
        <f t="shared" si="25"/>
        <v>#DIV/0!</v>
      </c>
      <c r="BN16" s="178" t="e">
        <f t="shared" si="25"/>
        <v>#DIV/0!</v>
      </c>
      <c r="BO16" s="178" t="e">
        <f t="shared" si="25"/>
        <v>#DIV/0!</v>
      </c>
      <c r="BP16" s="178" t="e">
        <f t="shared" si="25"/>
        <v>#DIV/0!</v>
      </c>
      <c r="BQ16" s="178" t="e">
        <f t="shared" si="25"/>
        <v>#DIV/0!</v>
      </c>
      <c r="BR16" s="178" t="e">
        <f t="shared" si="25"/>
        <v>#DIV/0!</v>
      </c>
      <c r="BS16" s="178" t="e">
        <f t="shared" si="25"/>
        <v>#DIV/0!</v>
      </c>
      <c r="BT16" s="178" t="e">
        <f t="shared" si="25"/>
        <v>#DIV/0!</v>
      </c>
      <c r="BU16" s="178" t="e">
        <f t="shared" si="25"/>
        <v>#DIV/0!</v>
      </c>
      <c r="BV16" s="168" t="e">
        <f t="shared" si="25"/>
        <v>#DIV/0!</v>
      </c>
      <c r="BW16" s="169" t="e">
        <f t="shared" si="43"/>
        <v>#DIV/0!</v>
      </c>
      <c r="BX16" s="179" t="e">
        <f t="shared" si="44"/>
        <v>#DIV/0!</v>
      </c>
      <c r="BY16" s="180" t="e">
        <f t="shared" si="45"/>
        <v>#DIV/0!</v>
      </c>
      <c r="BZ16" s="178" t="e">
        <f t="shared" si="26"/>
        <v>#DIV/0!</v>
      </c>
      <c r="CA16" s="178" t="e">
        <f t="shared" si="26"/>
        <v>#DIV/0!</v>
      </c>
      <c r="CB16" s="178" t="e">
        <f t="shared" si="26"/>
        <v>#DIV/0!</v>
      </c>
      <c r="CC16" s="178" t="e">
        <f t="shared" si="26"/>
        <v>#DIV/0!</v>
      </c>
      <c r="CD16" s="178" t="e">
        <f t="shared" si="26"/>
        <v>#DIV/0!</v>
      </c>
      <c r="CE16" s="178" t="e">
        <f t="shared" si="26"/>
        <v>#DIV/0!</v>
      </c>
      <c r="CF16" s="178" t="e">
        <f t="shared" si="26"/>
        <v>#DIV/0!</v>
      </c>
      <c r="CG16" s="178" t="e">
        <f t="shared" si="26"/>
        <v>#DIV/0!</v>
      </c>
      <c r="CH16" s="178" t="e">
        <f t="shared" si="26"/>
        <v>#DIV/0!</v>
      </c>
      <c r="CI16" s="178" t="e">
        <f t="shared" si="26"/>
        <v>#DIV/0!</v>
      </c>
      <c r="CJ16" s="168" t="e">
        <f t="shared" si="26"/>
        <v>#DIV/0!</v>
      </c>
      <c r="CK16" s="169" t="e">
        <f t="shared" si="46"/>
        <v>#DIV/0!</v>
      </c>
      <c r="CL16" s="179" t="e">
        <f t="shared" si="47"/>
        <v>#DIV/0!</v>
      </c>
      <c r="CM16" s="180" t="e">
        <f t="shared" si="48"/>
        <v>#DIV/0!</v>
      </c>
      <c r="CN16" s="178" t="e">
        <f t="shared" si="27"/>
        <v>#DIV/0!</v>
      </c>
      <c r="CO16" s="178" t="e">
        <f t="shared" si="27"/>
        <v>#DIV/0!</v>
      </c>
      <c r="CP16" s="178" t="e">
        <f t="shared" si="27"/>
        <v>#DIV/0!</v>
      </c>
      <c r="CQ16" s="178" t="e">
        <f t="shared" si="27"/>
        <v>#DIV/0!</v>
      </c>
      <c r="CR16" s="178" t="e">
        <f t="shared" si="27"/>
        <v>#DIV/0!</v>
      </c>
      <c r="CS16" s="178" t="e">
        <f t="shared" si="27"/>
        <v>#DIV/0!</v>
      </c>
      <c r="CT16" s="178" t="e">
        <f t="shared" si="27"/>
        <v>#DIV/0!</v>
      </c>
      <c r="CU16" s="178" t="e">
        <f t="shared" si="27"/>
        <v>#DIV/0!</v>
      </c>
      <c r="CV16" s="178" t="e">
        <f t="shared" si="27"/>
        <v>#DIV/0!</v>
      </c>
      <c r="CW16" s="178" t="e">
        <f t="shared" si="27"/>
        <v>#DIV/0!</v>
      </c>
      <c r="CX16" s="168" t="e">
        <f t="shared" si="27"/>
        <v>#DIV/0!</v>
      </c>
      <c r="CY16" s="169" t="e">
        <f t="shared" si="49"/>
        <v>#DIV/0!</v>
      </c>
      <c r="CZ16" s="179" t="e">
        <f t="shared" si="50"/>
        <v>#DIV/0!</v>
      </c>
      <c r="DA16" s="180" t="e">
        <f t="shared" si="51"/>
        <v>#DIV/0!</v>
      </c>
      <c r="DB16" s="178" t="e">
        <f t="shared" si="28"/>
        <v>#DIV/0!</v>
      </c>
      <c r="DC16" s="178" t="e">
        <f t="shared" si="28"/>
        <v>#DIV/0!</v>
      </c>
      <c r="DD16" s="178" t="e">
        <f t="shared" si="28"/>
        <v>#DIV/0!</v>
      </c>
      <c r="DE16" s="178" t="e">
        <f t="shared" si="28"/>
        <v>#DIV/0!</v>
      </c>
      <c r="DF16" s="178" t="e">
        <f t="shared" si="28"/>
        <v>#DIV/0!</v>
      </c>
      <c r="DG16" s="178" t="e">
        <f t="shared" si="28"/>
        <v>#DIV/0!</v>
      </c>
      <c r="DH16" s="178" t="e">
        <f t="shared" si="28"/>
        <v>#DIV/0!</v>
      </c>
      <c r="DI16" s="178" t="e">
        <f t="shared" si="28"/>
        <v>#DIV/0!</v>
      </c>
      <c r="DJ16" s="178" t="e">
        <f t="shared" si="28"/>
        <v>#DIV/0!</v>
      </c>
      <c r="DK16" s="178" t="e">
        <f t="shared" si="28"/>
        <v>#DIV/0!</v>
      </c>
      <c r="DL16" s="168" t="e">
        <f t="shared" si="28"/>
        <v>#DIV/0!</v>
      </c>
      <c r="DM16" s="169" t="e">
        <f t="shared" si="52"/>
        <v>#DIV/0!</v>
      </c>
      <c r="DN16" s="171" t="e">
        <f t="shared" si="53"/>
        <v>#DIV/0!</v>
      </c>
      <c r="DO16" s="180" t="e">
        <f t="shared" si="54"/>
        <v>#DIV/0!</v>
      </c>
      <c r="DP16" s="178" t="e">
        <f t="shared" si="29"/>
        <v>#DIV/0!</v>
      </c>
      <c r="DQ16" s="178" t="e">
        <f t="shared" si="29"/>
        <v>#DIV/0!</v>
      </c>
      <c r="DR16" s="178" t="e">
        <f t="shared" si="29"/>
        <v>#DIV/0!</v>
      </c>
      <c r="DS16" s="178" t="e">
        <f t="shared" si="29"/>
        <v>#DIV/0!</v>
      </c>
      <c r="DT16" s="178" t="e">
        <f t="shared" si="29"/>
        <v>#DIV/0!</v>
      </c>
      <c r="DU16" s="178" t="e">
        <f t="shared" si="29"/>
        <v>#DIV/0!</v>
      </c>
      <c r="DV16" s="178" t="e">
        <f t="shared" si="29"/>
        <v>#DIV/0!</v>
      </c>
      <c r="DW16" s="178" t="e">
        <f t="shared" si="29"/>
        <v>#DIV/0!</v>
      </c>
      <c r="DX16" s="178" t="e">
        <f t="shared" si="29"/>
        <v>#DIV/0!</v>
      </c>
      <c r="DY16" s="178" t="e">
        <f t="shared" si="29"/>
        <v>#DIV/0!</v>
      </c>
      <c r="DZ16" s="168" t="e">
        <f t="shared" si="29"/>
        <v>#DIV/0!</v>
      </c>
      <c r="EA16" s="169" t="e">
        <f t="shared" si="55"/>
        <v>#DIV/0!</v>
      </c>
      <c r="EB16" s="171" t="e">
        <f t="shared" si="56"/>
        <v>#DIV/0!</v>
      </c>
    </row>
    <row r="17" spans="1:132" s="177" customFormat="1" ht="15.75">
      <c r="A17" s="163">
        <v>43831</v>
      </c>
      <c r="B17" s="407" t="s">
        <v>90</v>
      </c>
      <c r="C17" s="406" t="s">
        <v>260</v>
      </c>
      <c r="D17" s="405">
        <v>800000</v>
      </c>
      <c r="E17" s="167"/>
      <c r="F17" s="168" t="e">
        <f t="shared" si="20"/>
        <v>#DIV/0!</v>
      </c>
      <c r="G17" s="169" t="e">
        <f t="shared" si="30"/>
        <v>#DIV/0!</v>
      </c>
      <c r="H17" s="178" t="e">
        <f t="shared" si="21"/>
        <v>#DIV/0!</v>
      </c>
      <c r="I17" s="178" t="e">
        <f t="shared" si="21"/>
        <v>#DIV/0!</v>
      </c>
      <c r="J17" s="178" t="e">
        <f t="shared" si="21"/>
        <v>#DIV/0!</v>
      </c>
      <c r="K17" s="178" t="e">
        <f t="shared" si="21"/>
        <v>#DIV/0!</v>
      </c>
      <c r="L17" s="178" t="e">
        <f t="shared" si="21"/>
        <v>#DIV/0!</v>
      </c>
      <c r="M17" s="178" t="e">
        <f t="shared" si="21"/>
        <v>#DIV/0!</v>
      </c>
      <c r="N17" s="178" t="e">
        <f t="shared" si="21"/>
        <v>#DIV/0!</v>
      </c>
      <c r="O17" s="178" t="e">
        <f t="shared" si="21"/>
        <v>#DIV/0!</v>
      </c>
      <c r="P17" s="178" t="e">
        <f t="shared" si="21"/>
        <v>#DIV/0!</v>
      </c>
      <c r="Q17" s="178" t="e">
        <f t="shared" si="21"/>
        <v>#DIV/0!</v>
      </c>
      <c r="R17" s="179" t="e">
        <f t="shared" si="21"/>
        <v>#DIV/0!</v>
      </c>
      <c r="S17" s="169" t="e">
        <f t="shared" si="31"/>
        <v>#DIV/0!</v>
      </c>
      <c r="T17" s="179" t="e">
        <f t="shared" si="32"/>
        <v>#DIV/0!</v>
      </c>
      <c r="U17" s="180" t="e">
        <f t="shared" si="33"/>
        <v>#DIV/0!</v>
      </c>
      <c r="V17" s="178" t="e">
        <f t="shared" si="22"/>
        <v>#DIV/0!</v>
      </c>
      <c r="W17" s="178" t="e">
        <f t="shared" si="22"/>
        <v>#DIV/0!</v>
      </c>
      <c r="X17" s="178" t="e">
        <f t="shared" si="22"/>
        <v>#DIV/0!</v>
      </c>
      <c r="Y17" s="178" t="e">
        <f t="shared" si="22"/>
        <v>#DIV/0!</v>
      </c>
      <c r="Z17" s="178" t="e">
        <f t="shared" si="22"/>
        <v>#DIV/0!</v>
      </c>
      <c r="AA17" s="178" t="e">
        <f t="shared" si="22"/>
        <v>#DIV/0!</v>
      </c>
      <c r="AB17" s="178" t="e">
        <f t="shared" si="22"/>
        <v>#DIV/0!</v>
      </c>
      <c r="AC17" s="178" t="e">
        <f t="shared" si="22"/>
        <v>#DIV/0!</v>
      </c>
      <c r="AD17" s="178" t="e">
        <f t="shared" si="22"/>
        <v>#DIV/0!</v>
      </c>
      <c r="AE17" s="178" t="e">
        <f t="shared" si="22"/>
        <v>#DIV/0!</v>
      </c>
      <c r="AF17" s="168" t="e">
        <f t="shared" si="22"/>
        <v>#DIV/0!</v>
      </c>
      <c r="AG17" s="169" t="e">
        <f t="shared" si="34"/>
        <v>#DIV/0!</v>
      </c>
      <c r="AH17" s="179" t="e">
        <f t="shared" si="35"/>
        <v>#DIV/0!</v>
      </c>
      <c r="AI17" s="180" t="e">
        <f t="shared" si="36"/>
        <v>#DIV/0!</v>
      </c>
      <c r="AJ17" s="178" t="e">
        <f t="shared" si="23"/>
        <v>#DIV/0!</v>
      </c>
      <c r="AK17" s="178" t="e">
        <f t="shared" si="23"/>
        <v>#DIV/0!</v>
      </c>
      <c r="AL17" s="178" t="e">
        <f t="shared" si="23"/>
        <v>#DIV/0!</v>
      </c>
      <c r="AM17" s="178" t="e">
        <f t="shared" si="23"/>
        <v>#DIV/0!</v>
      </c>
      <c r="AN17" s="178" t="e">
        <f t="shared" si="23"/>
        <v>#DIV/0!</v>
      </c>
      <c r="AO17" s="178" t="e">
        <f t="shared" si="23"/>
        <v>#DIV/0!</v>
      </c>
      <c r="AP17" s="178" t="e">
        <f t="shared" si="23"/>
        <v>#DIV/0!</v>
      </c>
      <c r="AQ17" s="178" t="e">
        <f t="shared" si="23"/>
        <v>#DIV/0!</v>
      </c>
      <c r="AR17" s="178" t="e">
        <f t="shared" si="23"/>
        <v>#DIV/0!</v>
      </c>
      <c r="AS17" s="178" t="e">
        <f t="shared" si="23"/>
        <v>#DIV/0!</v>
      </c>
      <c r="AT17" s="168" t="e">
        <f t="shared" si="23"/>
        <v>#DIV/0!</v>
      </c>
      <c r="AU17" s="169" t="e">
        <f t="shared" si="37"/>
        <v>#DIV/0!</v>
      </c>
      <c r="AV17" s="179" t="e">
        <f t="shared" si="38"/>
        <v>#DIV/0!</v>
      </c>
      <c r="AW17" s="180" t="e">
        <f t="shared" si="39"/>
        <v>#DIV/0!</v>
      </c>
      <c r="AX17" s="178" t="e">
        <f t="shared" si="24"/>
        <v>#DIV/0!</v>
      </c>
      <c r="AY17" s="178" t="e">
        <f t="shared" si="24"/>
        <v>#DIV/0!</v>
      </c>
      <c r="AZ17" s="178" t="e">
        <f t="shared" si="24"/>
        <v>#DIV/0!</v>
      </c>
      <c r="BA17" s="178" t="e">
        <f t="shared" si="24"/>
        <v>#DIV/0!</v>
      </c>
      <c r="BB17" s="178" t="e">
        <f t="shared" si="24"/>
        <v>#DIV/0!</v>
      </c>
      <c r="BC17" s="178" t="e">
        <f t="shared" si="24"/>
        <v>#DIV/0!</v>
      </c>
      <c r="BD17" s="178" t="e">
        <f t="shared" si="24"/>
        <v>#DIV/0!</v>
      </c>
      <c r="BE17" s="178" t="e">
        <f t="shared" si="24"/>
        <v>#DIV/0!</v>
      </c>
      <c r="BF17" s="178" t="e">
        <f t="shared" si="24"/>
        <v>#DIV/0!</v>
      </c>
      <c r="BG17" s="178" t="e">
        <f t="shared" si="24"/>
        <v>#DIV/0!</v>
      </c>
      <c r="BH17" s="168" t="e">
        <f t="shared" si="24"/>
        <v>#DIV/0!</v>
      </c>
      <c r="BI17" s="169" t="e">
        <f t="shared" si="40"/>
        <v>#DIV/0!</v>
      </c>
      <c r="BJ17" s="179" t="e">
        <f t="shared" si="41"/>
        <v>#DIV/0!</v>
      </c>
      <c r="BK17" s="180" t="e">
        <f t="shared" si="42"/>
        <v>#DIV/0!</v>
      </c>
      <c r="BL17" s="178" t="e">
        <f t="shared" si="25"/>
        <v>#DIV/0!</v>
      </c>
      <c r="BM17" s="178" t="e">
        <f t="shared" si="25"/>
        <v>#DIV/0!</v>
      </c>
      <c r="BN17" s="178" t="e">
        <f t="shared" si="25"/>
        <v>#DIV/0!</v>
      </c>
      <c r="BO17" s="178" t="e">
        <f t="shared" si="25"/>
        <v>#DIV/0!</v>
      </c>
      <c r="BP17" s="178" t="e">
        <f t="shared" si="25"/>
        <v>#DIV/0!</v>
      </c>
      <c r="BQ17" s="178" t="e">
        <f t="shared" si="25"/>
        <v>#DIV/0!</v>
      </c>
      <c r="BR17" s="178" t="e">
        <f t="shared" si="25"/>
        <v>#DIV/0!</v>
      </c>
      <c r="BS17" s="178" t="e">
        <f t="shared" si="25"/>
        <v>#DIV/0!</v>
      </c>
      <c r="BT17" s="178" t="e">
        <f t="shared" si="25"/>
        <v>#DIV/0!</v>
      </c>
      <c r="BU17" s="178" t="e">
        <f t="shared" si="25"/>
        <v>#DIV/0!</v>
      </c>
      <c r="BV17" s="168" t="e">
        <f t="shared" si="25"/>
        <v>#DIV/0!</v>
      </c>
      <c r="BW17" s="169" t="e">
        <f t="shared" si="43"/>
        <v>#DIV/0!</v>
      </c>
      <c r="BX17" s="179" t="e">
        <f t="shared" si="44"/>
        <v>#DIV/0!</v>
      </c>
      <c r="BY17" s="180" t="e">
        <f t="shared" si="45"/>
        <v>#DIV/0!</v>
      </c>
      <c r="BZ17" s="178" t="e">
        <f t="shared" si="26"/>
        <v>#DIV/0!</v>
      </c>
      <c r="CA17" s="178" t="e">
        <f t="shared" si="26"/>
        <v>#DIV/0!</v>
      </c>
      <c r="CB17" s="178" t="e">
        <f t="shared" si="26"/>
        <v>#DIV/0!</v>
      </c>
      <c r="CC17" s="178" t="e">
        <f t="shared" si="26"/>
        <v>#DIV/0!</v>
      </c>
      <c r="CD17" s="178" t="e">
        <f t="shared" si="26"/>
        <v>#DIV/0!</v>
      </c>
      <c r="CE17" s="178" t="e">
        <f t="shared" si="26"/>
        <v>#DIV/0!</v>
      </c>
      <c r="CF17" s="178" t="e">
        <f t="shared" si="26"/>
        <v>#DIV/0!</v>
      </c>
      <c r="CG17" s="178" t="e">
        <f t="shared" si="26"/>
        <v>#DIV/0!</v>
      </c>
      <c r="CH17" s="178" t="e">
        <f t="shared" si="26"/>
        <v>#DIV/0!</v>
      </c>
      <c r="CI17" s="178" t="e">
        <f t="shared" si="26"/>
        <v>#DIV/0!</v>
      </c>
      <c r="CJ17" s="168" t="e">
        <f t="shared" si="26"/>
        <v>#DIV/0!</v>
      </c>
      <c r="CK17" s="169" t="e">
        <f t="shared" si="46"/>
        <v>#DIV/0!</v>
      </c>
      <c r="CL17" s="179" t="e">
        <f t="shared" si="47"/>
        <v>#DIV/0!</v>
      </c>
      <c r="CM17" s="180" t="e">
        <f t="shared" si="48"/>
        <v>#DIV/0!</v>
      </c>
      <c r="CN17" s="178" t="e">
        <f t="shared" si="27"/>
        <v>#DIV/0!</v>
      </c>
      <c r="CO17" s="178" t="e">
        <f t="shared" si="27"/>
        <v>#DIV/0!</v>
      </c>
      <c r="CP17" s="178" t="e">
        <f t="shared" si="27"/>
        <v>#DIV/0!</v>
      </c>
      <c r="CQ17" s="178" t="e">
        <f t="shared" si="27"/>
        <v>#DIV/0!</v>
      </c>
      <c r="CR17" s="178" t="e">
        <f t="shared" si="27"/>
        <v>#DIV/0!</v>
      </c>
      <c r="CS17" s="178" t="e">
        <f t="shared" si="27"/>
        <v>#DIV/0!</v>
      </c>
      <c r="CT17" s="178" t="e">
        <f t="shared" si="27"/>
        <v>#DIV/0!</v>
      </c>
      <c r="CU17" s="178" t="e">
        <f t="shared" si="27"/>
        <v>#DIV/0!</v>
      </c>
      <c r="CV17" s="178" t="e">
        <f t="shared" si="27"/>
        <v>#DIV/0!</v>
      </c>
      <c r="CW17" s="178" t="e">
        <f t="shared" si="27"/>
        <v>#DIV/0!</v>
      </c>
      <c r="CX17" s="168" t="e">
        <f t="shared" si="27"/>
        <v>#DIV/0!</v>
      </c>
      <c r="CY17" s="169" t="e">
        <f t="shared" si="49"/>
        <v>#DIV/0!</v>
      </c>
      <c r="CZ17" s="179" t="e">
        <f t="shared" si="50"/>
        <v>#DIV/0!</v>
      </c>
      <c r="DA17" s="180" t="e">
        <f t="shared" si="51"/>
        <v>#DIV/0!</v>
      </c>
      <c r="DB17" s="178" t="e">
        <f t="shared" si="28"/>
        <v>#DIV/0!</v>
      </c>
      <c r="DC17" s="178" t="e">
        <f t="shared" si="28"/>
        <v>#DIV/0!</v>
      </c>
      <c r="DD17" s="178" t="e">
        <f t="shared" si="28"/>
        <v>#DIV/0!</v>
      </c>
      <c r="DE17" s="178" t="e">
        <f t="shared" si="28"/>
        <v>#DIV/0!</v>
      </c>
      <c r="DF17" s="178" t="e">
        <f t="shared" si="28"/>
        <v>#DIV/0!</v>
      </c>
      <c r="DG17" s="178" t="e">
        <f t="shared" si="28"/>
        <v>#DIV/0!</v>
      </c>
      <c r="DH17" s="178" t="e">
        <f t="shared" si="28"/>
        <v>#DIV/0!</v>
      </c>
      <c r="DI17" s="178" t="e">
        <f t="shared" si="28"/>
        <v>#DIV/0!</v>
      </c>
      <c r="DJ17" s="178" t="e">
        <f t="shared" si="28"/>
        <v>#DIV/0!</v>
      </c>
      <c r="DK17" s="178" t="e">
        <f t="shared" si="28"/>
        <v>#DIV/0!</v>
      </c>
      <c r="DL17" s="168" t="e">
        <f t="shared" si="28"/>
        <v>#DIV/0!</v>
      </c>
      <c r="DM17" s="169" t="e">
        <f t="shared" si="52"/>
        <v>#DIV/0!</v>
      </c>
      <c r="DN17" s="171" t="e">
        <f t="shared" si="53"/>
        <v>#DIV/0!</v>
      </c>
      <c r="DO17" s="180" t="e">
        <f t="shared" si="54"/>
        <v>#DIV/0!</v>
      </c>
      <c r="DP17" s="178" t="e">
        <f t="shared" si="29"/>
        <v>#DIV/0!</v>
      </c>
      <c r="DQ17" s="178" t="e">
        <f t="shared" si="29"/>
        <v>#DIV/0!</v>
      </c>
      <c r="DR17" s="178" t="e">
        <f t="shared" si="29"/>
        <v>#DIV/0!</v>
      </c>
      <c r="DS17" s="178" t="e">
        <f t="shared" si="29"/>
        <v>#DIV/0!</v>
      </c>
      <c r="DT17" s="178" t="e">
        <f t="shared" si="29"/>
        <v>#DIV/0!</v>
      </c>
      <c r="DU17" s="178" t="e">
        <f t="shared" si="29"/>
        <v>#DIV/0!</v>
      </c>
      <c r="DV17" s="178" t="e">
        <f t="shared" si="29"/>
        <v>#DIV/0!</v>
      </c>
      <c r="DW17" s="178" t="e">
        <f t="shared" si="29"/>
        <v>#DIV/0!</v>
      </c>
      <c r="DX17" s="178" t="e">
        <f t="shared" si="29"/>
        <v>#DIV/0!</v>
      </c>
      <c r="DY17" s="178" t="e">
        <f t="shared" si="29"/>
        <v>#DIV/0!</v>
      </c>
      <c r="DZ17" s="168" t="e">
        <f t="shared" si="29"/>
        <v>#DIV/0!</v>
      </c>
      <c r="EA17" s="169" t="e">
        <f t="shared" si="55"/>
        <v>#DIV/0!</v>
      </c>
      <c r="EB17" s="171" t="e">
        <f t="shared" si="56"/>
        <v>#DIV/0!</v>
      </c>
    </row>
    <row r="18" spans="1:132" s="177" customFormat="1" ht="15.75">
      <c r="A18" s="163">
        <v>43831</v>
      </c>
      <c r="B18" s="403" t="s">
        <v>88</v>
      </c>
      <c r="C18" s="406" t="s">
        <v>261</v>
      </c>
      <c r="D18" s="405">
        <v>10000</v>
      </c>
      <c r="E18" s="167"/>
      <c r="F18" s="168" t="e">
        <f t="shared" si="20"/>
        <v>#DIV/0!</v>
      </c>
      <c r="G18" s="169" t="e">
        <f t="shared" si="30"/>
        <v>#DIV/0!</v>
      </c>
      <c r="H18" s="178" t="e">
        <f t="shared" si="21"/>
        <v>#DIV/0!</v>
      </c>
      <c r="I18" s="178" t="e">
        <f t="shared" si="21"/>
        <v>#DIV/0!</v>
      </c>
      <c r="J18" s="178" t="e">
        <f t="shared" si="21"/>
        <v>#DIV/0!</v>
      </c>
      <c r="K18" s="178" t="e">
        <f t="shared" si="21"/>
        <v>#DIV/0!</v>
      </c>
      <c r="L18" s="178" t="e">
        <f t="shared" si="21"/>
        <v>#DIV/0!</v>
      </c>
      <c r="M18" s="178" t="e">
        <f t="shared" si="21"/>
        <v>#DIV/0!</v>
      </c>
      <c r="N18" s="178" t="e">
        <f t="shared" si="21"/>
        <v>#DIV/0!</v>
      </c>
      <c r="O18" s="178" t="e">
        <f t="shared" si="21"/>
        <v>#DIV/0!</v>
      </c>
      <c r="P18" s="178" t="e">
        <f t="shared" si="21"/>
        <v>#DIV/0!</v>
      </c>
      <c r="Q18" s="178" t="e">
        <f t="shared" si="21"/>
        <v>#DIV/0!</v>
      </c>
      <c r="R18" s="179" t="e">
        <f t="shared" si="21"/>
        <v>#DIV/0!</v>
      </c>
      <c r="S18" s="169" t="e">
        <f t="shared" si="31"/>
        <v>#DIV/0!</v>
      </c>
      <c r="T18" s="179" t="e">
        <f t="shared" si="32"/>
        <v>#DIV/0!</v>
      </c>
      <c r="U18" s="180" t="e">
        <f t="shared" si="33"/>
        <v>#DIV/0!</v>
      </c>
      <c r="V18" s="178" t="e">
        <f t="shared" si="22"/>
        <v>#DIV/0!</v>
      </c>
      <c r="W18" s="178" t="e">
        <f t="shared" si="22"/>
        <v>#DIV/0!</v>
      </c>
      <c r="X18" s="178" t="e">
        <f t="shared" si="22"/>
        <v>#DIV/0!</v>
      </c>
      <c r="Y18" s="178" t="e">
        <f t="shared" si="22"/>
        <v>#DIV/0!</v>
      </c>
      <c r="Z18" s="178" t="e">
        <f t="shared" si="22"/>
        <v>#DIV/0!</v>
      </c>
      <c r="AA18" s="178" t="e">
        <f t="shared" si="22"/>
        <v>#DIV/0!</v>
      </c>
      <c r="AB18" s="178" t="e">
        <f t="shared" si="22"/>
        <v>#DIV/0!</v>
      </c>
      <c r="AC18" s="178" t="e">
        <f t="shared" si="22"/>
        <v>#DIV/0!</v>
      </c>
      <c r="AD18" s="178" t="e">
        <f t="shared" si="22"/>
        <v>#DIV/0!</v>
      </c>
      <c r="AE18" s="178" t="e">
        <f t="shared" si="22"/>
        <v>#DIV/0!</v>
      </c>
      <c r="AF18" s="168" t="e">
        <f t="shared" si="22"/>
        <v>#DIV/0!</v>
      </c>
      <c r="AG18" s="169" t="e">
        <f t="shared" si="34"/>
        <v>#DIV/0!</v>
      </c>
      <c r="AH18" s="179" t="e">
        <f t="shared" si="35"/>
        <v>#DIV/0!</v>
      </c>
      <c r="AI18" s="180" t="e">
        <f t="shared" si="36"/>
        <v>#DIV/0!</v>
      </c>
      <c r="AJ18" s="178" t="e">
        <f t="shared" si="23"/>
        <v>#DIV/0!</v>
      </c>
      <c r="AK18" s="178" t="e">
        <f t="shared" si="23"/>
        <v>#DIV/0!</v>
      </c>
      <c r="AL18" s="178" t="e">
        <f t="shared" si="23"/>
        <v>#DIV/0!</v>
      </c>
      <c r="AM18" s="178" t="e">
        <f t="shared" si="23"/>
        <v>#DIV/0!</v>
      </c>
      <c r="AN18" s="178" t="e">
        <f t="shared" si="23"/>
        <v>#DIV/0!</v>
      </c>
      <c r="AO18" s="178" t="e">
        <f t="shared" si="23"/>
        <v>#DIV/0!</v>
      </c>
      <c r="AP18" s="178" t="e">
        <f t="shared" si="23"/>
        <v>#DIV/0!</v>
      </c>
      <c r="AQ18" s="178" t="e">
        <f t="shared" si="23"/>
        <v>#DIV/0!</v>
      </c>
      <c r="AR18" s="178" t="e">
        <f t="shared" si="23"/>
        <v>#DIV/0!</v>
      </c>
      <c r="AS18" s="178" t="e">
        <f t="shared" si="23"/>
        <v>#DIV/0!</v>
      </c>
      <c r="AT18" s="168" t="e">
        <f t="shared" si="23"/>
        <v>#DIV/0!</v>
      </c>
      <c r="AU18" s="169" t="e">
        <f t="shared" si="37"/>
        <v>#DIV/0!</v>
      </c>
      <c r="AV18" s="179" t="e">
        <f t="shared" si="38"/>
        <v>#DIV/0!</v>
      </c>
      <c r="AW18" s="180" t="e">
        <f t="shared" si="39"/>
        <v>#DIV/0!</v>
      </c>
      <c r="AX18" s="178" t="e">
        <f t="shared" si="24"/>
        <v>#DIV/0!</v>
      </c>
      <c r="AY18" s="178" t="e">
        <f t="shared" si="24"/>
        <v>#DIV/0!</v>
      </c>
      <c r="AZ18" s="178" t="e">
        <f t="shared" si="24"/>
        <v>#DIV/0!</v>
      </c>
      <c r="BA18" s="178" t="e">
        <f t="shared" si="24"/>
        <v>#DIV/0!</v>
      </c>
      <c r="BB18" s="178" t="e">
        <f t="shared" si="24"/>
        <v>#DIV/0!</v>
      </c>
      <c r="BC18" s="178" t="e">
        <f t="shared" si="24"/>
        <v>#DIV/0!</v>
      </c>
      <c r="BD18" s="178" t="e">
        <f t="shared" si="24"/>
        <v>#DIV/0!</v>
      </c>
      <c r="BE18" s="178" t="e">
        <f t="shared" si="24"/>
        <v>#DIV/0!</v>
      </c>
      <c r="BF18" s="178" t="e">
        <f t="shared" si="24"/>
        <v>#DIV/0!</v>
      </c>
      <c r="BG18" s="178" t="e">
        <f t="shared" si="24"/>
        <v>#DIV/0!</v>
      </c>
      <c r="BH18" s="168" t="e">
        <f t="shared" si="24"/>
        <v>#DIV/0!</v>
      </c>
      <c r="BI18" s="169" t="e">
        <f t="shared" si="40"/>
        <v>#DIV/0!</v>
      </c>
      <c r="BJ18" s="179" t="e">
        <f t="shared" si="41"/>
        <v>#DIV/0!</v>
      </c>
      <c r="BK18" s="180" t="e">
        <f t="shared" si="42"/>
        <v>#DIV/0!</v>
      </c>
      <c r="BL18" s="178" t="e">
        <f t="shared" si="25"/>
        <v>#DIV/0!</v>
      </c>
      <c r="BM18" s="178" t="e">
        <f t="shared" si="25"/>
        <v>#DIV/0!</v>
      </c>
      <c r="BN18" s="178" t="e">
        <f t="shared" si="25"/>
        <v>#DIV/0!</v>
      </c>
      <c r="BO18" s="178" t="e">
        <f t="shared" si="25"/>
        <v>#DIV/0!</v>
      </c>
      <c r="BP18" s="178" t="e">
        <f t="shared" si="25"/>
        <v>#DIV/0!</v>
      </c>
      <c r="BQ18" s="178" t="e">
        <f t="shared" si="25"/>
        <v>#DIV/0!</v>
      </c>
      <c r="BR18" s="178" t="e">
        <f t="shared" si="25"/>
        <v>#DIV/0!</v>
      </c>
      <c r="BS18" s="178" t="e">
        <f t="shared" si="25"/>
        <v>#DIV/0!</v>
      </c>
      <c r="BT18" s="178" t="e">
        <f t="shared" si="25"/>
        <v>#DIV/0!</v>
      </c>
      <c r="BU18" s="178" t="e">
        <f t="shared" si="25"/>
        <v>#DIV/0!</v>
      </c>
      <c r="BV18" s="168" t="e">
        <f t="shared" si="25"/>
        <v>#DIV/0!</v>
      </c>
      <c r="BW18" s="169" t="e">
        <f t="shared" si="43"/>
        <v>#DIV/0!</v>
      </c>
      <c r="BX18" s="179" t="e">
        <f t="shared" si="44"/>
        <v>#DIV/0!</v>
      </c>
      <c r="BY18" s="180" t="e">
        <f t="shared" si="45"/>
        <v>#DIV/0!</v>
      </c>
      <c r="BZ18" s="178" t="e">
        <f t="shared" si="26"/>
        <v>#DIV/0!</v>
      </c>
      <c r="CA18" s="178" t="e">
        <f t="shared" si="26"/>
        <v>#DIV/0!</v>
      </c>
      <c r="CB18" s="178" t="e">
        <f t="shared" si="26"/>
        <v>#DIV/0!</v>
      </c>
      <c r="CC18" s="178" t="e">
        <f t="shared" si="26"/>
        <v>#DIV/0!</v>
      </c>
      <c r="CD18" s="178" t="e">
        <f t="shared" si="26"/>
        <v>#DIV/0!</v>
      </c>
      <c r="CE18" s="178" t="e">
        <f t="shared" si="26"/>
        <v>#DIV/0!</v>
      </c>
      <c r="CF18" s="178" t="e">
        <f t="shared" si="26"/>
        <v>#DIV/0!</v>
      </c>
      <c r="CG18" s="178" t="e">
        <f t="shared" si="26"/>
        <v>#DIV/0!</v>
      </c>
      <c r="CH18" s="178" t="e">
        <f t="shared" si="26"/>
        <v>#DIV/0!</v>
      </c>
      <c r="CI18" s="178" t="e">
        <f t="shared" si="26"/>
        <v>#DIV/0!</v>
      </c>
      <c r="CJ18" s="168" t="e">
        <f t="shared" si="26"/>
        <v>#DIV/0!</v>
      </c>
      <c r="CK18" s="169" t="e">
        <f t="shared" si="46"/>
        <v>#DIV/0!</v>
      </c>
      <c r="CL18" s="179" t="e">
        <f t="shared" si="47"/>
        <v>#DIV/0!</v>
      </c>
      <c r="CM18" s="180" t="e">
        <f t="shared" si="48"/>
        <v>#DIV/0!</v>
      </c>
      <c r="CN18" s="178" t="e">
        <f t="shared" si="27"/>
        <v>#DIV/0!</v>
      </c>
      <c r="CO18" s="178" t="e">
        <f t="shared" si="27"/>
        <v>#DIV/0!</v>
      </c>
      <c r="CP18" s="178" t="e">
        <f t="shared" si="27"/>
        <v>#DIV/0!</v>
      </c>
      <c r="CQ18" s="178" t="e">
        <f t="shared" si="27"/>
        <v>#DIV/0!</v>
      </c>
      <c r="CR18" s="178" t="e">
        <f t="shared" si="27"/>
        <v>#DIV/0!</v>
      </c>
      <c r="CS18" s="178" t="e">
        <f t="shared" si="27"/>
        <v>#DIV/0!</v>
      </c>
      <c r="CT18" s="178" t="e">
        <f t="shared" si="27"/>
        <v>#DIV/0!</v>
      </c>
      <c r="CU18" s="178" t="e">
        <f t="shared" si="27"/>
        <v>#DIV/0!</v>
      </c>
      <c r="CV18" s="178" t="e">
        <f t="shared" si="27"/>
        <v>#DIV/0!</v>
      </c>
      <c r="CW18" s="178" t="e">
        <f t="shared" si="27"/>
        <v>#DIV/0!</v>
      </c>
      <c r="CX18" s="168" t="e">
        <f t="shared" si="27"/>
        <v>#DIV/0!</v>
      </c>
      <c r="CY18" s="169" t="e">
        <f t="shared" si="49"/>
        <v>#DIV/0!</v>
      </c>
      <c r="CZ18" s="179" t="e">
        <f t="shared" si="50"/>
        <v>#DIV/0!</v>
      </c>
      <c r="DA18" s="180" t="e">
        <f t="shared" si="51"/>
        <v>#DIV/0!</v>
      </c>
      <c r="DB18" s="178" t="e">
        <f t="shared" si="28"/>
        <v>#DIV/0!</v>
      </c>
      <c r="DC18" s="178" t="e">
        <f t="shared" si="28"/>
        <v>#DIV/0!</v>
      </c>
      <c r="DD18" s="178" t="e">
        <f t="shared" si="28"/>
        <v>#DIV/0!</v>
      </c>
      <c r="DE18" s="178" t="e">
        <f t="shared" si="28"/>
        <v>#DIV/0!</v>
      </c>
      <c r="DF18" s="178" t="e">
        <f t="shared" si="28"/>
        <v>#DIV/0!</v>
      </c>
      <c r="DG18" s="178" t="e">
        <f t="shared" si="28"/>
        <v>#DIV/0!</v>
      </c>
      <c r="DH18" s="178" t="e">
        <f t="shared" si="28"/>
        <v>#DIV/0!</v>
      </c>
      <c r="DI18" s="178" t="e">
        <f t="shared" si="28"/>
        <v>#DIV/0!</v>
      </c>
      <c r="DJ18" s="178" t="e">
        <f t="shared" si="28"/>
        <v>#DIV/0!</v>
      </c>
      <c r="DK18" s="178" t="e">
        <f t="shared" si="28"/>
        <v>#DIV/0!</v>
      </c>
      <c r="DL18" s="168" t="e">
        <f t="shared" si="28"/>
        <v>#DIV/0!</v>
      </c>
      <c r="DM18" s="169" t="e">
        <f t="shared" si="52"/>
        <v>#DIV/0!</v>
      </c>
      <c r="DN18" s="171" t="e">
        <f t="shared" si="53"/>
        <v>#DIV/0!</v>
      </c>
      <c r="DO18" s="180" t="e">
        <f t="shared" si="54"/>
        <v>#DIV/0!</v>
      </c>
      <c r="DP18" s="178" t="e">
        <f t="shared" si="29"/>
        <v>#DIV/0!</v>
      </c>
      <c r="DQ18" s="178" t="e">
        <f t="shared" si="29"/>
        <v>#DIV/0!</v>
      </c>
      <c r="DR18" s="178" t="e">
        <f t="shared" si="29"/>
        <v>#DIV/0!</v>
      </c>
      <c r="DS18" s="178" t="e">
        <f t="shared" si="29"/>
        <v>#DIV/0!</v>
      </c>
      <c r="DT18" s="178" t="e">
        <f t="shared" si="29"/>
        <v>#DIV/0!</v>
      </c>
      <c r="DU18" s="178" t="e">
        <f t="shared" si="29"/>
        <v>#DIV/0!</v>
      </c>
      <c r="DV18" s="178" t="e">
        <f t="shared" si="29"/>
        <v>#DIV/0!</v>
      </c>
      <c r="DW18" s="178" t="e">
        <f t="shared" si="29"/>
        <v>#DIV/0!</v>
      </c>
      <c r="DX18" s="178" t="e">
        <f t="shared" si="29"/>
        <v>#DIV/0!</v>
      </c>
      <c r="DY18" s="178" t="e">
        <f t="shared" si="29"/>
        <v>#DIV/0!</v>
      </c>
      <c r="DZ18" s="168" t="e">
        <f t="shared" si="29"/>
        <v>#DIV/0!</v>
      </c>
      <c r="EA18" s="169" t="e">
        <f t="shared" si="55"/>
        <v>#DIV/0!</v>
      </c>
      <c r="EB18" s="171" t="e">
        <f t="shared" si="56"/>
        <v>#DIV/0!</v>
      </c>
    </row>
    <row r="19" spans="1:132" s="177" customFormat="1" ht="15.75">
      <c r="A19" s="163">
        <v>43831</v>
      </c>
      <c r="B19" s="403" t="s">
        <v>88</v>
      </c>
      <c r="C19" s="406" t="s">
        <v>262</v>
      </c>
      <c r="D19" s="405">
        <v>3000</v>
      </c>
      <c r="E19" s="167"/>
      <c r="F19" s="168" t="e">
        <f t="shared" si="20"/>
        <v>#DIV/0!</v>
      </c>
      <c r="G19" s="169" t="e">
        <f t="shared" si="30"/>
        <v>#DIV/0!</v>
      </c>
      <c r="H19" s="178" t="e">
        <f t="shared" si="21"/>
        <v>#DIV/0!</v>
      </c>
      <c r="I19" s="178" t="e">
        <f t="shared" si="21"/>
        <v>#DIV/0!</v>
      </c>
      <c r="J19" s="178" t="e">
        <f t="shared" si="21"/>
        <v>#DIV/0!</v>
      </c>
      <c r="K19" s="178" t="e">
        <f t="shared" si="21"/>
        <v>#DIV/0!</v>
      </c>
      <c r="L19" s="178" t="e">
        <f t="shared" si="21"/>
        <v>#DIV/0!</v>
      </c>
      <c r="M19" s="178" t="e">
        <f t="shared" si="21"/>
        <v>#DIV/0!</v>
      </c>
      <c r="N19" s="178" t="e">
        <f t="shared" si="21"/>
        <v>#DIV/0!</v>
      </c>
      <c r="O19" s="178" t="e">
        <f t="shared" si="21"/>
        <v>#DIV/0!</v>
      </c>
      <c r="P19" s="178" t="e">
        <f t="shared" si="21"/>
        <v>#DIV/0!</v>
      </c>
      <c r="Q19" s="178" t="e">
        <f t="shared" si="21"/>
        <v>#DIV/0!</v>
      </c>
      <c r="R19" s="179" t="e">
        <f t="shared" si="21"/>
        <v>#DIV/0!</v>
      </c>
      <c r="S19" s="169" t="e">
        <f t="shared" si="31"/>
        <v>#DIV/0!</v>
      </c>
      <c r="T19" s="179" t="e">
        <f t="shared" si="32"/>
        <v>#DIV/0!</v>
      </c>
      <c r="U19" s="180" t="e">
        <f t="shared" si="33"/>
        <v>#DIV/0!</v>
      </c>
      <c r="V19" s="178" t="e">
        <f t="shared" si="22"/>
        <v>#DIV/0!</v>
      </c>
      <c r="W19" s="178" t="e">
        <f t="shared" si="22"/>
        <v>#DIV/0!</v>
      </c>
      <c r="X19" s="178" t="e">
        <f t="shared" si="22"/>
        <v>#DIV/0!</v>
      </c>
      <c r="Y19" s="178" t="e">
        <f t="shared" si="22"/>
        <v>#DIV/0!</v>
      </c>
      <c r="Z19" s="178" t="e">
        <f t="shared" si="22"/>
        <v>#DIV/0!</v>
      </c>
      <c r="AA19" s="178" t="e">
        <f t="shared" si="22"/>
        <v>#DIV/0!</v>
      </c>
      <c r="AB19" s="178" t="e">
        <f t="shared" si="22"/>
        <v>#DIV/0!</v>
      </c>
      <c r="AC19" s="178" t="e">
        <f t="shared" si="22"/>
        <v>#DIV/0!</v>
      </c>
      <c r="AD19" s="178" t="e">
        <f t="shared" si="22"/>
        <v>#DIV/0!</v>
      </c>
      <c r="AE19" s="178" t="e">
        <f t="shared" si="22"/>
        <v>#DIV/0!</v>
      </c>
      <c r="AF19" s="168" t="e">
        <f t="shared" si="22"/>
        <v>#DIV/0!</v>
      </c>
      <c r="AG19" s="169" t="e">
        <f t="shared" si="34"/>
        <v>#DIV/0!</v>
      </c>
      <c r="AH19" s="179" t="e">
        <f t="shared" si="35"/>
        <v>#DIV/0!</v>
      </c>
      <c r="AI19" s="180" t="e">
        <f t="shared" si="36"/>
        <v>#DIV/0!</v>
      </c>
      <c r="AJ19" s="178" t="e">
        <f t="shared" si="23"/>
        <v>#DIV/0!</v>
      </c>
      <c r="AK19" s="178" t="e">
        <f t="shared" si="23"/>
        <v>#DIV/0!</v>
      </c>
      <c r="AL19" s="178" t="e">
        <f t="shared" si="23"/>
        <v>#DIV/0!</v>
      </c>
      <c r="AM19" s="178" t="e">
        <f t="shared" si="23"/>
        <v>#DIV/0!</v>
      </c>
      <c r="AN19" s="178" t="e">
        <f t="shared" si="23"/>
        <v>#DIV/0!</v>
      </c>
      <c r="AO19" s="178" t="e">
        <f t="shared" si="23"/>
        <v>#DIV/0!</v>
      </c>
      <c r="AP19" s="178" t="e">
        <f t="shared" si="23"/>
        <v>#DIV/0!</v>
      </c>
      <c r="AQ19" s="178" t="e">
        <f t="shared" si="23"/>
        <v>#DIV/0!</v>
      </c>
      <c r="AR19" s="178" t="e">
        <f t="shared" si="23"/>
        <v>#DIV/0!</v>
      </c>
      <c r="AS19" s="178" t="e">
        <f t="shared" si="23"/>
        <v>#DIV/0!</v>
      </c>
      <c r="AT19" s="168" t="e">
        <f t="shared" si="23"/>
        <v>#DIV/0!</v>
      </c>
      <c r="AU19" s="169" t="e">
        <f t="shared" si="37"/>
        <v>#DIV/0!</v>
      </c>
      <c r="AV19" s="179" t="e">
        <f t="shared" si="38"/>
        <v>#DIV/0!</v>
      </c>
      <c r="AW19" s="180" t="e">
        <f t="shared" si="39"/>
        <v>#DIV/0!</v>
      </c>
      <c r="AX19" s="178" t="e">
        <f t="shared" si="24"/>
        <v>#DIV/0!</v>
      </c>
      <c r="AY19" s="178" t="e">
        <f t="shared" si="24"/>
        <v>#DIV/0!</v>
      </c>
      <c r="AZ19" s="178" t="e">
        <f t="shared" si="24"/>
        <v>#DIV/0!</v>
      </c>
      <c r="BA19" s="178" t="e">
        <f t="shared" si="24"/>
        <v>#DIV/0!</v>
      </c>
      <c r="BB19" s="178" t="e">
        <f t="shared" si="24"/>
        <v>#DIV/0!</v>
      </c>
      <c r="BC19" s="178" t="e">
        <f t="shared" si="24"/>
        <v>#DIV/0!</v>
      </c>
      <c r="BD19" s="178" t="e">
        <f t="shared" si="24"/>
        <v>#DIV/0!</v>
      </c>
      <c r="BE19" s="178" t="e">
        <f t="shared" si="24"/>
        <v>#DIV/0!</v>
      </c>
      <c r="BF19" s="178" t="e">
        <f t="shared" si="24"/>
        <v>#DIV/0!</v>
      </c>
      <c r="BG19" s="178" t="e">
        <f t="shared" si="24"/>
        <v>#DIV/0!</v>
      </c>
      <c r="BH19" s="168" t="e">
        <f t="shared" si="24"/>
        <v>#DIV/0!</v>
      </c>
      <c r="BI19" s="169" t="e">
        <f t="shared" si="40"/>
        <v>#DIV/0!</v>
      </c>
      <c r="BJ19" s="179" t="e">
        <f t="shared" si="41"/>
        <v>#DIV/0!</v>
      </c>
      <c r="BK19" s="180" t="e">
        <f t="shared" si="42"/>
        <v>#DIV/0!</v>
      </c>
      <c r="BL19" s="178" t="e">
        <f t="shared" si="25"/>
        <v>#DIV/0!</v>
      </c>
      <c r="BM19" s="178" t="e">
        <f t="shared" si="25"/>
        <v>#DIV/0!</v>
      </c>
      <c r="BN19" s="178" t="e">
        <f t="shared" si="25"/>
        <v>#DIV/0!</v>
      </c>
      <c r="BO19" s="178" t="e">
        <f t="shared" si="25"/>
        <v>#DIV/0!</v>
      </c>
      <c r="BP19" s="178" t="e">
        <f t="shared" si="25"/>
        <v>#DIV/0!</v>
      </c>
      <c r="BQ19" s="178" t="e">
        <f t="shared" si="25"/>
        <v>#DIV/0!</v>
      </c>
      <c r="BR19" s="178" t="e">
        <f t="shared" si="25"/>
        <v>#DIV/0!</v>
      </c>
      <c r="BS19" s="178" t="e">
        <f t="shared" si="25"/>
        <v>#DIV/0!</v>
      </c>
      <c r="BT19" s="178" t="e">
        <f t="shared" si="25"/>
        <v>#DIV/0!</v>
      </c>
      <c r="BU19" s="178" t="e">
        <f t="shared" si="25"/>
        <v>#DIV/0!</v>
      </c>
      <c r="BV19" s="168" t="e">
        <f t="shared" si="25"/>
        <v>#DIV/0!</v>
      </c>
      <c r="BW19" s="169" t="e">
        <f t="shared" si="43"/>
        <v>#DIV/0!</v>
      </c>
      <c r="BX19" s="179" t="e">
        <f t="shared" si="44"/>
        <v>#DIV/0!</v>
      </c>
      <c r="BY19" s="180" t="e">
        <f t="shared" si="45"/>
        <v>#DIV/0!</v>
      </c>
      <c r="BZ19" s="178" t="e">
        <f t="shared" si="26"/>
        <v>#DIV/0!</v>
      </c>
      <c r="CA19" s="178" t="e">
        <f t="shared" si="26"/>
        <v>#DIV/0!</v>
      </c>
      <c r="CB19" s="178" t="e">
        <f t="shared" si="26"/>
        <v>#DIV/0!</v>
      </c>
      <c r="CC19" s="178" t="e">
        <f t="shared" si="26"/>
        <v>#DIV/0!</v>
      </c>
      <c r="CD19" s="178" t="e">
        <f t="shared" si="26"/>
        <v>#DIV/0!</v>
      </c>
      <c r="CE19" s="178" t="e">
        <f t="shared" si="26"/>
        <v>#DIV/0!</v>
      </c>
      <c r="CF19" s="178" t="e">
        <f t="shared" si="26"/>
        <v>#DIV/0!</v>
      </c>
      <c r="CG19" s="178" t="e">
        <f t="shared" si="26"/>
        <v>#DIV/0!</v>
      </c>
      <c r="CH19" s="178" t="e">
        <f t="shared" si="26"/>
        <v>#DIV/0!</v>
      </c>
      <c r="CI19" s="178" t="e">
        <f t="shared" si="26"/>
        <v>#DIV/0!</v>
      </c>
      <c r="CJ19" s="168" t="e">
        <f t="shared" si="26"/>
        <v>#DIV/0!</v>
      </c>
      <c r="CK19" s="169" t="e">
        <f t="shared" si="46"/>
        <v>#DIV/0!</v>
      </c>
      <c r="CL19" s="179" t="e">
        <f t="shared" si="47"/>
        <v>#DIV/0!</v>
      </c>
      <c r="CM19" s="180" t="e">
        <f t="shared" si="48"/>
        <v>#DIV/0!</v>
      </c>
      <c r="CN19" s="178" t="e">
        <f t="shared" si="27"/>
        <v>#DIV/0!</v>
      </c>
      <c r="CO19" s="178" t="e">
        <f t="shared" si="27"/>
        <v>#DIV/0!</v>
      </c>
      <c r="CP19" s="178" t="e">
        <f t="shared" si="27"/>
        <v>#DIV/0!</v>
      </c>
      <c r="CQ19" s="178" t="e">
        <f t="shared" si="27"/>
        <v>#DIV/0!</v>
      </c>
      <c r="CR19" s="178" t="e">
        <f t="shared" si="27"/>
        <v>#DIV/0!</v>
      </c>
      <c r="CS19" s="178" t="e">
        <f t="shared" si="27"/>
        <v>#DIV/0!</v>
      </c>
      <c r="CT19" s="178" t="e">
        <f t="shared" si="27"/>
        <v>#DIV/0!</v>
      </c>
      <c r="CU19" s="178" t="e">
        <f t="shared" si="27"/>
        <v>#DIV/0!</v>
      </c>
      <c r="CV19" s="178" t="e">
        <f t="shared" si="27"/>
        <v>#DIV/0!</v>
      </c>
      <c r="CW19" s="178" t="e">
        <f t="shared" si="27"/>
        <v>#DIV/0!</v>
      </c>
      <c r="CX19" s="168" t="e">
        <f t="shared" si="27"/>
        <v>#DIV/0!</v>
      </c>
      <c r="CY19" s="169" t="e">
        <f t="shared" si="49"/>
        <v>#DIV/0!</v>
      </c>
      <c r="CZ19" s="179" t="e">
        <f t="shared" si="50"/>
        <v>#DIV/0!</v>
      </c>
      <c r="DA19" s="180" t="e">
        <f t="shared" si="51"/>
        <v>#DIV/0!</v>
      </c>
      <c r="DB19" s="178" t="e">
        <f t="shared" si="28"/>
        <v>#DIV/0!</v>
      </c>
      <c r="DC19" s="178" t="e">
        <f t="shared" si="28"/>
        <v>#DIV/0!</v>
      </c>
      <c r="DD19" s="178" t="e">
        <f t="shared" si="28"/>
        <v>#DIV/0!</v>
      </c>
      <c r="DE19" s="178" t="e">
        <f t="shared" si="28"/>
        <v>#DIV/0!</v>
      </c>
      <c r="DF19" s="178" t="e">
        <f t="shared" si="28"/>
        <v>#DIV/0!</v>
      </c>
      <c r="DG19" s="178" t="e">
        <f t="shared" si="28"/>
        <v>#DIV/0!</v>
      </c>
      <c r="DH19" s="178" t="e">
        <f t="shared" si="28"/>
        <v>#DIV/0!</v>
      </c>
      <c r="DI19" s="178" t="e">
        <f t="shared" si="28"/>
        <v>#DIV/0!</v>
      </c>
      <c r="DJ19" s="178" t="e">
        <f t="shared" si="28"/>
        <v>#DIV/0!</v>
      </c>
      <c r="DK19" s="178" t="e">
        <f t="shared" si="28"/>
        <v>#DIV/0!</v>
      </c>
      <c r="DL19" s="168" t="e">
        <f t="shared" si="28"/>
        <v>#DIV/0!</v>
      </c>
      <c r="DM19" s="169" t="e">
        <f t="shared" si="52"/>
        <v>#DIV/0!</v>
      </c>
      <c r="DN19" s="171" t="e">
        <f t="shared" si="53"/>
        <v>#DIV/0!</v>
      </c>
      <c r="DO19" s="180" t="e">
        <f t="shared" si="54"/>
        <v>#DIV/0!</v>
      </c>
      <c r="DP19" s="178" t="e">
        <f t="shared" si="29"/>
        <v>#DIV/0!</v>
      </c>
      <c r="DQ19" s="178" t="e">
        <f t="shared" si="29"/>
        <v>#DIV/0!</v>
      </c>
      <c r="DR19" s="178" t="e">
        <f t="shared" si="29"/>
        <v>#DIV/0!</v>
      </c>
      <c r="DS19" s="178" t="e">
        <f t="shared" si="29"/>
        <v>#DIV/0!</v>
      </c>
      <c r="DT19" s="178" t="e">
        <f t="shared" si="29"/>
        <v>#DIV/0!</v>
      </c>
      <c r="DU19" s="178" t="e">
        <f t="shared" si="29"/>
        <v>#DIV/0!</v>
      </c>
      <c r="DV19" s="178" t="e">
        <f t="shared" si="29"/>
        <v>#DIV/0!</v>
      </c>
      <c r="DW19" s="178" t="e">
        <f t="shared" si="29"/>
        <v>#DIV/0!</v>
      </c>
      <c r="DX19" s="178" t="e">
        <f t="shared" si="29"/>
        <v>#DIV/0!</v>
      </c>
      <c r="DY19" s="178" t="e">
        <f t="shared" si="29"/>
        <v>#DIV/0!</v>
      </c>
      <c r="DZ19" s="168" t="e">
        <f t="shared" si="29"/>
        <v>#DIV/0!</v>
      </c>
      <c r="EA19" s="169" t="e">
        <f t="shared" si="55"/>
        <v>#DIV/0!</v>
      </c>
      <c r="EB19" s="171" t="e">
        <f t="shared" si="56"/>
        <v>#DIV/0!</v>
      </c>
    </row>
    <row r="20" spans="1:132" s="177" customFormat="1" ht="15.75">
      <c r="A20" s="163">
        <v>43831</v>
      </c>
      <c r="B20" s="407" t="s">
        <v>90</v>
      </c>
      <c r="C20" s="406" t="s">
        <v>263</v>
      </c>
      <c r="D20" s="405">
        <v>1500</v>
      </c>
      <c r="E20" s="167"/>
      <c r="F20" s="168" t="e">
        <f t="shared" si="20"/>
        <v>#DIV/0!</v>
      </c>
      <c r="G20" s="169" t="e">
        <f t="shared" si="30"/>
        <v>#DIV/0!</v>
      </c>
      <c r="H20" s="178" t="e">
        <f t="shared" si="21"/>
        <v>#DIV/0!</v>
      </c>
      <c r="I20" s="178" t="e">
        <f t="shared" si="21"/>
        <v>#DIV/0!</v>
      </c>
      <c r="J20" s="178" t="e">
        <f t="shared" si="21"/>
        <v>#DIV/0!</v>
      </c>
      <c r="K20" s="178" t="e">
        <f t="shared" si="21"/>
        <v>#DIV/0!</v>
      </c>
      <c r="L20" s="178" t="e">
        <f t="shared" si="21"/>
        <v>#DIV/0!</v>
      </c>
      <c r="M20" s="178" t="e">
        <f t="shared" si="21"/>
        <v>#DIV/0!</v>
      </c>
      <c r="N20" s="178" t="e">
        <f t="shared" si="21"/>
        <v>#DIV/0!</v>
      </c>
      <c r="O20" s="178" t="e">
        <f t="shared" si="21"/>
        <v>#DIV/0!</v>
      </c>
      <c r="P20" s="178" t="e">
        <f t="shared" si="21"/>
        <v>#DIV/0!</v>
      </c>
      <c r="Q20" s="178" t="e">
        <f t="shared" si="21"/>
        <v>#DIV/0!</v>
      </c>
      <c r="R20" s="179" t="e">
        <f t="shared" si="21"/>
        <v>#DIV/0!</v>
      </c>
      <c r="S20" s="169" t="e">
        <f t="shared" si="31"/>
        <v>#DIV/0!</v>
      </c>
      <c r="T20" s="179" t="e">
        <f t="shared" si="32"/>
        <v>#DIV/0!</v>
      </c>
      <c r="U20" s="180" t="e">
        <f t="shared" si="33"/>
        <v>#DIV/0!</v>
      </c>
      <c r="V20" s="178" t="e">
        <f t="shared" si="22"/>
        <v>#DIV/0!</v>
      </c>
      <c r="W20" s="178" t="e">
        <f t="shared" si="22"/>
        <v>#DIV/0!</v>
      </c>
      <c r="X20" s="178" t="e">
        <f t="shared" si="22"/>
        <v>#DIV/0!</v>
      </c>
      <c r="Y20" s="178" t="e">
        <f t="shared" si="22"/>
        <v>#DIV/0!</v>
      </c>
      <c r="Z20" s="178" t="e">
        <f t="shared" si="22"/>
        <v>#DIV/0!</v>
      </c>
      <c r="AA20" s="178" t="e">
        <f t="shared" si="22"/>
        <v>#DIV/0!</v>
      </c>
      <c r="AB20" s="178" t="e">
        <f t="shared" si="22"/>
        <v>#DIV/0!</v>
      </c>
      <c r="AC20" s="178" t="e">
        <f t="shared" si="22"/>
        <v>#DIV/0!</v>
      </c>
      <c r="AD20" s="178" t="e">
        <f t="shared" si="22"/>
        <v>#DIV/0!</v>
      </c>
      <c r="AE20" s="178" t="e">
        <f t="shared" si="22"/>
        <v>#DIV/0!</v>
      </c>
      <c r="AF20" s="168" t="e">
        <f t="shared" si="22"/>
        <v>#DIV/0!</v>
      </c>
      <c r="AG20" s="169" t="e">
        <f t="shared" si="34"/>
        <v>#DIV/0!</v>
      </c>
      <c r="AH20" s="179" t="e">
        <f t="shared" si="35"/>
        <v>#DIV/0!</v>
      </c>
      <c r="AI20" s="180" t="e">
        <f t="shared" si="36"/>
        <v>#DIV/0!</v>
      </c>
      <c r="AJ20" s="178" t="e">
        <f t="shared" si="23"/>
        <v>#DIV/0!</v>
      </c>
      <c r="AK20" s="178" t="e">
        <f t="shared" si="23"/>
        <v>#DIV/0!</v>
      </c>
      <c r="AL20" s="178" t="e">
        <f t="shared" si="23"/>
        <v>#DIV/0!</v>
      </c>
      <c r="AM20" s="178" t="e">
        <f t="shared" si="23"/>
        <v>#DIV/0!</v>
      </c>
      <c r="AN20" s="178" t="e">
        <f t="shared" si="23"/>
        <v>#DIV/0!</v>
      </c>
      <c r="AO20" s="178" t="e">
        <f t="shared" si="23"/>
        <v>#DIV/0!</v>
      </c>
      <c r="AP20" s="178" t="e">
        <f t="shared" si="23"/>
        <v>#DIV/0!</v>
      </c>
      <c r="AQ20" s="178" t="e">
        <f t="shared" si="23"/>
        <v>#DIV/0!</v>
      </c>
      <c r="AR20" s="178" t="e">
        <f t="shared" si="23"/>
        <v>#DIV/0!</v>
      </c>
      <c r="AS20" s="178" t="e">
        <f t="shared" si="23"/>
        <v>#DIV/0!</v>
      </c>
      <c r="AT20" s="168" t="e">
        <f t="shared" si="23"/>
        <v>#DIV/0!</v>
      </c>
      <c r="AU20" s="169" t="e">
        <f t="shared" si="37"/>
        <v>#DIV/0!</v>
      </c>
      <c r="AV20" s="179" t="e">
        <f t="shared" si="38"/>
        <v>#DIV/0!</v>
      </c>
      <c r="AW20" s="180" t="e">
        <f t="shared" si="39"/>
        <v>#DIV/0!</v>
      </c>
      <c r="AX20" s="178" t="e">
        <f t="shared" si="24"/>
        <v>#DIV/0!</v>
      </c>
      <c r="AY20" s="178" t="e">
        <f t="shared" si="24"/>
        <v>#DIV/0!</v>
      </c>
      <c r="AZ20" s="178" t="e">
        <f t="shared" si="24"/>
        <v>#DIV/0!</v>
      </c>
      <c r="BA20" s="178" t="e">
        <f t="shared" si="24"/>
        <v>#DIV/0!</v>
      </c>
      <c r="BB20" s="178" t="e">
        <f t="shared" si="24"/>
        <v>#DIV/0!</v>
      </c>
      <c r="BC20" s="178" t="e">
        <f t="shared" si="24"/>
        <v>#DIV/0!</v>
      </c>
      <c r="BD20" s="178" t="e">
        <f t="shared" si="24"/>
        <v>#DIV/0!</v>
      </c>
      <c r="BE20" s="178" t="e">
        <f t="shared" si="24"/>
        <v>#DIV/0!</v>
      </c>
      <c r="BF20" s="178" t="e">
        <f t="shared" si="24"/>
        <v>#DIV/0!</v>
      </c>
      <c r="BG20" s="178" t="e">
        <f t="shared" si="24"/>
        <v>#DIV/0!</v>
      </c>
      <c r="BH20" s="168" t="e">
        <f t="shared" si="24"/>
        <v>#DIV/0!</v>
      </c>
      <c r="BI20" s="169" t="e">
        <f t="shared" si="40"/>
        <v>#DIV/0!</v>
      </c>
      <c r="BJ20" s="179" t="e">
        <f t="shared" si="41"/>
        <v>#DIV/0!</v>
      </c>
      <c r="BK20" s="180" t="e">
        <f t="shared" si="42"/>
        <v>#DIV/0!</v>
      </c>
      <c r="BL20" s="178" t="e">
        <f t="shared" si="25"/>
        <v>#DIV/0!</v>
      </c>
      <c r="BM20" s="178" t="e">
        <f t="shared" si="25"/>
        <v>#DIV/0!</v>
      </c>
      <c r="BN20" s="178" t="e">
        <f t="shared" si="25"/>
        <v>#DIV/0!</v>
      </c>
      <c r="BO20" s="178" t="e">
        <f t="shared" si="25"/>
        <v>#DIV/0!</v>
      </c>
      <c r="BP20" s="178" t="e">
        <f t="shared" si="25"/>
        <v>#DIV/0!</v>
      </c>
      <c r="BQ20" s="178" t="e">
        <f t="shared" si="25"/>
        <v>#DIV/0!</v>
      </c>
      <c r="BR20" s="178" t="e">
        <f t="shared" si="25"/>
        <v>#DIV/0!</v>
      </c>
      <c r="BS20" s="178" t="e">
        <f t="shared" si="25"/>
        <v>#DIV/0!</v>
      </c>
      <c r="BT20" s="178" t="e">
        <f t="shared" si="25"/>
        <v>#DIV/0!</v>
      </c>
      <c r="BU20" s="178" t="e">
        <f t="shared" si="25"/>
        <v>#DIV/0!</v>
      </c>
      <c r="BV20" s="168" t="e">
        <f t="shared" si="25"/>
        <v>#DIV/0!</v>
      </c>
      <c r="BW20" s="169" t="e">
        <f t="shared" si="43"/>
        <v>#DIV/0!</v>
      </c>
      <c r="BX20" s="179" t="e">
        <f t="shared" si="44"/>
        <v>#DIV/0!</v>
      </c>
      <c r="BY20" s="180" t="e">
        <f t="shared" si="45"/>
        <v>#DIV/0!</v>
      </c>
      <c r="BZ20" s="178" t="e">
        <f t="shared" si="26"/>
        <v>#DIV/0!</v>
      </c>
      <c r="CA20" s="178" t="e">
        <f t="shared" si="26"/>
        <v>#DIV/0!</v>
      </c>
      <c r="CB20" s="178" t="e">
        <f t="shared" si="26"/>
        <v>#DIV/0!</v>
      </c>
      <c r="CC20" s="178" t="e">
        <f t="shared" si="26"/>
        <v>#DIV/0!</v>
      </c>
      <c r="CD20" s="178" t="e">
        <f t="shared" si="26"/>
        <v>#DIV/0!</v>
      </c>
      <c r="CE20" s="178" t="e">
        <f t="shared" si="26"/>
        <v>#DIV/0!</v>
      </c>
      <c r="CF20" s="178" t="e">
        <f t="shared" si="26"/>
        <v>#DIV/0!</v>
      </c>
      <c r="CG20" s="178" t="e">
        <f t="shared" si="26"/>
        <v>#DIV/0!</v>
      </c>
      <c r="CH20" s="178" t="e">
        <f t="shared" si="26"/>
        <v>#DIV/0!</v>
      </c>
      <c r="CI20" s="178" t="e">
        <f t="shared" si="26"/>
        <v>#DIV/0!</v>
      </c>
      <c r="CJ20" s="168" t="e">
        <f t="shared" si="26"/>
        <v>#DIV/0!</v>
      </c>
      <c r="CK20" s="169" t="e">
        <f t="shared" si="46"/>
        <v>#DIV/0!</v>
      </c>
      <c r="CL20" s="179" t="e">
        <f t="shared" si="47"/>
        <v>#DIV/0!</v>
      </c>
      <c r="CM20" s="180" t="e">
        <f t="shared" si="48"/>
        <v>#DIV/0!</v>
      </c>
      <c r="CN20" s="178" t="e">
        <f t="shared" si="27"/>
        <v>#DIV/0!</v>
      </c>
      <c r="CO20" s="178" t="e">
        <f t="shared" si="27"/>
        <v>#DIV/0!</v>
      </c>
      <c r="CP20" s="178" t="e">
        <f t="shared" si="27"/>
        <v>#DIV/0!</v>
      </c>
      <c r="CQ20" s="178" t="e">
        <f t="shared" si="27"/>
        <v>#DIV/0!</v>
      </c>
      <c r="CR20" s="178" t="e">
        <f t="shared" si="27"/>
        <v>#DIV/0!</v>
      </c>
      <c r="CS20" s="178" t="e">
        <f t="shared" si="27"/>
        <v>#DIV/0!</v>
      </c>
      <c r="CT20" s="178" t="e">
        <f t="shared" si="27"/>
        <v>#DIV/0!</v>
      </c>
      <c r="CU20" s="178" t="e">
        <f t="shared" si="27"/>
        <v>#DIV/0!</v>
      </c>
      <c r="CV20" s="178" t="e">
        <f t="shared" si="27"/>
        <v>#DIV/0!</v>
      </c>
      <c r="CW20" s="178" t="e">
        <f t="shared" si="27"/>
        <v>#DIV/0!</v>
      </c>
      <c r="CX20" s="168" t="e">
        <f t="shared" si="27"/>
        <v>#DIV/0!</v>
      </c>
      <c r="CY20" s="169" t="e">
        <f t="shared" si="49"/>
        <v>#DIV/0!</v>
      </c>
      <c r="CZ20" s="179" t="e">
        <f t="shared" si="50"/>
        <v>#DIV/0!</v>
      </c>
      <c r="DA20" s="180" t="e">
        <f t="shared" si="51"/>
        <v>#DIV/0!</v>
      </c>
      <c r="DB20" s="178" t="e">
        <f t="shared" si="28"/>
        <v>#DIV/0!</v>
      </c>
      <c r="DC20" s="178" t="e">
        <f t="shared" si="28"/>
        <v>#DIV/0!</v>
      </c>
      <c r="DD20" s="178" t="e">
        <f t="shared" si="28"/>
        <v>#DIV/0!</v>
      </c>
      <c r="DE20" s="178" t="e">
        <f t="shared" si="28"/>
        <v>#DIV/0!</v>
      </c>
      <c r="DF20" s="178" t="e">
        <f t="shared" si="28"/>
        <v>#DIV/0!</v>
      </c>
      <c r="DG20" s="178" t="e">
        <f t="shared" si="28"/>
        <v>#DIV/0!</v>
      </c>
      <c r="DH20" s="178" t="e">
        <f t="shared" si="28"/>
        <v>#DIV/0!</v>
      </c>
      <c r="DI20" s="178" t="e">
        <f t="shared" si="28"/>
        <v>#DIV/0!</v>
      </c>
      <c r="DJ20" s="178" t="e">
        <f t="shared" si="28"/>
        <v>#DIV/0!</v>
      </c>
      <c r="DK20" s="178" t="e">
        <f t="shared" si="28"/>
        <v>#DIV/0!</v>
      </c>
      <c r="DL20" s="168" t="e">
        <f t="shared" si="28"/>
        <v>#DIV/0!</v>
      </c>
      <c r="DM20" s="169" t="e">
        <f t="shared" si="52"/>
        <v>#DIV/0!</v>
      </c>
      <c r="DN20" s="171" t="e">
        <f t="shared" si="53"/>
        <v>#DIV/0!</v>
      </c>
      <c r="DO20" s="180" t="e">
        <f t="shared" si="54"/>
        <v>#DIV/0!</v>
      </c>
      <c r="DP20" s="178" t="e">
        <f t="shared" si="29"/>
        <v>#DIV/0!</v>
      </c>
      <c r="DQ20" s="178" t="e">
        <f t="shared" si="29"/>
        <v>#DIV/0!</v>
      </c>
      <c r="DR20" s="178" t="e">
        <f t="shared" si="29"/>
        <v>#DIV/0!</v>
      </c>
      <c r="DS20" s="178" t="e">
        <f t="shared" si="29"/>
        <v>#DIV/0!</v>
      </c>
      <c r="DT20" s="178" t="e">
        <f t="shared" si="29"/>
        <v>#DIV/0!</v>
      </c>
      <c r="DU20" s="178" t="e">
        <f t="shared" si="29"/>
        <v>#DIV/0!</v>
      </c>
      <c r="DV20" s="178" t="e">
        <f t="shared" si="29"/>
        <v>#DIV/0!</v>
      </c>
      <c r="DW20" s="178" t="e">
        <f t="shared" si="29"/>
        <v>#DIV/0!</v>
      </c>
      <c r="DX20" s="178" t="e">
        <f t="shared" si="29"/>
        <v>#DIV/0!</v>
      </c>
      <c r="DY20" s="178" t="e">
        <f t="shared" si="29"/>
        <v>#DIV/0!</v>
      </c>
      <c r="DZ20" s="168" t="e">
        <f t="shared" si="29"/>
        <v>#DIV/0!</v>
      </c>
      <c r="EA20" s="169" t="e">
        <f t="shared" si="55"/>
        <v>#DIV/0!</v>
      </c>
      <c r="EB20" s="171" t="e">
        <f t="shared" si="56"/>
        <v>#DIV/0!</v>
      </c>
    </row>
    <row r="21" spans="1:132" s="177" customFormat="1" ht="15.75">
      <c r="A21" s="163">
        <v>43831</v>
      </c>
      <c r="B21" s="407" t="s">
        <v>90</v>
      </c>
      <c r="C21" s="406" t="s">
        <v>264</v>
      </c>
      <c r="D21" s="405">
        <v>1000</v>
      </c>
      <c r="E21" s="167"/>
      <c r="F21" s="168" t="e">
        <f t="shared" si="20"/>
        <v>#DIV/0!</v>
      </c>
      <c r="G21" s="169" t="e">
        <f t="shared" si="30"/>
        <v>#DIV/0!</v>
      </c>
      <c r="H21" s="178" t="e">
        <f t="shared" si="21"/>
        <v>#DIV/0!</v>
      </c>
      <c r="I21" s="178" t="e">
        <f t="shared" si="21"/>
        <v>#DIV/0!</v>
      </c>
      <c r="J21" s="178" t="e">
        <f t="shared" si="21"/>
        <v>#DIV/0!</v>
      </c>
      <c r="K21" s="178" t="e">
        <f t="shared" si="21"/>
        <v>#DIV/0!</v>
      </c>
      <c r="L21" s="178" t="e">
        <f t="shared" si="21"/>
        <v>#DIV/0!</v>
      </c>
      <c r="M21" s="178" t="e">
        <f t="shared" si="21"/>
        <v>#DIV/0!</v>
      </c>
      <c r="N21" s="178" t="e">
        <f t="shared" si="21"/>
        <v>#DIV/0!</v>
      </c>
      <c r="O21" s="178" t="e">
        <f t="shared" si="21"/>
        <v>#DIV/0!</v>
      </c>
      <c r="P21" s="178" t="e">
        <f t="shared" si="21"/>
        <v>#DIV/0!</v>
      </c>
      <c r="Q21" s="178" t="e">
        <f t="shared" si="21"/>
        <v>#DIV/0!</v>
      </c>
      <c r="R21" s="179" t="e">
        <f t="shared" si="21"/>
        <v>#DIV/0!</v>
      </c>
      <c r="S21" s="169" t="e">
        <f t="shared" si="31"/>
        <v>#DIV/0!</v>
      </c>
      <c r="T21" s="179" t="e">
        <f t="shared" si="32"/>
        <v>#DIV/0!</v>
      </c>
      <c r="U21" s="180" t="e">
        <f t="shared" si="33"/>
        <v>#DIV/0!</v>
      </c>
      <c r="V21" s="178" t="e">
        <f t="shared" si="22"/>
        <v>#DIV/0!</v>
      </c>
      <c r="W21" s="178" t="e">
        <f t="shared" si="22"/>
        <v>#DIV/0!</v>
      </c>
      <c r="X21" s="178" t="e">
        <f t="shared" si="22"/>
        <v>#DIV/0!</v>
      </c>
      <c r="Y21" s="178" t="e">
        <f t="shared" si="22"/>
        <v>#DIV/0!</v>
      </c>
      <c r="Z21" s="178" t="e">
        <f t="shared" si="22"/>
        <v>#DIV/0!</v>
      </c>
      <c r="AA21" s="178" t="e">
        <f t="shared" si="22"/>
        <v>#DIV/0!</v>
      </c>
      <c r="AB21" s="178" t="e">
        <f t="shared" si="22"/>
        <v>#DIV/0!</v>
      </c>
      <c r="AC21" s="178" t="e">
        <f t="shared" si="22"/>
        <v>#DIV/0!</v>
      </c>
      <c r="AD21" s="178" t="e">
        <f t="shared" si="22"/>
        <v>#DIV/0!</v>
      </c>
      <c r="AE21" s="178" t="e">
        <f t="shared" si="22"/>
        <v>#DIV/0!</v>
      </c>
      <c r="AF21" s="168" t="e">
        <f t="shared" si="22"/>
        <v>#DIV/0!</v>
      </c>
      <c r="AG21" s="169" t="e">
        <f t="shared" si="34"/>
        <v>#DIV/0!</v>
      </c>
      <c r="AH21" s="179" t="e">
        <f t="shared" si="35"/>
        <v>#DIV/0!</v>
      </c>
      <c r="AI21" s="180" t="e">
        <f t="shared" si="36"/>
        <v>#DIV/0!</v>
      </c>
      <c r="AJ21" s="178" t="e">
        <f t="shared" si="23"/>
        <v>#DIV/0!</v>
      </c>
      <c r="AK21" s="178" t="e">
        <f t="shared" si="23"/>
        <v>#DIV/0!</v>
      </c>
      <c r="AL21" s="178" t="e">
        <f t="shared" si="23"/>
        <v>#DIV/0!</v>
      </c>
      <c r="AM21" s="178" t="e">
        <f t="shared" si="23"/>
        <v>#DIV/0!</v>
      </c>
      <c r="AN21" s="178" t="e">
        <f t="shared" si="23"/>
        <v>#DIV/0!</v>
      </c>
      <c r="AO21" s="178" t="e">
        <f t="shared" si="23"/>
        <v>#DIV/0!</v>
      </c>
      <c r="AP21" s="178" t="e">
        <f t="shared" si="23"/>
        <v>#DIV/0!</v>
      </c>
      <c r="AQ21" s="178" t="e">
        <f t="shared" si="23"/>
        <v>#DIV/0!</v>
      </c>
      <c r="AR21" s="178" t="e">
        <f t="shared" si="23"/>
        <v>#DIV/0!</v>
      </c>
      <c r="AS21" s="178" t="e">
        <f t="shared" si="23"/>
        <v>#DIV/0!</v>
      </c>
      <c r="AT21" s="168" t="e">
        <f t="shared" si="23"/>
        <v>#DIV/0!</v>
      </c>
      <c r="AU21" s="169" t="e">
        <f t="shared" si="37"/>
        <v>#DIV/0!</v>
      </c>
      <c r="AV21" s="179" t="e">
        <f t="shared" si="38"/>
        <v>#DIV/0!</v>
      </c>
      <c r="AW21" s="180" t="e">
        <f t="shared" si="39"/>
        <v>#DIV/0!</v>
      </c>
      <c r="AX21" s="178" t="e">
        <f t="shared" si="24"/>
        <v>#DIV/0!</v>
      </c>
      <c r="AY21" s="178" t="e">
        <f t="shared" si="24"/>
        <v>#DIV/0!</v>
      </c>
      <c r="AZ21" s="178" t="e">
        <f t="shared" si="24"/>
        <v>#DIV/0!</v>
      </c>
      <c r="BA21" s="178" t="e">
        <f t="shared" si="24"/>
        <v>#DIV/0!</v>
      </c>
      <c r="BB21" s="178" t="e">
        <f t="shared" si="24"/>
        <v>#DIV/0!</v>
      </c>
      <c r="BC21" s="178" t="e">
        <f t="shared" si="24"/>
        <v>#DIV/0!</v>
      </c>
      <c r="BD21" s="178" t="e">
        <f t="shared" si="24"/>
        <v>#DIV/0!</v>
      </c>
      <c r="BE21" s="178" t="e">
        <f t="shared" si="24"/>
        <v>#DIV/0!</v>
      </c>
      <c r="BF21" s="178" t="e">
        <f t="shared" si="24"/>
        <v>#DIV/0!</v>
      </c>
      <c r="BG21" s="178" t="e">
        <f t="shared" si="24"/>
        <v>#DIV/0!</v>
      </c>
      <c r="BH21" s="168" t="e">
        <f t="shared" si="24"/>
        <v>#DIV/0!</v>
      </c>
      <c r="BI21" s="169" t="e">
        <f t="shared" si="40"/>
        <v>#DIV/0!</v>
      </c>
      <c r="BJ21" s="179" t="e">
        <f t="shared" si="41"/>
        <v>#DIV/0!</v>
      </c>
      <c r="BK21" s="180" t="e">
        <f t="shared" si="42"/>
        <v>#DIV/0!</v>
      </c>
      <c r="BL21" s="178" t="e">
        <f t="shared" si="25"/>
        <v>#DIV/0!</v>
      </c>
      <c r="BM21" s="178" t="e">
        <f t="shared" si="25"/>
        <v>#DIV/0!</v>
      </c>
      <c r="BN21" s="178" t="e">
        <f t="shared" si="25"/>
        <v>#DIV/0!</v>
      </c>
      <c r="BO21" s="178" t="e">
        <f t="shared" si="25"/>
        <v>#DIV/0!</v>
      </c>
      <c r="BP21" s="178" t="e">
        <f t="shared" si="25"/>
        <v>#DIV/0!</v>
      </c>
      <c r="BQ21" s="178" t="e">
        <f t="shared" si="25"/>
        <v>#DIV/0!</v>
      </c>
      <c r="BR21" s="178" t="e">
        <f t="shared" si="25"/>
        <v>#DIV/0!</v>
      </c>
      <c r="BS21" s="178" t="e">
        <f t="shared" si="25"/>
        <v>#DIV/0!</v>
      </c>
      <c r="BT21" s="178" t="e">
        <f t="shared" si="25"/>
        <v>#DIV/0!</v>
      </c>
      <c r="BU21" s="178" t="e">
        <f t="shared" si="25"/>
        <v>#DIV/0!</v>
      </c>
      <c r="BV21" s="168" t="e">
        <f t="shared" si="25"/>
        <v>#DIV/0!</v>
      </c>
      <c r="BW21" s="169" t="e">
        <f t="shared" si="43"/>
        <v>#DIV/0!</v>
      </c>
      <c r="BX21" s="179" t="e">
        <f t="shared" si="44"/>
        <v>#DIV/0!</v>
      </c>
      <c r="BY21" s="180" t="e">
        <f t="shared" si="45"/>
        <v>#DIV/0!</v>
      </c>
      <c r="BZ21" s="178" t="e">
        <f t="shared" si="26"/>
        <v>#DIV/0!</v>
      </c>
      <c r="CA21" s="178" t="e">
        <f t="shared" si="26"/>
        <v>#DIV/0!</v>
      </c>
      <c r="CB21" s="178" t="e">
        <f t="shared" si="26"/>
        <v>#DIV/0!</v>
      </c>
      <c r="CC21" s="178" t="e">
        <f t="shared" si="26"/>
        <v>#DIV/0!</v>
      </c>
      <c r="CD21" s="178" t="e">
        <f t="shared" si="26"/>
        <v>#DIV/0!</v>
      </c>
      <c r="CE21" s="178" t="e">
        <f t="shared" si="26"/>
        <v>#DIV/0!</v>
      </c>
      <c r="CF21" s="178" t="e">
        <f t="shared" si="26"/>
        <v>#DIV/0!</v>
      </c>
      <c r="CG21" s="178" t="e">
        <f t="shared" si="26"/>
        <v>#DIV/0!</v>
      </c>
      <c r="CH21" s="178" t="e">
        <f t="shared" si="26"/>
        <v>#DIV/0!</v>
      </c>
      <c r="CI21" s="178" t="e">
        <f t="shared" si="26"/>
        <v>#DIV/0!</v>
      </c>
      <c r="CJ21" s="168" t="e">
        <f t="shared" si="26"/>
        <v>#DIV/0!</v>
      </c>
      <c r="CK21" s="169" t="e">
        <f t="shared" si="46"/>
        <v>#DIV/0!</v>
      </c>
      <c r="CL21" s="179" t="e">
        <f t="shared" si="47"/>
        <v>#DIV/0!</v>
      </c>
      <c r="CM21" s="180" t="e">
        <f t="shared" si="48"/>
        <v>#DIV/0!</v>
      </c>
      <c r="CN21" s="178" t="e">
        <f t="shared" si="27"/>
        <v>#DIV/0!</v>
      </c>
      <c r="CO21" s="178" t="e">
        <f t="shared" si="27"/>
        <v>#DIV/0!</v>
      </c>
      <c r="CP21" s="178" t="e">
        <f t="shared" si="27"/>
        <v>#DIV/0!</v>
      </c>
      <c r="CQ21" s="178" t="e">
        <f t="shared" si="27"/>
        <v>#DIV/0!</v>
      </c>
      <c r="CR21" s="178" t="e">
        <f t="shared" si="27"/>
        <v>#DIV/0!</v>
      </c>
      <c r="CS21" s="178" t="e">
        <f t="shared" si="27"/>
        <v>#DIV/0!</v>
      </c>
      <c r="CT21" s="178" t="e">
        <f t="shared" si="27"/>
        <v>#DIV/0!</v>
      </c>
      <c r="CU21" s="178" t="e">
        <f t="shared" si="27"/>
        <v>#DIV/0!</v>
      </c>
      <c r="CV21" s="178" t="e">
        <f t="shared" si="27"/>
        <v>#DIV/0!</v>
      </c>
      <c r="CW21" s="178" t="e">
        <f t="shared" si="27"/>
        <v>#DIV/0!</v>
      </c>
      <c r="CX21" s="168" t="e">
        <f t="shared" si="27"/>
        <v>#DIV/0!</v>
      </c>
      <c r="CY21" s="169" t="e">
        <f t="shared" si="49"/>
        <v>#DIV/0!</v>
      </c>
      <c r="CZ21" s="179" t="e">
        <f t="shared" si="50"/>
        <v>#DIV/0!</v>
      </c>
      <c r="DA21" s="180" t="e">
        <f t="shared" si="51"/>
        <v>#DIV/0!</v>
      </c>
      <c r="DB21" s="178" t="e">
        <f t="shared" si="28"/>
        <v>#DIV/0!</v>
      </c>
      <c r="DC21" s="178" t="e">
        <f t="shared" si="28"/>
        <v>#DIV/0!</v>
      </c>
      <c r="DD21" s="178" t="e">
        <f t="shared" si="28"/>
        <v>#DIV/0!</v>
      </c>
      <c r="DE21" s="178" t="e">
        <f t="shared" si="28"/>
        <v>#DIV/0!</v>
      </c>
      <c r="DF21" s="178" t="e">
        <f t="shared" si="28"/>
        <v>#DIV/0!</v>
      </c>
      <c r="DG21" s="178" t="e">
        <f t="shared" si="28"/>
        <v>#DIV/0!</v>
      </c>
      <c r="DH21" s="178" t="e">
        <f t="shared" si="28"/>
        <v>#DIV/0!</v>
      </c>
      <c r="DI21" s="178" t="e">
        <f t="shared" si="28"/>
        <v>#DIV/0!</v>
      </c>
      <c r="DJ21" s="178" t="e">
        <f t="shared" si="28"/>
        <v>#DIV/0!</v>
      </c>
      <c r="DK21" s="178" t="e">
        <f t="shared" si="28"/>
        <v>#DIV/0!</v>
      </c>
      <c r="DL21" s="168" t="e">
        <f t="shared" si="28"/>
        <v>#DIV/0!</v>
      </c>
      <c r="DM21" s="169" t="e">
        <f t="shared" si="52"/>
        <v>#DIV/0!</v>
      </c>
      <c r="DN21" s="171" t="e">
        <f t="shared" si="53"/>
        <v>#DIV/0!</v>
      </c>
      <c r="DO21" s="180" t="e">
        <f t="shared" si="54"/>
        <v>#DIV/0!</v>
      </c>
      <c r="DP21" s="178" t="e">
        <f t="shared" si="29"/>
        <v>#DIV/0!</v>
      </c>
      <c r="DQ21" s="178" t="e">
        <f t="shared" si="29"/>
        <v>#DIV/0!</v>
      </c>
      <c r="DR21" s="178" t="e">
        <f t="shared" si="29"/>
        <v>#DIV/0!</v>
      </c>
      <c r="DS21" s="178" t="e">
        <f t="shared" si="29"/>
        <v>#DIV/0!</v>
      </c>
      <c r="DT21" s="178" t="e">
        <f t="shared" si="29"/>
        <v>#DIV/0!</v>
      </c>
      <c r="DU21" s="178" t="e">
        <f t="shared" si="29"/>
        <v>#DIV/0!</v>
      </c>
      <c r="DV21" s="178" t="e">
        <f t="shared" si="29"/>
        <v>#DIV/0!</v>
      </c>
      <c r="DW21" s="178" t="e">
        <f t="shared" si="29"/>
        <v>#DIV/0!</v>
      </c>
      <c r="DX21" s="178" t="e">
        <f t="shared" si="29"/>
        <v>#DIV/0!</v>
      </c>
      <c r="DY21" s="178" t="e">
        <f t="shared" si="29"/>
        <v>#DIV/0!</v>
      </c>
      <c r="DZ21" s="168" t="e">
        <f t="shared" si="29"/>
        <v>#DIV/0!</v>
      </c>
      <c r="EA21" s="169" t="e">
        <f t="shared" si="55"/>
        <v>#DIV/0!</v>
      </c>
      <c r="EB21" s="171" t="e">
        <f t="shared" si="56"/>
        <v>#DIV/0!</v>
      </c>
    </row>
    <row r="22" spans="1:132" s="177" customFormat="1" ht="15.75">
      <c r="A22" s="163">
        <v>43831</v>
      </c>
      <c r="B22" s="407" t="s">
        <v>90</v>
      </c>
      <c r="C22" s="406" t="s">
        <v>265</v>
      </c>
      <c r="D22" s="405">
        <v>50000</v>
      </c>
      <c r="E22" s="167"/>
      <c r="F22" s="168" t="e">
        <f t="shared" si="20"/>
        <v>#DIV/0!</v>
      </c>
      <c r="G22" s="169" t="e">
        <f t="shared" si="30"/>
        <v>#DIV/0!</v>
      </c>
      <c r="H22" s="178" t="e">
        <f t="shared" si="21"/>
        <v>#DIV/0!</v>
      </c>
      <c r="I22" s="178" t="e">
        <f t="shared" si="21"/>
        <v>#DIV/0!</v>
      </c>
      <c r="J22" s="178" t="e">
        <f t="shared" si="21"/>
        <v>#DIV/0!</v>
      </c>
      <c r="K22" s="178" t="e">
        <f t="shared" si="21"/>
        <v>#DIV/0!</v>
      </c>
      <c r="L22" s="178" t="e">
        <f t="shared" si="21"/>
        <v>#DIV/0!</v>
      </c>
      <c r="M22" s="178" t="e">
        <f t="shared" si="21"/>
        <v>#DIV/0!</v>
      </c>
      <c r="N22" s="178" t="e">
        <f t="shared" si="21"/>
        <v>#DIV/0!</v>
      </c>
      <c r="O22" s="178" t="e">
        <f t="shared" si="21"/>
        <v>#DIV/0!</v>
      </c>
      <c r="P22" s="178" t="e">
        <f t="shared" si="21"/>
        <v>#DIV/0!</v>
      </c>
      <c r="Q22" s="178" t="e">
        <f t="shared" si="21"/>
        <v>#DIV/0!</v>
      </c>
      <c r="R22" s="179" t="e">
        <f t="shared" si="21"/>
        <v>#DIV/0!</v>
      </c>
      <c r="S22" s="169" t="e">
        <f t="shared" si="31"/>
        <v>#DIV/0!</v>
      </c>
      <c r="T22" s="179" t="e">
        <f t="shared" si="32"/>
        <v>#DIV/0!</v>
      </c>
      <c r="U22" s="180" t="e">
        <f t="shared" si="33"/>
        <v>#DIV/0!</v>
      </c>
      <c r="V22" s="178" t="e">
        <f t="shared" si="22"/>
        <v>#DIV/0!</v>
      </c>
      <c r="W22" s="178" t="e">
        <f t="shared" si="22"/>
        <v>#DIV/0!</v>
      </c>
      <c r="X22" s="178" t="e">
        <f t="shared" si="22"/>
        <v>#DIV/0!</v>
      </c>
      <c r="Y22" s="178" t="e">
        <f t="shared" si="22"/>
        <v>#DIV/0!</v>
      </c>
      <c r="Z22" s="178" t="e">
        <f t="shared" si="22"/>
        <v>#DIV/0!</v>
      </c>
      <c r="AA22" s="178" t="e">
        <f t="shared" si="22"/>
        <v>#DIV/0!</v>
      </c>
      <c r="AB22" s="178" t="e">
        <f t="shared" si="22"/>
        <v>#DIV/0!</v>
      </c>
      <c r="AC22" s="178" t="e">
        <f t="shared" si="22"/>
        <v>#DIV/0!</v>
      </c>
      <c r="AD22" s="178" t="e">
        <f t="shared" si="22"/>
        <v>#DIV/0!</v>
      </c>
      <c r="AE22" s="178" t="e">
        <f t="shared" si="22"/>
        <v>#DIV/0!</v>
      </c>
      <c r="AF22" s="168" t="e">
        <f t="shared" si="22"/>
        <v>#DIV/0!</v>
      </c>
      <c r="AG22" s="169" t="e">
        <f t="shared" si="34"/>
        <v>#DIV/0!</v>
      </c>
      <c r="AH22" s="179" t="e">
        <f t="shared" si="35"/>
        <v>#DIV/0!</v>
      </c>
      <c r="AI22" s="180" t="e">
        <f t="shared" si="36"/>
        <v>#DIV/0!</v>
      </c>
      <c r="AJ22" s="178" t="e">
        <f t="shared" si="23"/>
        <v>#DIV/0!</v>
      </c>
      <c r="AK22" s="178" t="e">
        <f t="shared" si="23"/>
        <v>#DIV/0!</v>
      </c>
      <c r="AL22" s="178" t="e">
        <f t="shared" si="23"/>
        <v>#DIV/0!</v>
      </c>
      <c r="AM22" s="178" t="e">
        <f t="shared" si="23"/>
        <v>#DIV/0!</v>
      </c>
      <c r="AN22" s="178" t="e">
        <f t="shared" si="23"/>
        <v>#DIV/0!</v>
      </c>
      <c r="AO22" s="178" t="e">
        <f t="shared" si="23"/>
        <v>#DIV/0!</v>
      </c>
      <c r="AP22" s="178" t="e">
        <f t="shared" si="23"/>
        <v>#DIV/0!</v>
      </c>
      <c r="AQ22" s="178" t="e">
        <f t="shared" si="23"/>
        <v>#DIV/0!</v>
      </c>
      <c r="AR22" s="178" t="e">
        <f t="shared" si="23"/>
        <v>#DIV/0!</v>
      </c>
      <c r="AS22" s="178" t="e">
        <f t="shared" si="23"/>
        <v>#DIV/0!</v>
      </c>
      <c r="AT22" s="168" t="e">
        <f t="shared" si="23"/>
        <v>#DIV/0!</v>
      </c>
      <c r="AU22" s="169" t="e">
        <f t="shared" si="37"/>
        <v>#DIV/0!</v>
      </c>
      <c r="AV22" s="179" t="e">
        <f t="shared" si="38"/>
        <v>#DIV/0!</v>
      </c>
      <c r="AW22" s="180" t="e">
        <f t="shared" si="39"/>
        <v>#DIV/0!</v>
      </c>
      <c r="AX22" s="178" t="e">
        <f t="shared" si="24"/>
        <v>#DIV/0!</v>
      </c>
      <c r="AY22" s="178" t="e">
        <f t="shared" si="24"/>
        <v>#DIV/0!</v>
      </c>
      <c r="AZ22" s="178" t="e">
        <f t="shared" si="24"/>
        <v>#DIV/0!</v>
      </c>
      <c r="BA22" s="178" t="e">
        <f t="shared" si="24"/>
        <v>#DIV/0!</v>
      </c>
      <c r="BB22" s="178" t="e">
        <f t="shared" si="24"/>
        <v>#DIV/0!</v>
      </c>
      <c r="BC22" s="178" t="e">
        <f t="shared" si="24"/>
        <v>#DIV/0!</v>
      </c>
      <c r="BD22" s="178" t="e">
        <f t="shared" si="24"/>
        <v>#DIV/0!</v>
      </c>
      <c r="BE22" s="178" t="e">
        <f t="shared" si="24"/>
        <v>#DIV/0!</v>
      </c>
      <c r="BF22" s="178" t="e">
        <f t="shared" si="24"/>
        <v>#DIV/0!</v>
      </c>
      <c r="BG22" s="178" t="e">
        <f t="shared" si="24"/>
        <v>#DIV/0!</v>
      </c>
      <c r="BH22" s="168" t="e">
        <f t="shared" si="24"/>
        <v>#DIV/0!</v>
      </c>
      <c r="BI22" s="169" t="e">
        <f t="shared" si="40"/>
        <v>#DIV/0!</v>
      </c>
      <c r="BJ22" s="179" t="e">
        <f t="shared" si="41"/>
        <v>#DIV/0!</v>
      </c>
      <c r="BK22" s="180" t="e">
        <f t="shared" si="42"/>
        <v>#DIV/0!</v>
      </c>
      <c r="BL22" s="178" t="e">
        <f t="shared" si="25"/>
        <v>#DIV/0!</v>
      </c>
      <c r="BM22" s="178" t="e">
        <f t="shared" si="25"/>
        <v>#DIV/0!</v>
      </c>
      <c r="BN22" s="178" t="e">
        <f t="shared" si="25"/>
        <v>#DIV/0!</v>
      </c>
      <c r="BO22" s="178" t="e">
        <f t="shared" si="25"/>
        <v>#DIV/0!</v>
      </c>
      <c r="BP22" s="178" t="e">
        <f t="shared" si="25"/>
        <v>#DIV/0!</v>
      </c>
      <c r="BQ22" s="178" t="e">
        <f t="shared" si="25"/>
        <v>#DIV/0!</v>
      </c>
      <c r="BR22" s="178" t="e">
        <f t="shared" si="25"/>
        <v>#DIV/0!</v>
      </c>
      <c r="BS22" s="178" t="e">
        <f t="shared" si="25"/>
        <v>#DIV/0!</v>
      </c>
      <c r="BT22" s="178" t="e">
        <f t="shared" si="25"/>
        <v>#DIV/0!</v>
      </c>
      <c r="BU22" s="178" t="e">
        <f t="shared" si="25"/>
        <v>#DIV/0!</v>
      </c>
      <c r="BV22" s="168" t="e">
        <f t="shared" si="25"/>
        <v>#DIV/0!</v>
      </c>
      <c r="BW22" s="169" t="e">
        <f t="shared" si="43"/>
        <v>#DIV/0!</v>
      </c>
      <c r="BX22" s="179" t="e">
        <f t="shared" si="44"/>
        <v>#DIV/0!</v>
      </c>
      <c r="BY22" s="180" t="e">
        <f t="shared" si="45"/>
        <v>#DIV/0!</v>
      </c>
      <c r="BZ22" s="178" t="e">
        <f t="shared" si="26"/>
        <v>#DIV/0!</v>
      </c>
      <c r="CA22" s="178" t="e">
        <f t="shared" si="26"/>
        <v>#DIV/0!</v>
      </c>
      <c r="CB22" s="178" t="e">
        <f t="shared" si="26"/>
        <v>#DIV/0!</v>
      </c>
      <c r="CC22" s="178" t="e">
        <f t="shared" si="26"/>
        <v>#DIV/0!</v>
      </c>
      <c r="CD22" s="178" t="e">
        <f t="shared" si="26"/>
        <v>#DIV/0!</v>
      </c>
      <c r="CE22" s="178" t="e">
        <f t="shared" si="26"/>
        <v>#DIV/0!</v>
      </c>
      <c r="CF22" s="178" t="e">
        <f t="shared" si="26"/>
        <v>#DIV/0!</v>
      </c>
      <c r="CG22" s="178" t="e">
        <f t="shared" si="26"/>
        <v>#DIV/0!</v>
      </c>
      <c r="CH22" s="178" t="e">
        <f t="shared" si="26"/>
        <v>#DIV/0!</v>
      </c>
      <c r="CI22" s="178" t="e">
        <f t="shared" si="26"/>
        <v>#DIV/0!</v>
      </c>
      <c r="CJ22" s="168" t="e">
        <f t="shared" si="26"/>
        <v>#DIV/0!</v>
      </c>
      <c r="CK22" s="169" t="e">
        <f t="shared" si="46"/>
        <v>#DIV/0!</v>
      </c>
      <c r="CL22" s="179" t="e">
        <f t="shared" si="47"/>
        <v>#DIV/0!</v>
      </c>
      <c r="CM22" s="180" t="e">
        <f t="shared" si="48"/>
        <v>#DIV/0!</v>
      </c>
      <c r="CN22" s="178" t="e">
        <f t="shared" si="27"/>
        <v>#DIV/0!</v>
      </c>
      <c r="CO22" s="178" t="e">
        <f t="shared" si="27"/>
        <v>#DIV/0!</v>
      </c>
      <c r="CP22" s="178" t="e">
        <f t="shared" si="27"/>
        <v>#DIV/0!</v>
      </c>
      <c r="CQ22" s="178" t="e">
        <f t="shared" si="27"/>
        <v>#DIV/0!</v>
      </c>
      <c r="CR22" s="178" t="e">
        <f t="shared" si="27"/>
        <v>#DIV/0!</v>
      </c>
      <c r="CS22" s="178" t="e">
        <f t="shared" si="27"/>
        <v>#DIV/0!</v>
      </c>
      <c r="CT22" s="178" t="e">
        <f t="shared" si="27"/>
        <v>#DIV/0!</v>
      </c>
      <c r="CU22" s="178" t="e">
        <f t="shared" si="27"/>
        <v>#DIV/0!</v>
      </c>
      <c r="CV22" s="178" t="e">
        <f t="shared" si="27"/>
        <v>#DIV/0!</v>
      </c>
      <c r="CW22" s="178" t="e">
        <f t="shared" si="27"/>
        <v>#DIV/0!</v>
      </c>
      <c r="CX22" s="168" t="e">
        <f t="shared" si="27"/>
        <v>#DIV/0!</v>
      </c>
      <c r="CY22" s="169" t="e">
        <f t="shared" si="49"/>
        <v>#DIV/0!</v>
      </c>
      <c r="CZ22" s="179" t="e">
        <f t="shared" si="50"/>
        <v>#DIV/0!</v>
      </c>
      <c r="DA22" s="180" t="e">
        <f t="shared" si="51"/>
        <v>#DIV/0!</v>
      </c>
      <c r="DB22" s="178" t="e">
        <f t="shared" si="28"/>
        <v>#DIV/0!</v>
      </c>
      <c r="DC22" s="178" t="e">
        <f t="shared" si="28"/>
        <v>#DIV/0!</v>
      </c>
      <c r="DD22" s="178" t="e">
        <f t="shared" si="28"/>
        <v>#DIV/0!</v>
      </c>
      <c r="DE22" s="178" t="e">
        <f t="shared" si="28"/>
        <v>#DIV/0!</v>
      </c>
      <c r="DF22" s="178" t="e">
        <f t="shared" si="28"/>
        <v>#DIV/0!</v>
      </c>
      <c r="DG22" s="178" t="e">
        <f t="shared" si="28"/>
        <v>#DIV/0!</v>
      </c>
      <c r="DH22" s="178" t="e">
        <f t="shared" si="28"/>
        <v>#DIV/0!</v>
      </c>
      <c r="DI22" s="178" t="e">
        <f t="shared" si="28"/>
        <v>#DIV/0!</v>
      </c>
      <c r="DJ22" s="178" t="e">
        <f t="shared" si="28"/>
        <v>#DIV/0!</v>
      </c>
      <c r="DK22" s="178" t="e">
        <f t="shared" si="28"/>
        <v>#DIV/0!</v>
      </c>
      <c r="DL22" s="168" t="e">
        <f t="shared" si="28"/>
        <v>#DIV/0!</v>
      </c>
      <c r="DM22" s="169" t="e">
        <f t="shared" si="52"/>
        <v>#DIV/0!</v>
      </c>
      <c r="DN22" s="171" t="e">
        <f t="shared" si="53"/>
        <v>#DIV/0!</v>
      </c>
      <c r="DO22" s="180" t="e">
        <f t="shared" si="54"/>
        <v>#DIV/0!</v>
      </c>
      <c r="DP22" s="178" t="e">
        <f t="shared" si="29"/>
        <v>#DIV/0!</v>
      </c>
      <c r="DQ22" s="178" t="e">
        <f t="shared" si="29"/>
        <v>#DIV/0!</v>
      </c>
      <c r="DR22" s="178" t="e">
        <f t="shared" si="29"/>
        <v>#DIV/0!</v>
      </c>
      <c r="DS22" s="178" t="e">
        <f t="shared" si="29"/>
        <v>#DIV/0!</v>
      </c>
      <c r="DT22" s="178" t="e">
        <f t="shared" si="29"/>
        <v>#DIV/0!</v>
      </c>
      <c r="DU22" s="178" t="e">
        <f t="shared" si="29"/>
        <v>#DIV/0!</v>
      </c>
      <c r="DV22" s="178" t="e">
        <f t="shared" si="29"/>
        <v>#DIV/0!</v>
      </c>
      <c r="DW22" s="178" t="e">
        <f t="shared" si="29"/>
        <v>#DIV/0!</v>
      </c>
      <c r="DX22" s="178" t="e">
        <f t="shared" si="29"/>
        <v>#DIV/0!</v>
      </c>
      <c r="DY22" s="178" t="e">
        <f t="shared" si="29"/>
        <v>#DIV/0!</v>
      </c>
      <c r="DZ22" s="168" t="e">
        <f t="shared" si="29"/>
        <v>#DIV/0!</v>
      </c>
      <c r="EA22" s="169" t="e">
        <f t="shared" si="55"/>
        <v>#DIV/0!</v>
      </c>
      <c r="EB22" s="171" t="e">
        <f t="shared" si="56"/>
        <v>#DIV/0!</v>
      </c>
    </row>
    <row r="23" spans="1:132" s="177" customFormat="1" ht="15.75">
      <c r="A23" s="163">
        <v>43831</v>
      </c>
      <c r="B23" s="407" t="s">
        <v>91</v>
      </c>
      <c r="C23" s="406" t="s">
        <v>266</v>
      </c>
      <c r="D23" s="405">
        <v>15000</v>
      </c>
      <c r="E23" s="167"/>
      <c r="F23" s="168" t="e">
        <f t="shared" si="20"/>
        <v>#DIV/0!</v>
      </c>
      <c r="G23" s="169" t="e">
        <f t="shared" si="30"/>
        <v>#DIV/0!</v>
      </c>
      <c r="H23" s="178" t="e">
        <f t="shared" si="21"/>
        <v>#DIV/0!</v>
      </c>
      <c r="I23" s="178" t="e">
        <f t="shared" si="21"/>
        <v>#DIV/0!</v>
      </c>
      <c r="J23" s="178" t="e">
        <f t="shared" si="21"/>
        <v>#DIV/0!</v>
      </c>
      <c r="K23" s="178" t="e">
        <f t="shared" si="21"/>
        <v>#DIV/0!</v>
      </c>
      <c r="L23" s="178" t="e">
        <f t="shared" si="21"/>
        <v>#DIV/0!</v>
      </c>
      <c r="M23" s="178" t="e">
        <f t="shared" si="21"/>
        <v>#DIV/0!</v>
      </c>
      <c r="N23" s="178" t="e">
        <f t="shared" si="21"/>
        <v>#DIV/0!</v>
      </c>
      <c r="O23" s="178" t="e">
        <f t="shared" si="21"/>
        <v>#DIV/0!</v>
      </c>
      <c r="P23" s="178" t="e">
        <f t="shared" si="21"/>
        <v>#DIV/0!</v>
      </c>
      <c r="Q23" s="178" t="e">
        <f t="shared" si="21"/>
        <v>#DIV/0!</v>
      </c>
      <c r="R23" s="179" t="e">
        <f t="shared" si="21"/>
        <v>#DIV/0!</v>
      </c>
      <c r="S23" s="169" t="e">
        <f t="shared" si="31"/>
        <v>#DIV/0!</v>
      </c>
      <c r="T23" s="179" t="e">
        <f t="shared" si="32"/>
        <v>#DIV/0!</v>
      </c>
      <c r="U23" s="180" t="e">
        <f t="shared" si="33"/>
        <v>#DIV/0!</v>
      </c>
      <c r="V23" s="178" t="e">
        <f t="shared" si="22"/>
        <v>#DIV/0!</v>
      </c>
      <c r="W23" s="178" t="e">
        <f t="shared" si="22"/>
        <v>#DIV/0!</v>
      </c>
      <c r="X23" s="178" t="e">
        <f t="shared" si="22"/>
        <v>#DIV/0!</v>
      </c>
      <c r="Y23" s="178" t="e">
        <f t="shared" si="22"/>
        <v>#DIV/0!</v>
      </c>
      <c r="Z23" s="178" t="e">
        <f t="shared" si="22"/>
        <v>#DIV/0!</v>
      </c>
      <c r="AA23" s="178" t="e">
        <f t="shared" si="22"/>
        <v>#DIV/0!</v>
      </c>
      <c r="AB23" s="178" t="e">
        <f t="shared" si="22"/>
        <v>#DIV/0!</v>
      </c>
      <c r="AC23" s="178" t="e">
        <f t="shared" si="22"/>
        <v>#DIV/0!</v>
      </c>
      <c r="AD23" s="178" t="e">
        <f t="shared" si="22"/>
        <v>#DIV/0!</v>
      </c>
      <c r="AE23" s="178" t="e">
        <f t="shared" si="22"/>
        <v>#DIV/0!</v>
      </c>
      <c r="AF23" s="168" t="e">
        <f t="shared" si="22"/>
        <v>#DIV/0!</v>
      </c>
      <c r="AG23" s="169" t="e">
        <f t="shared" si="34"/>
        <v>#DIV/0!</v>
      </c>
      <c r="AH23" s="179" t="e">
        <f t="shared" si="35"/>
        <v>#DIV/0!</v>
      </c>
      <c r="AI23" s="180" t="e">
        <f t="shared" si="36"/>
        <v>#DIV/0!</v>
      </c>
      <c r="AJ23" s="178" t="e">
        <f t="shared" si="23"/>
        <v>#DIV/0!</v>
      </c>
      <c r="AK23" s="178" t="e">
        <f t="shared" si="23"/>
        <v>#DIV/0!</v>
      </c>
      <c r="AL23" s="178" t="e">
        <f t="shared" si="23"/>
        <v>#DIV/0!</v>
      </c>
      <c r="AM23" s="178" t="e">
        <f t="shared" si="23"/>
        <v>#DIV/0!</v>
      </c>
      <c r="AN23" s="178" t="e">
        <f t="shared" si="23"/>
        <v>#DIV/0!</v>
      </c>
      <c r="AO23" s="178" t="e">
        <f t="shared" si="23"/>
        <v>#DIV/0!</v>
      </c>
      <c r="AP23" s="178" t="e">
        <f t="shared" si="23"/>
        <v>#DIV/0!</v>
      </c>
      <c r="AQ23" s="178" t="e">
        <f t="shared" si="23"/>
        <v>#DIV/0!</v>
      </c>
      <c r="AR23" s="178" t="e">
        <f t="shared" si="23"/>
        <v>#DIV/0!</v>
      </c>
      <c r="AS23" s="178" t="e">
        <f t="shared" si="23"/>
        <v>#DIV/0!</v>
      </c>
      <c r="AT23" s="168" t="e">
        <f t="shared" si="23"/>
        <v>#DIV/0!</v>
      </c>
      <c r="AU23" s="169" t="e">
        <f t="shared" si="37"/>
        <v>#DIV/0!</v>
      </c>
      <c r="AV23" s="179" t="e">
        <f t="shared" si="38"/>
        <v>#DIV/0!</v>
      </c>
      <c r="AW23" s="180" t="e">
        <f t="shared" si="39"/>
        <v>#DIV/0!</v>
      </c>
      <c r="AX23" s="178" t="e">
        <f t="shared" si="24"/>
        <v>#DIV/0!</v>
      </c>
      <c r="AY23" s="178" t="e">
        <f t="shared" si="24"/>
        <v>#DIV/0!</v>
      </c>
      <c r="AZ23" s="178" t="e">
        <f t="shared" si="24"/>
        <v>#DIV/0!</v>
      </c>
      <c r="BA23" s="178" t="e">
        <f t="shared" si="24"/>
        <v>#DIV/0!</v>
      </c>
      <c r="BB23" s="178" t="e">
        <f t="shared" si="24"/>
        <v>#DIV/0!</v>
      </c>
      <c r="BC23" s="178" t="e">
        <f t="shared" si="24"/>
        <v>#DIV/0!</v>
      </c>
      <c r="BD23" s="178" t="e">
        <f t="shared" si="24"/>
        <v>#DIV/0!</v>
      </c>
      <c r="BE23" s="178" t="e">
        <f t="shared" si="24"/>
        <v>#DIV/0!</v>
      </c>
      <c r="BF23" s="178" t="e">
        <f t="shared" si="24"/>
        <v>#DIV/0!</v>
      </c>
      <c r="BG23" s="178" t="e">
        <f t="shared" si="24"/>
        <v>#DIV/0!</v>
      </c>
      <c r="BH23" s="168" t="e">
        <f t="shared" si="24"/>
        <v>#DIV/0!</v>
      </c>
      <c r="BI23" s="169" t="e">
        <f t="shared" si="40"/>
        <v>#DIV/0!</v>
      </c>
      <c r="BJ23" s="179" t="e">
        <f t="shared" si="41"/>
        <v>#DIV/0!</v>
      </c>
      <c r="BK23" s="180" t="e">
        <f t="shared" si="42"/>
        <v>#DIV/0!</v>
      </c>
      <c r="BL23" s="178" t="e">
        <f t="shared" si="25"/>
        <v>#DIV/0!</v>
      </c>
      <c r="BM23" s="178" t="e">
        <f t="shared" si="25"/>
        <v>#DIV/0!</v>
      </c>
      <c r="BN23" s="178" t="e">
        <f t="shared" si="25"/>
        <v>#DIV/0!</v>
      </c>
      <c r="BO23" s="178" t="e">
        <f t="shared" si="25"/>
        <v>#DIV/0!</v>
      </c>
      <c r="BP23" s="178" t="e">
        <f t="shared" si="25"/>
        <v>#DIV/0!</v>
      </c>
      <c r="BQ23" s="178" t="e">
        <f t="shared" si="25"/>
        <v>#DIV/0!</v>
      </c>
      <c r="BR23" s="178" t="e">
        <f t="shared" si="25"/>
        <v>#DIV/0!</v>
      </c>
      <c r="BS23" s="178" t="e">
        <f t="shared" si="25"/>
        <v>#DIV/0!</v>
      </c>
      <c r="BT23" s="178" t="e">
        <f t="shared" si="25"/>
        <v>#DIV/0!</v>
      </c>
      <c r="BU23" s="178" t="e">
        <f t="shared" si="25"/>
        <v>#DIV/0!</v>
      </c>
      <c r="BV23" s="168" t="e">
        <f t="shared" si="25"/>
        <v>#DIV/0!</v>
      </c>
      <c r="BW23" s="169" t="e">
        <f t="shared" si="43"/>
        <v>#DIV/0!</v>
      </c>
      <c r="BX23" s="179" t="e">
        <f t="shared" si="44"/>
        <v>#DIV/0!</v>
      </c>
      <c r="BY23" s="180" t="e">
        <f t="shared" si="45"/>
        <v>#DIV/0!</v>
      </c>
      <c r="BZ23" s="178" t="e">
        <f t="shared" si="26"/>
        <v>#DIV/0!</v>
      </c>
      <c r="CA23" s="178" t="e">
        <f t="shared" si="26"/>
        <v>#DIV/0!</v>
      </c>
      <c r="CB23" s="178" t="e">
        <f t="shared" si="26"/>
        <v>#DIV/0!</v>
      </c>
      <c r="CC23" s="178" t="e">
        <f t="shared" si="26"/>
        <v>#DIV/0!</v>
      </c>
      <c r="CD23" s="178" t="e">
        <f t="shared" si="26"/>
        <v>#DIV/0!</v>
      </c>
      <c r="CE23" s="178" t="e">
        <f t="shared" si="26"/>
        <v>#DIV/0!</v>
      </c>
      <c r="CF23" s="178" t="e">
        <f t="shared" si="26"/>
        <v>#DIV/0!</v>
      </c>
      <c r="CG23" s="178" t="e">
        <f t="shared" si="26"/>
        <v>#DIV/0!</v>
      </c>
      <c r="CH23" s="178" t="e">
        <f t="shared" si="26"/>
        <v>#DIV/0!</v>
      </c>
      <c r="CI23" s="178" t="e">
        <f t="shared" si="26"/>
        <v>#DIV/0!</v>
      </c>
      <c r="CJ23" s="168" t="e">
        <f t="shared" si="26"/>
        <v>#DIV/0!</v>
      </c>
      <c r="CK23" s="169" t="e">
        <f t="shared" si="46"/>
        <v>#DIV/0!</v>
      </c>
      <c r="CL23" s="179" t="e">
        <f t="shared" si="47"/>
        <v>#DIV/0!</v>
      </c>
      <c r="CM23" s="180" t="e">
        <f t="shared" si="48"/>
        <v>#DIV/0!</v>
      </c>
      <c r="CN23" s="178" t="e">
        <f t="shared" si="27"/>
        <v>#DIV/0!</v>
      </c>
      <c r="CO23" s="178" t="e">
        <f t="shared" si="27"/>
        <v>#DIV/0!</v>
      </c>
      <c r="CP23" s="178" t="e">
        <f t="shared" si="27"/>
        <v>#DIV/0!</v>
      </c>
      <c r="CQ23" s="178" t="e">
        <f t="shared" si="27"/>
        <v>#DIV/0!</v>
      </c>
      <c r="CR23" s="178" t="e">
        <f t="shared" si="27"/>
        <v>#DIV/0!</v>
      </c>
      <c r="CS23" s="178" t="e">
        <f t="shared" si="27"/>
        <v>#DIV/0!</v>
      </c>
      <c r="CT23" s="178" t="e">
        <f t="shared" si="27"/>
        <v>#DIV/0!</v>
      </c>
      <c r="CU23" s="178" t="e">
        <f t="shared" si="27"/>
        <v>#DIV/0!</v>
      </c>
      <c r="CV23" s="178" t="e">
        <f t="shared" si="27"/>
        <v>#DIV/0!</v>
      </c>
      <c r="CW23" s="178" t="e">
        <f t="shared" si="27"/>
        <v>#DIV/0!</v>
      </c>
      <c r="CX23" s="168" t="e">
        <f t="shared" si="27"/>
        <v>#DIV/0!</v>
      </c>
      <c r="CY23" s="169" t="e">
        <f t="shared" si="49"/>
        <v>#DIV/0!</v>
      </c>
      <c r="CZ23" s="179" t="e">
        <f t="shared" si="50"/>
        <v>#DIV/0!</v>
      </c>
      <c r="DA23" s="180" t="e">
        <f t="shared" si="51"/>
        <v>#DIV/0!</v>
      </c>
      <c r="DB23" s="178" t="e">
        <f t="shared" si="28"/>
        <v>#DIV/0!</v>
      </c>
      <c r="DC23" s="178" t="e">
        <f t="shared" si="28"/>
        <v>#DIV/0!</v>
      </c>
      <c r="DD23" s="178" t="e">
        <f t="shared" si="28"/>
        <v>#DIV/0!</v>
      </c>
      <c r="DE23" s="178" t="e">
        <f t="shared" si="28"/>
        <v>#DIV/0!</v>
      </c>
      <c r="DF23" s="178" t="e">
        <f t="shared" si="28"/>
        <v>#DIV/0!</v>
      </c>
      <c r="DG23" s="178" t="e">
        <f t="shared" si="28"/>
        <v>#DIV/0!</v>
      </c>
      <c r="DH23" s="178" t="e">
        <f t="shared" si="28"/>
        <v>#DIV/0!</v>
      </c>
      <c r="DI23" s="178" t="e">
        <f t="shared" si="28"/>
        <v>#DIV/0!</v>
      </c>
      <c r="DJ23" s="178" t="e">
        <f t="shared" si="28"/>
        <v>#DIV/0!</v>
      </c>
      <c r="DK23" s="178" t="e">
        <f t="shared" si="28"/>
        <v>#DIV/0!</v>
      </c>
      <c r="DL23" s="168" t="e">
        <f t="shared" si="28"/>
        <v>#DIV/0!</v>
      </c>
      <c r="DM23" s="169" t="e">
        <f t="shared" si="52"/>
        <v>#DIV/0!</v>
      </c>
      <c r="DN23" s="171" t="e">
        <f t="shared" si="53"/>
        <v>#DIV/0!</v>
      </c>
      <c r="DO23" s="180" t="e">
        <f t="shared" si="54"/>
        <v>#DIV/0!</v>
      </c>
      <c r="DP23" s="178" t="e">
        <f t="shared" si="29"/>
        <v>#DIV/0!</v>
      </c>
      <c r="DQ23" s="178" t="e">
        <f t="shared" si="29"/>
        <v>#DIV/0!</v>
      </c>
      <c r="DR23" s="178" t="e">
        <f t="shared" si="29"/>
        <v>#DIV/0!</v>
      </c>
      <c r="DS23" s="178" t="e">
        <f t="shared" si="29"/>
        <v>#DIV/0!</v>
      </c>
      <c r="DT23" s="178" t="e">
        <f t="shared" si="29"/>
        <v>#DIV/0!</v>
      </c>
      <c r="DU23" s="178" t="e">
        <f t="shared" si="29"/>
        <v>#DIV/0!</v>
      </c>
      <c r="DV23" s="178" t="e">
        <f t="shared" si="29"/>
        <v>#DIV/0!</v>
      </c>
      <c r="DW23" s="178" t="e">
        <f t="shared" si="29"/>
        <v>#DIV/0!</v>
      </c>
      <c r="DX23" s="178" t="e">
        <f t="shared" si="29"/>
        <v>#DIV/0!</v>
      </c>
      <c r="DY23" s="178" t="e">
        <f t="shared" si="29"/>
        <v>#DIV/0!</v>
      </c>
      <c r="DZ23" s="168" t="e">
        <f t="shared" si="29"/>
        <v>#DIV/0!</v>
      </c>
      <c r="EA23" s="169" t="e">
        <f t="shared" si="55"/>
        <v>#DIV/0!</v>
      </c>
      <c r="EB23" s="171" t="e">
        <f t="shared" si="56"/>
        <v>#DIV/0!</v>
      </c>
    </row>
    <row r="24" spans="1:132" s="177" customFormat="1" ht="15.75">
      <c r="A24" s="163">
        <v>43831</v>
      </c>
      <c r="B24" s="407" t="s">
        <v>90</v>
      </c>
      <c r="C24" s="406" t="s">
        <v>267</v>
      </c>
      <c r="D24" s="405">
        <v>40000</v>
      </c>
      <c r="E24" s="167"/>
      <c r="F24" s="168" t="e">
        <f t="shared" si="20"/>
        <v>#DIV/0!</v>
      </c>
      <c r="G24" s="169" t="e">
        <f t="shared" si="30"/>
        <v>#DIV/0!</v>
      </c>
      <c r="H24" s="178" t="e">
        <f t="shared" si="21"/>
        <v>#DIV/0!</v>
      </c>
      <c r="I24" s="178" t="e">
        <f t="shared" si="21"/>
        <v>#DIV/0!</v>
      </c>
      <c r="J24" s="178" t="e">
        <f t="shared" si="21"/>
        <v>#DIV/0!</v>
      </c>
      <c r="K24" s="178" t="e">
        <f t="shared" si="21"/>
        <v>#DIV/0!</v>
      </c>
      <c r="L24" s="178" t="e">
        <f t="shared" si="21"/>
        <v>#DIV/0!</v>
      </c>
      <c r="M24" s="178" t="e">
        <f t="shared" si="21"/>
        <v>#DIV/0!</v>
      </c>
      <c r="N24" s="178" t="e">
        <f t="shared" si="21"/>
        <v>#DIV/0!</v>
      </c>
      <c r="O24" s="178" t="e">
        <f t="shared" si="21"/>
        <v>#DIV/0!</v>
      </c>
      <c r="P24" s="178" t="e">
        <f t="shared" si="21"/>
        <v>#DIV/0!</v>
      </c>
      <c r="Q24" s="178" t="e">
        <f t="shared" si="21"/>
        <v>#DIV/0!</v>
      </c>
      <c r="R24" s="179" t="e">
        <f t="shared" si="21"/>
        <v>#DIV/0!</v>
      </c>
      <c r="S24" s="169" t="e">
        <f t="shared" si="31"/>
        <v>#DIV/0!</v>
      </c>
      <c r="T24" s="179" t="e">
        <f t="shared" si="32"/>
        <v>#DIV/0!</v>
      </c>
      <c r="U24" s="180" t="e">
        <f t="shared" si="33"/>
        <v>#DIV/0!</v>
      </c>
      <c r="V24" s="178" t="e">
        <f t="shared" si="22"/>
        <v>#DIV/0!</v>
      </c>
      <c r="W24" s="178" t="e">
        <f t="shared" si="22"/>
        <v>#DIV/0!</v>
      </c>
      <c r="X24" s="178" t="e">
        <f t="shared" si="22"/>
        <v>#DIV/0!</v>
      </c>
      <c r="Y24" s="178" t="e">
        <f t="shared" si="22"/>
        <v>#DIV/0!</v>
      </c>
      <c r="Z24" s="178" t="e">
        <f t="shared" si="22"/>
        <v>#DIV/0!</v>
      </c>
      <c r="AA24" s="178" t="e">
        <f t="shared" si="22"/>
        <v>#DIV/0!</v>
      </c>
      <c r="AB24" s="178" t="e">
        <f t="shared" si="22"/>
        <v>#DIV/0!</v>
      </c>
      <c r="AC24" s="178" t="e">
        <f t="shared" si="22"/>
        <v>#DIV/0!</v>
      </c>
      <c r="AD24" s="178" t="e">
        <f t="shared" si="22"/>
        <v>#DIV/0!</v>
      </c>
      <c r="AE24" s="178" t="e">
        <f t="shared" si="22"/>
        <v>#DIV/0!</v>
      </c>
      <c r="AF24" s="168" t="e">
        <f t="shared" si="22"/>
        <v>#DIV/0!</v>
      </c>
      <c r="AG24" s="169" t="e">
        <f t="shared" si="34"/>
        <v>#DIV/0!</v>
      </c>
      <c r="AH24" s="179" t="e">
        <f t="shared" si="35"/>
        <v>#DIV/0!</v>
      </c>
      <c r="AI24" s="180" t="e">
        <f t="shared" si="36"/>
        <v>#DIV/0!</v>
      </c>
      <c r="AJ24" s="178" t="e">
        <f t="shared" si="23"/>
        <v>#DIV/0!</v>
      </c>
      <c r="AK24" s="178" t="e">
        <f t="shared" si="23"/>
        <v>#DIV/0!</v>
      </c>
      <c r="AL24" s="178" t="e">
        <f t="shared" si="23"/>
        <v>#DIV/0!</v>
      </c>
      <c r="AM24" s="178" t="e">
        <f t="shared" si="23"/>
        <v>#DIV/0!</v>
      </c>
      <c r="AN24" s="178" t="e">
        <f t="shared" si="23"/>
        <v>#DIV/0!</v>
      </c>
      <c r="AO24" s="178" t="e">
        <f t="shared" si="23"/>
        <v>#DIV/0!</v>
      </c>
      <c r="AP24" s="178" t="e">
        <f t="shared" si="23"/>
        <v>#DIV/0!</v>
      </c>
      <c r="AQ24" s="178" t="e">
        <f t="shared" si="23"/>
        <v>#DIV/0!</v>
      </c>
      <c r="AR24" s="178" t="e">
        <f t="shared" si="23"/>
        <v>#DIV/0!</v>
      </c>
      <c r="AS24" s="178" t="e">
        <f t="shared" si="23"/>
        <v>#DIV/0!</v>
      </c>
      <c r="AT24" s="168" t="e">
        <f t="shared" si="23"/>
        <v>#DIV/0!</v>
      </c>
      <c r="AU24" s="169" t="e">
        <f t="shared" si="37"/>
        <v>#DIV/0!</v>
      </c>
      <c r="AV24" s="179" t="e">
        <f t="shared" si="38"/>
        <v>#DIV/0!</v>
      </c>
      <c r="AW24" s="180" t="e">
        <f t="shared" si="39"/>
        <v>#DIV/0!</v>
      </c>
      <c r="AX24" s="178" t="e">
        <f t="shared" si="24"/>
        <v>#DIV/0!</v>
      </c>
      <c r="AY24" s="178" t="e">
        <f t="shared" si="24"/>
        <v>#DIV/0!</v>
      </c>
      <c r="AZ24" s="178" t="e">
        <f t="shared" si="24"/>
        <v>#DIV/0!</v>
      </c>
      <c r="BA24" s="178" t="e">
        <f t="shared" si="24"/>
        <v>#DIV/0!</v>
      </c>
      <c r="BB24" s="178" t="e">
        <f t="shared" si="24"/>
        <v>#DIV/0!</v>
      </c>
      <c r="BC24" s="178" t="e">
        <f t="shared" si="24"/>
        <v>#DIV/0!</v>
      </c>
      <c r="BD24" s="178" t="e">
        <f t="shared" si="24"/>
        <v>#DIV/0!</v>
      </c>
      <c r="BE24" s="178" t="e">
        <f t="shared" si="24"/>
        <v>#DIV/0!</v>
      </c>
      <c r="BF24" s="178" t="e">
        <f t="shared" si="24"/>
        <v>#DIV/0!</v>
      </c>
      <c r="BG24" s="178" t="e">
        <f t="shared" si="24"/>
        <v>#DIV/0!</v>
      </c>
      <c r="BH24" s="168" t="e">
        <f t="shared" si="24"/>
        <v>#DIV/0!</v>
      </c>
      <c r="BI24" s="169" t="e">
        <f t="shared" si="40"/>
        <v>#DIV/0!</v>
      </c>
      <c r="BJ24" s="179" t="e">
        <f t="shared" si="41"/>
        <v>#DIV/0!</v>
      </c>
      <c r="BK24" s="180" t="e">
        <f t="shared" si="42"/>
        <v>#DIV/0!</v>
      </c>
      <c r="BL24" s="178" t="e">
        <f t="shared" si="25"/>
        <v>#DIV/0!</v>
      </c>
      <c r="BM24" s="178" t="e">
        <f t="shared" si="25"/>
        <v>#DIV/0!</v>
      </c>
      <c r="BN24" s="178" t="e">
        <f t="shared" si="25"/>
        <v>#DIV/0!</v>
      </c>
      <c r="BO24" s="178" t="e">
        <f t="shared" si="25"/>
        <v>#DIV/0!</v>
      </c>
      <c r="BP24" s="178" t="e">
        <f t="shared" si="25"/>
        <v>#DIV/0!</v>
      </c>
      <c r="BQ24" s="178" t="e">
        <f t="shared" si="25"/>
        <v>#DIV/0!</v>
      </c>
      <c r="BR24" s="178" t="e">
        <f t="shared" si="25"/>
        <v>#DIV/0!</v>
      </c>
      <c r="BS24" s="178" t="e">
        <f t="shared" si="25"/>
        <v>#DIV/0!</v>
      </c>
      <c r="BT24" s="178" t="e">
        <f t="shared" si="25"/>
        <v>#DIV/0!</v>
      </c>
      <c r="BU24" s="178" t="e">
        <f t="shared" si="25"/>
        <v>#DIV/0!</v>
      </c>
      <c r="BV24" s="168" t="e">
        <f t="shared" si="25"/>
        <v>#DIV/0!</v>
      </c>
      <c r="BW24" s="169" t="e">
        <f t="shared" si="43"/>
        <v>#DIV/0!</v>
      </c>
      <c r="BX24" s="179" t="e">
        <f t="shared" si="44"/>
        <v>#DIV/0!</v>
      </c>
      <c r="BY24" s="180" t="e">
        <f t="shared" si="45"/>
        <v>#DIV/0!</v>
      </c>
      <c r="BZ24" s="178" t="e">
        <f t="shared" si="26"/>
        <v>#DIV/0!</v>
      </c>
      <c r="CA24" s="178" t="e">
        <f t="shared" si="26"/>
        <v>#DIV/0!</v>
      </c>
      <c r="CB24" s="178" t="e">
        <f t="shared" si="26"/>
        <v>#DIV/0!</v>
      </c>
      <c r="CC24" s="178" t="e">
        <f t="shared" si="26"/>
        <v>#DIV/0!</v>
      </c>
      <c r="CD24" s="178" t="e">
        <f t="shared" si="26"/>
        <v>#DIV/0!</v>
      </c>
      <c r="CE24" s="178" t="e">
        <f t="shared" si="26"/>
        <v>#DIV/0!</v>
      </c>
      <c r="CF24" s="178" t="e">
        <f t="shared" si="26"/>
        <v>#DIV/0!</v>
      </c>
      <c r="CG24" s="178" t="e">
        <f t="shared" si="26"/>
        <v>#DIV/0!</v>
      </c>
      <c r="CH24" s="178" t="e">
        <f t="shared" si="26"/>
        <v>#DIV/0!</v>
      </c>
      <c r="CI24" s="178" t="e">
        <f t="shared" si="26"/>
        <v>#DIV/0!</v>
      </c>
      <c r="CJ24" s="168" t="e">
        <f t="shared" si="26"/>
        <v>#DIV/0!</v>
      </c>
      <c r="CK24" s="169" t="e">
        <f t="shared" si="46"/>
        <v>#DIV/0!</v>
      </c>
      <c r="CL24" s="179" t="e">
        <f t="shared" si="47"/>
        <v>#DIV/0!</v>
      </c>
      <c r="CM24" s="180" t="e">
        <f t="shared" si="48"/>
        <v>#DIV/0!</v>
      </c>
      <c r="CN24" s="178" t="e">
        <f t="shared" si="27"/>
        <v>#DIV/0!</v>
      </c>
      <c r="CO24" s="178" t="e">
        <f t="shared" si="27"/>
        <v>#DIV/0!</v>
      </c>
      <c r="CP24" s="178" t="e">
        <f t="shared" si="27"/>
        <v>#DIV/0!</v>
      </c>
      <c r="CQ24" s="178" t="e">
        <f t="shared" si="27"/>
        <v>#DIV/0!</v>
      </c>
      <c r="CR24" s="178" t="e">
        <f t="shared" si="27"/>
        <v>#DIV/0!</v>
      </c>
      <c r="CS24" s="178" t="e">
        <f t="shared" si="27"/>
        <v>#DIV/0!</v>
      </c>
      <c r="CT24" s="178" t="e">
        <f t="shared" si="27"/>
        <v>#DIV/0!</v>
      </c>
      <c r="CU24" s="178" t="e">
        <f t="shared" si="27"/>
        <v>#DIV/0!</v>
      </c>
      <c r="CV24" s="178" t="e">
        <f t="shared" si="27"/>
        <v>#DIV/0!</v>
      </c>
      <c r="CW24" s="178" t="e">
        <f t="shared" si="27"/>
        <v>#DIV/0!</v>
      </c>
      <c r="CX24" s="168" t="e">
        <f t="shared" si="27"/>
        <v>#DIV/0!</v>
      </c>
      <c r="CY24" s="169" t="e">
        <f t="shared" si="49"/>
        <v>#DIV/0!</v>
      </c>
      <c r="CZ24" s="179" t="e">
        <f t="shared" si="50"/>
        <v>#DIV/0!</v>
      </c>
      <c r="DA24" s="180" t="e">
        <f t="shared" si="51"/>
        <v>#DIV/0!</v>
      </c>
      <c r="DB24" s="178" t="e">
        <f t="shared" si="28"/>
        <v>#DIV/0!</v>
      </c>
      <c r="DC24" s="178" t="e">
        <f t="shared" si="28"/>
        <v>#DIV/0!</v>
      </c>
      <c r="DD24" s="178" t="e">
        <f t="shared" si="28"/>
        <v>#DIV/0!</v>
      </c>
      <c r="DE24" s="178" t="e">
        <f t="shared" si="28"/>
        <v>#DIV/0!</v>
      </c>
      <c r="DF24" s="178" t="e">
        <f t="shared" si="28"/>
        <v>#DIV/0!</v>
      </c>
      <c r="DG24" s="178" t="e">
        <f t="shared" si="28"/>
        <v>#DIV/0!</v>
      </c>
      <c r="DH24" s="178" t="e">
        <f t="shared" si="28"/>
        <v>#DIV/0!</v>
      </c>
      <c r="DI24" s="178" t="e">
        <f t="shared" si="28"/>
        <v>#DIV/0!</v>
      </c>
      <c r="DJ24" s="178" t="e">
        <f t="shared" si="28"/>
        <v>#DIV/0!</v>
      </c>
      <c r="DK24" s="178" t="e">
        <f t="shared" si="28"/>
        <v>#DIV/0!</v>
      </c>
      <c r="DL24" s="168" t="e">
        <f t="shared" si="28"/>
        <v>#DIV/0!</v>
      </c>
      <c r="DM24" s="169" t="e">
        <f t="shared" si="52"/>
        <v>#DIV/0!</v>
      </c>
      <c r="DN24" s="171" t="e">
        <f t="shared" si="53"/>
        <v>#DIV/0!</v>
      </c>
      <c r="DO24" s="180" t="e">
        <f t="shared" si="54"/>
        <v>#DIV/0!</v>
      </c>
      <c r="DP24" s="178" t="e">
        <f t="shared" si="29"/>
        <v>#DIV/0!</v>
      </c>
      <c r="DQ24" s="178" t="e">
        <f t="shared" si="29"/>
        <v>#DIV/0!</v>
      </c>
      <c r="DR24" s="178" t="e">
        <f t="shared" si="29"/>
        <v>#DIV/0!</v>
      </c>
      <c r="DS24" s="178" t="e">
        <f t="shared" si="29"/>
        <v>#DIV/0!</v>
      </c>
      <c r="DT24" s="178" t="e">
        <f t="shared" si="29"/>
        <v>#DIV/0!</v>
      </c>
      <c r="DU24" s="178" t="e">
        <f t="shared" si="29"/>
        <v>#DIV/0!</v>
      </c>
      <c r="DV24" s="178" t="e">
        <f t="shared" si="29"/>
        <v>#DIV/0!</v>
      </c>
      <c r="DW24" s="178" t="e">
        <f t="shared" si="29"/>
        <v>#DIV/0!</v>
      </c>
      <c r="DX24" s="178" t="e">
        <f t="shared" si="29"/>
        <v>#DIV/0!</v>
      </c>
      <c r="DY24" s="178" t="e">
        <f t="shared" si="29"/>
        <v>#DIV/0!</v>
      </c>
      <c r="DZ24" s="168" t="e">
        <f t="shared" si="29"/>
        <v>#DIV/0!</v>
      </c>
      <c r="EA24" s="169" t="e">
        <f t="shared" si="55"/>
        <v>#DIV/0!</v>
      </c>
      <c r="EB24" s="171" t="e">
        <f t="shared" si="56"/>
        <v>#DIV/0!</v>
      </c>
    </row>
    <row r="25" spans="1:132" s="177" customFormat="1" ht="15.75">
      <c r="A25" s="163">
        <v>43831</v>
      </c>
      <c r="B25" s="407" t="s">
        <v>90</v>
      </c>
      <c r="C25" s="406" t="s">
        <v>164</v>
      </c>
      <c r="D25" s="405">
        <v>2500</v>
      </c>
      <c r="E25" s="167"/>
      <c r="F25" s="168" t="e">
        <f t="shared" si="20"/>
        <v>#DIV/0!</v>
      </c>
      <c r="G25" s="169" t="e">
        <f t="shared" si="30"/>
        <v>#DIV/0!</v>
      </c>
      <c r="H25" s="178" t="e">
        <f t="shared" si="21"/>
        <v>#DIV/0!</v>
      </c>
      <c r="I25" s="178" t="e">
        <f t="shared" si="21"/>
        <v>#DIV/0!</v>
      </c>
      <c r="J25" s="178" t="e">
        <f t="shared" si="21"/>
        <v>#DIV/0!</v>
      </c>
      <c r="K25" s="178" t="e">
        <f t="shared" si="21"/>
        <v>#DIV/0!</v>
      </c>
      <c r="L25" s="178" t="e">
        <f t="shared" si="21"/>
        <v>#DIV/0!</v>
      </c>
      <c r="M25" s="178" t="e">
        <f t="shared" si="21"/>
        <v>#DIV/0!</v>
      </c>
      <c r="N25" s="178" t="e">
        <f t="shared" si="21"/>
        <v>#DIV/0!</v>
      </c>
      <c r="O25" s="178" t="e">
        <f t="shared" si="21"/>
        <v>#DIV/0!</v>
      </c>
      <c r="P25" s="178" t="e">
        <f t="shared" si="21"/>
        <v>#DIV/0!</v>
      </c>
      <c r="Q25" s="178" t="e">
        <f t="shared" si="21"/>
        <v>#DIV/0!</v>
      </c>
      <c r="R25" s="179" t="e">
        <f t="shared" si="21"/>
        <v>#DIV/0!</v>
      </c>
      <c r="S25" s="169" t="e">
        <f t="shared" si="31"/>
        <v>#DIV/0!</v>
      </c>
      <c r="T25" s="179" t="e">
        <f t="shared" si="32"/>
        <v>#DIV/0!</v>
      </c>
      <c r="U25" s="180" t="e">
        <f t="shared" si="33"/>
        <v>#DIV/0!</v>
      </c>
      <c r="V25" s="178" t="e">
        <f t="shared" si="22"/>
        <v>#DIV/0!</v>
      </c>
      <c r="W25" s="178" t="e">
        <f t="shared" si="22"/>
        <v>#DIV/0!</v>
      </c>
      <c r="X25" s="178" t="e">
        <f t="shared" si="22"/>
        <v>#DIV/0!</v>
      </c>
      <c r="Y25" s="178" t="e">
        <f t="shared" si="22"/>
        <v>#DIV/0!</v>
      </c>
      <c r="Z25" s="178" t="e">
        <f t="shared" si="22"/>
        <v>#DIV/0!</v>
      </c>
      <c r="AA25" s="178" t="e">
        <f t="shared" si="22"/>
        <v>#DIV/0!</v>
      </c>
      <c r="AB25" s="178" t="e">
        <f t="shared" si="22"/>
        <v>#DIV/0!</v>
      </c>
      <c r="AC25" s="178" t="e">
        <f t="shared" si="22"/>
        <v>#DIV/0!</v>
      </c>
      <c r="AD25" s="178" t="e">
        <f t="shared" si="22"/>
        <v>#DIV/0!</v>
      </c>
      <c r="AE25" s="178" t="e">
        <f t="shared" si="22"/>
        <v>#DIV/0!</v>
      </c>
      <c r="AF25" s="168" t="e">
        <f t="shared" si="22"/>
        <v>#DIV/0!</v>
      </c>
      <c r="AG25" s="169" t="e">
        <f t="shared" si="34"/>
        <v>#DIV/0!</v>
      </c>
      <c r="AH25" s="179" t="e">
        <f t="shared" si="35"/>
        <v>#DIV/0!</v>
      </c>
      <c r="AI25" s="180" t="e">
        <f t="shared" si="36"/>
        <v>#DIV/0!</v>
      </c>
      <c r="AJ25" s="178" t="e">
        <f t="shared" si="23"/>
        <v>#DIV/0!</v>
      </c>
      <c r="AK25" s="178" t="e">
        <f t="shared" si="23"/>
        <v>#DIV/0!</v>
      </c>
      <c r="AL25" s="178" t="e">
        <f t="shared" si="23"/>
        <v>#DIV/0!</v>
      </c>
      <c r="AM25" s="178" t="e">
        <f t="shared" si="23"/>
        <v>#DIV/0!</v>
      </c>
      <c r="AN25" s="178" t="e">
        <f t="shared" si="23"/>
        <v>#DIV/0!</v>
      </c>
      <c r="AO25" s="178" t="e">
        <f t="shared" si="23"/>
        <v>#DIV/0!</v>
      </c>
      <c r="AP25" s="178" t="e">
        <f t="shared" si="23"/>
        <v>#DIV/0!</v>
      </c>
      <c r="AQ25" s="178" t="e">
        <f t="shared" si="23"/>
        <v>#DIV/0!</v>
      </c>
      <c r="AR25" s="178" t="e">
        <f t="shared" si="23"/>
        <v>#DIV/0!</v>
      </c>
      <c r="AS25" s="178" t="e">
        <f t="shared" si="23"/>
        <v>#DIV/0!</v>
      </c>
      <c r="AT25" s="168" t="e">
        <f t="shared" si="23"/>
        <v>#DIV/0!</v>
      </c>
      <c r="AU25" s="169" t="e">
        <f t="shared" si="37"/>
        <v>#DIV/0!</v>
      </c>
      <c r="AV25" s="179" t="e">
        <f t="shared" si="38"/>
        <v>#DIV/0!</v>
      </c>
      <c r="AW25" s="180" t="e">
        <f t="shared" si="39"/>
        <v>#DIV/0!</v>
      </c>
      <c r="AX25" s="178" t="e">
        <f t="shared" si="24"/>
        <v>#DIV/0!</v>
      </c>
      <c r="AY25" s="178" t="e">
        <f t="shared" si="24"/>
        <v>#DIV/0!</v>
      </c>
      <c r="AZ25" s="178" t="e">
        <f t="shared" si="24"/>
        <v>#DIV/0!</v>
      </c>
      <c r="BA25" s="178" t="e">
        <f t="shared" si="24"/>
        <v>#DIV/0!</v>
      </c>
      <c r="BB25" s="178" t="e">
        <f t="shared" si="24"/>
        <v>#DIV/0!</v>
      </c>
      <c r="BC25" s="178" t="e">
        <f t="shared" si="24"/>
        <v>#DIV/0!</v>
      </c>
      <c r="BD25" s="178" t="e">
        <f t="shared" si="24"/>
        <v>#DIV/0!</v>
      </c>
      <c r="BE25" s="178" t="e">
        <f t="shared" si="24"/>
        <v>#DIV/0!</v>
      </c>
      <c r="BF25" s="178" t="e">
        <f t="shared" si="24"/>
        <v>#DIV/0!</v>
      </c>
      <c r="BG25" s="178" t="e">
        <f t="shared" si="24"/>
        <v>#DIV/0!</v>
      </c>
      <c r="BH25" s="168" t="e">
        <f t="shared" si="24"/>
        <v>#DIV/0!</v>
      </c>
      <c r="BI25" s="169" t="e">
        <f t="shared" si="40"/>
        <v>#DIV/0!</v>
      </c>
      <c r="BJ25" s="179" t="e">
        <f t="shared" si="41"/>
        <v>#DIV/0!</v>
      </c>
      <c r="BK25" s="180" t="e">
        <f t="shared" si="42"/>
        <v>#DIV/0!</v>
      </c>
      <c r="BL25" s="178" t="e">
        <f t="shared" si="25"/>
        <v>#DIV/0!</v>
      </c>
      <c r="BM25" s="178" t="e">
        <f t="shared" si="25"/>
        <v>#DIV/0!</v>
      </c>
      <c r="BN25" s="178" t="e">
        <f t="shared" si="25"/>
        <v>#DIV/0!</v>
      </c>
      <c r="BO25" s="178" t="e">
        <f t="shared" si="25"/>
        <v>#DIV/0!</v>
      </c>
      <c r="BP25" s="178" t="e">
        <f t="shared" si="25"/>
        <v>#DIV/0!</v>
      </c>
      <c r="BQ25" s="178" t="e">
        <f t="shared" si="25"/>
        <v>#DIV/0!</v>
      </c>
      <c r="BR25" s="178" t="e">
        <f t="shared" si="25"/>
        <v>#DIV/0!</v>
      </c>
      <c r="BS25" s="178" t="e">
        <f t="shared" si="25"/>
        <v>#DIV/0!</v>
      </c>
      <c r="BT25" s="178" t="e">
        <f t="shared" si="25"/>
        <v>#DIV/0!</v>
      </c>
      <c r="BU25" s="178" t="e">
        <f t="shared" si="25"/>
        <v>#DIV/0!</v>
      </c>
      <c r="BV25" s="168" t="e">
        <f t="shared" si="25"/>
        <v>#DIV/0!</v>
      </c>
      <c r="BW25" s="169" t="e">
        <f t="shared" si="43"/>
        <v>#DIV/0!</v>
      </c>
      <c r="BX25" s="179" t="e">
        <f t="shared" si="44"/>
        <v>#DIV/0!</v>
      </c>
      <c r="BY25" s="180" t="e">
        <f t="shared" si="45"/>
        <v>#DIV/0!</v>
      </c>
      <c r="BZ25" s="178" t="e">
        <f t="shared" si="26"/>
        <v>#DIV/0!</v>
      </c>
      <c r="CA25" s="178" t="e">
        <f t="shared" si="26"/>
        <v>#DIV/0!</v>
      </c>
      <c r="CB25" s="178" t="e">
        <f t="shared" si="26"/>
        <v>#DIV/0!</v>
      </c>
      <c r="CC25" s="178" t="e">
        <f t="shared" si="26"/>
        <v>#DIV/0!</v>
      </c>
      <c r="CD25" s="178" t="e">
        <f t="shared" si="26"/>
        <v>#DIV/0!</v>
      </c>
      <c r="CE25" s="178" t="e">
        <f t="shared" si="26"/>
        <v>#DIV/0!</v>
      </c>
      <c r="CF25" s="178" t="e">
        <f t="shared" si="26"/>
        <v>#DIV/0!</v>
      </c>
      <c r="CG25" s="178" t="e">
        <f t="shared" si="26"/>
        <v>#DIV/0!</v>
      </c>
      <c r="CH25" s="178" t="e">
        <f t="shared" si="26"/>
        <v>#DIV/0!</v>
      </c>
      <c r="CI25" s="178" t="e">
        <f t="shared" si="26"/>
        <v>#DIV/0!</v>
      </c>
      <c r="CJ25" s="168" t="e">
        <f t="shared" si="26"/>
        <v>#DIV/0!</v>
      </c>
      <c r="CK25" s="169" t="e">
        <f t="shared" si="46"/>
        <v>#DIV/0!</v>
      </c>
      <c r="CL25" s="179" t="e">
        <f t="shared" si="47"/>
        <v>#DIV/0!</v>
      </c>
      <c r="CM25" s="180" t="e">
        <f t="shared" si="48"/>
        <v>#DIV/0!</v>
      </c>
      <c r="CN25" s="178" t="e">
        <f t="shared" si="27"/>
        <v>#DIV/0!</v>
      </c>
      <c r="CO25" s="178" t="e">
        <f t="shared" si="27"/>
        <v>#DIV/0!</v>
      </c>
      <c r="CP25" s="178" t="e">
        <f t="shared" si="27"/>
        <v>#DIV/0!</v>
      </c>
      <c r="CQ25" s="178" t="e">
        <f t="shared" si="27"/>
        <v>#DIV/0!</v>
      </c>
      <c r="CR25" s="178" t="e">
        <f t="shared" si="27"/>
        <v>#DIV/0!</v>
      </c>
      <c r="CS25" s="178" t="e">
        <f t="shared" si="27"/>
        <v>#DIV/0!</v>
      </c>
      <c r="CT25" s="178" t="e">
        <f t="shared" si="27"/>
        <v>#DIV/0!</v>
      </c>
      <c r="CU25" s="178" t="e">
        <f t="shared" si="27"/>
        <v>#DIV/0!</v>
      </c>
      <c r="CV25" s="178" t="e">
        <f t="shared" si="27"/>
        <v>#DIV/0!</v>
      </c>
      <c r="CW25" s="178" t="e">
        <f t="shared" si="27"/>
        <v>#DIV/0!</v>
      </c>
      <c r="CX25" s="168" t="e">
        <f t="shared" si="27"/>
        <v>#DIV/0!</v>
      </c>
      <c r="CY25" s="169" t="e">
        <f t="shared" si="49"/>
        <v>#DIV/0!</v>
      </c>
      <c r="CZ25" s="179" t="e">
        <f t="shared" si="50"/>
        <v>#DIV/0!</v>
      </c>
      <c r="DA25" s="180" t="e">
        <f t="shared" si="51"/>
        <v>#DIV/0!</v>
      </c>
      <c r="DB25" s="178" t="e">
        <f t="shared" si="28"/>
        <v>#DIV/0!</v>
      </c>
      <c r="DC25" s="178" t="e">
        <f t="shared" si="28"/>
        <v>#DIV/0!</v>
      </c>
      <c r="DD25" s="178" t="e">
        <f t="shared" si="28"/>
        <v>#DIV/0!</v>
      </c>
      <c r="DE25" s="178" t="e">
        <f t="shared" si="28"/>
        <v>#DIV/0!</v>
      </c>
      <c r="DF25" s="178" t="e">
        <f t="shared" si="28"/>
        <v>#DIV/0!</v>
      </c>
      <c r="DG25" s="178" t="e">
        <f t="shared" si="28"/>
        <v>#DIV/0!</v>
      </c>
      <c r="DH25" s="178" t="e">
        <f t="shared" si="28"/>
        <v>#DIV/0!</v>
      </c>
      <c r="DI25" s="178" t="e">
        <f t="shared" si="28"/>
        <v>#DIV/0!</v>
      </c>
      <c r="DJ25" s="178" t="e">
        <f t="shared" si="28"/>
        <v>#DIV/0!</v>
      </c>
      <c r="DK25" s="178" t="e">
        <f t="shared" si="28"/>
        <v>#DIV/0!</v>
      </c>
      <c r="DL25" s="168" t="e">
        <f t="shared" si="28"/>
        <v>#DIV/0!</v>
      </c>
      <c r="DM25" s="169" t="e">
        <f t="shared" si="52"/>
        <v>#DIV/0!</v>
      </c>
      <c r="DN25" s="171" t="e">
        <f t="shared" si="53"/>
        <v>#DIV/0!</v>
      </c>
      <c r="DO25" s="180" t="e">
        <f t="shared" si="54"/>
        <v>#DIV/0!</v>
      </c>
      <c r="DP25" s="178" t="e">
        <f t="shared" si="29"/>
        <v>#DIV/0!</v>
      </c>
      <c r="DQ25" s="178" t="e">
        <f t="shared" si="29"/>
        <v>#DIV/0!</v>
      </c>
      <c r="DR25" s="178" t="e">
        <f t="shared" si="29"/>
        <v>#DIV/0!</v>
      </c>
      <c r="DS25" s="178" t="e">
        <f t="shared" si="29"/>
        <v>#DIV/0!</v>
      </c>
      <c r="DT25" s="178" t="e">
        <f t="shared" si="29"/>
        <v>#DIV/0!</v>
      </c>
      <c r="DU25" s="178" t="e">
        <f t="shared" si="29"/>
        <v>#DIV/0!</v>
      </c>
      <c r="DV25" s="178" t="e">
        <f t="shared" si="29"/>
        <v>#DIV/0!</v>
      </c>
      <c r="DW25" s="178" t="e">
        <f t="shared" si="29"/>
        <v>#DIV/0!</v>
      </c>
      <c r="DX25" s="178" t="e">
        <f t="shared" si="29"/>
        <v>#DIV/0!</v>
      </c>
      <c r="DY25" s="178" t="e">
        <f t="shared" si="29"/>
        <v>#DIV/0!</v>
      </c>
      <c r="DZ25" s="168" t="e">
        <f t="shared" si="29"/>
        <v>#DIV/0!</v>
      </c>
      <c r="EA25" s="169" t="e">
        <f t="shared" si="55"/>
        <v>#DIV/0!</v>
      </c>
      <c r="EB25" s="171" t="e">
        <f t="shared" si="56"/>
        <v>#DIV/0!</v>
      </c>
    </row>
    <row r="26" spans="1:132" s="177" customFormat="1" ht="15.75">
      <c r="A26" s="163">
        <v>43831</v>
      </c>
      <c r="B26" s="403" t="s">
        <v>88</v>
      </c>
      <c r="C26" s="406" t="s">
        <v>268</v>
      </c>
      <c r="D26" s="405">
        <v>1500</v>
      </c>
      <c r="E26" s="167"/>
      <c r="F26" s="168" t="e">
        <f t="shared" si="20"/>
        <v>#DIV/0!</v>
      </c>
      <c r="G26" s="169" t="e">
        <f t="shared" si="30"/>
        <v>#DIV/0!</v>
      </c>
      <c r="H26" s="178" t="e">
        <f t="shared" si="30"/>
        <v>#DIV/0!</v>
      </c>
      <c r="I26" s="178" t="e">
        <f t="shared" si="30"/>
        <v>#DIV/0!</v>
      </c>
      <c r="J26" s="178" t="e">
        <f t="shared" si="30"/>
        <v>#DIV/0!</v>
      </c>
      <c r="K26" s="178" t="e">
        <f t="shared" si="30"/>
        <v>#DIV/0!</v>
      </c>
      <c r="L26" s="178" t="e">
        <f t="shared" si="30"/>
        <v>#DIV/0!</v>
      </c>
      <c r="M26" s="178" t="e">
        <f t="shared" si="30"/>
        <v>#DIV/0!</v>
      </c>
      <c r="N26" s="178" t="e">
        <f t="shared" si="30"/>
        <v>#DIV/0!</v>
      </c>
      <c r="O26" s="178" t="e">
        <f t="shared" si="30"/>
        <v>#DIV/0!</v>
      </c>
      <c r="P26" s="178" t="e">
        <f t="shared" si="30"/>
        <v>#DIV/0!</v>
      </c>
      <c r="Q26" s="178" t="e">
        <f t="shared" si="30"/>
        <v>#DIV/0!</v>
      </c>
      <c r="R26" s="179" t="e">
        <f t="shared" si="30"/>
        <v>#DIV/0!</v>
      </c>
      <c r="S26" s="169" t="e">
        <f t="shared" si="31"/>
        <v>#DIV/0!</v>
      </c>
      <c r="T26" s="179" t="e">
        <f t="shared" si="32"/>
        <v>#DIV/0!</v>
      </c>
      <c r="U26" s="180" t="e">
        <f t="shared" si="33"/>
        <v>#DIV/0!</v>
      </c>
      <c r="V26" s="178" t="e">
        <f t="shared" si="33"/>
        <v>#DIV/0!</v>
      </c>
      <c r="W26" s="178" t="e">
        <f t="shared" si="33"/>
        <v>#DIV/0!</v>
      </c>
      <c r="X26" s="178" t="e">
        <f t="shared" si="33"/>
        <v>#DIV/0!</v>
      </c>
      <c r="Y26" s="178" t="e">
        <f t="shared" si="33"/>
        <v>#DIV/0!</v>
      </c>
      <c r="Z26" s="178" t="e">
        <f t="shared" si="33"/>
        <v>#DIV/0!</v>
      </c>
      <c r="AA26" s="178" t="e">
        <f t="shared" si="33"/>
        <v>#DIV/0!</v>
      </c>
      <c r="AB26" s="178" t="e">
        <f t="shared" si="33"/>
        <v>#DIV/0!</v>
      </c>
      <c r="AC26" s="178" t="e">
        <f t="shared" si="33"/>
        <v>#DIV/0!</v>
      </c>
      <c r="AD26" s="178" t="e">
        <f t="shared" si="33"/>
        <v>#DIV/0!</v>
      </c>
      <c r="AE26" s="178" t="e">
        <f t="shared" si="33"/>
        <v>#DIV/0!</v>
      </c>
      <c r="AF26" s="168" t="e">
        <f t="shared" si="33"/>
        <v>#DIV/0!</v>
      </c>
      <c r="AG26" s="169" t="e">
        <f t="shared" si="34"/>
        <v>#DIV/0!</v>
      </c>
      <c r="AH26" s="179" t="e">
        <f t="shared" si="35"/>
        <v>#DIV/0!</v>
      </c>
      <c r="AI26" s="180" t="e">
        <f t="shared" si="36"/>
        <v>#DIV/0!</v>
      </c>
      <c r="AJ26" s="178" t="e">
        <f t="shared" si="36"/>
        <v>#DIV/0!</v>
      </c>
      <c r="AK26" s="178" t="e">
        <f t="shared" si="36"/>
        <v>#DIV/0!</v>
      </c>
      <c r="AL26" s="178" t="e">
        <f t="shared" si="36"/>
        <v>#DIV/0!</v>
      </c>
      <c r="AM26" s="178" t="e">
        <f t="shared" si="36"/>
        <v>#DIV/0!</v>
      </c>
      <c r="AN26" s="178" t="e">
        <f t="shared" si="36"/>
        <v>#DIV/0!</v>
      </c>
      <c r="AO26" s="178" t="e">
        <f t="shared" si="36"/>
        <v>#DIV/0!</v>
      </c>
      <c r="AP26" s="178" t="e">
        <f t="shared" si="36"/>
        <v>#DIV/0!</v>
      </c>
      <c r="AQ26" s="178" t="e">
        <f t="shared" si="36"/>
        <v>#DIV/0!</v>
      </c>
      <c r="AR26" s="178" t="e">
        <f t="shared" si="36"/>
        <v>#DIV/0!</v>
      </c>
      <c r="AS26" s="178" t="e">
        <f t="shared" si="36"/>
        <v>#DIV/0!</v>
      </c>
      <c r="AT26" s="168" t="e">
        <f t="shared" si="36"/>
        <v>#DIV/0!</v>
      </c>
      <c r="AU26" s="169" t="e">
        <f t="shared" si="37"/>
        <v>#DIV/0!</v>
      </c>
      <c r="AV26" s="179" t="e">
        <f t="shared" si="38"/>
        <v>#DIV/0!</v>
      </c>
      <c r="AW26" s="180" t="e">
        <f t="shared" si="39"/>
        <v>#DIV/0!</v>
      </c>
      <c r="AX26" s="178" t="e">
        <f t="shared" si="39"/>
        <v>#DIV/0!</v>
      </c>
      <c r="AY26" s="178" t="e">
        <f t="shared" si="39"/>
        <v>#DIV/0!</v>
      </c>
      <c r="AZ26" s="178" t="e">
        <f t="shared" si="39"/>
        <v>#DIV/0!</v>
      </c>
      <c r="BA26" s="178" t="e">
        <f t="shared" si="39"/>
        <v>#DIV/0!</v>
      </c>
      <c r="BB26" s="178" t="e">
        <f t="shared" si="39"/>
        <v>#DIV/0!</v>
      </c>
      <c r="BC26" s="178" t="e">
        <f t="shared" si="39"/>
        <v>#DIV/0!</v>
      </c>
      <c r="BD26" s="178" t="e">
        <f t="shared" si="39"/>
        <v>#DIV/0!</v>
      </c>
      <c r="BE26" s="178" t="e">
        <f t="shared" si="39"/>
        <v>#DIV/0!</v>
      </c>
      <c r="BF26" s="178" t="e">
        <f t="shared" si="39"/>
        <v>#DIV/0!</v>
      </c>
      <c r="BG26" s="178" t="e">
        <f t="shared" si="39"/>
        <v>#DIV/0!</v>
      </c>
      <c r="BH26" s="168" t="e">
        <f t="shared" si="39"/>
        <v>#DIV/0!</v>
      </c>
      <c r="BI26" s="169" t="e">
        <f t="shared" si="40"/>
        <v>#DIV/0!</v>
      </c>
      <c r="BJ26" s="179" t="e">
        <f t="shared" si="41"/>
        <v>#DIV/0!</v>
      </c>
      <c r="BK26" s="180" t="e">
        <f t="shared" si="42"/>
        <v>#DIV/0!</v>
      </c>
      <c r="BL26" s="178" t="e">
        <f t="shared" si="42"/>
        <v>#DIV/0!</v>
      </c>
      <c r="BM26" s="178" t="e">
        <f t="shared" si="42"/>
        <v>#DIV/0!</v>
      </c>
      <c r="BN26" s="178" t="e">
        <f t="shared" si="42"/>
        <v>#DIV/0!</v>
      </c>
      <c r="BO26" s="178" t="e">
        <f t="shared" si="42"/>
        <v>#DIV/0!</v>
      </c>
      <c r="BP26" s="178" t="e">
        <f t="shared" si="42"/>
        <v>#DIV/0!</v>
      </c>
      <c r="BQ26" s="178" t="e">
        <f t="shared" si="42"/>
        <v>#DIV/0!</v>
      </c>
      <c r="BR26" s="178" t="e">
        <f t="shared" si="42"/>
        <v>#DIV/0!</v>
      </c>
      <c r="BS26" s="178" t="e">
        <f t="shared" si="42"/>
        <v>#DIV/0!</v>
      </c>
      <c r="BT26" s="178" t="e">
        <f t="shared" si="42"/>
        <v>#DIV/0!</v>
      </c>
      <c r="BU26" s="178" t="e">
        <f t="shared" si="42"/>
        <v>#DIV/0!</v>
      </c>
      <c r="BV26" s="168" t="e">
        <f t="shared" si="42"/>
        <v>#DIV/0!</v>
      </c>
      <c r="BW26" s="169" t="e">
        <f t="shared" si="43"/>
        <v>#DIV/0!</v>
      </c>
      <c r="BX26" s="179" t="e">
        <f t="shared" si="44"/>
        <v>#DIV/0!</v>
      </c>
      <c r="BY26" s="180" t="e">
        <f t="shared" si="45"/>
        <v>#DIV/0!</v>
      </c>
      <c r="BZ26" s="178" t="e">
        <f t="shared" si="45"/>
        <v>#DIV/0!</v>
      </c>
      <c r="CA26" s="178" t="e">
        <f t="shared" si="45"/>
        <v>#DIV/0!</v>
      </c>
      <c r="CB26" s="178" t="e">
        <f t="shared" si="45"/>
        <v>#DIV/0!</v>
      </c>
      <c r="CC26" s="178" t="e">
        <f t="shared" si="45"/>
        <v>#DIV/0!</v>
      </c>
      <c r="CD26" s="178" t="e">
        <f t="shared" si="45"/>
        <v>#DIV/0!</v>
      </c>
      <c r="CE26" s="178" t="e">
        <f t="shared" si="45"/>
        <v>#DIV/0!</v>
      </c>
      <c r="CF26" s="178" t="e">
        <f t="shared" si="45"/>
        <v>#DIV/0!</v>
      </c>
      <c r="CG26" s="178" t="e">
        <f t="shared" si="45"/>
        <v>#DIV/0!</v>
      </c>
      <c r="CH26" s="178" t="e">
        <f t="shared" si="45"/>
        <v>#DIV/0!</v>
      </c>
      <c r="CI26" s="178" t="e">
        <f t="shared" si="45"/>
        <v>#DIV/0!</v>
      </c>
      <c r="CJ26" s="168" t="e">
        <f t="shared" si="45"/>
        <v>#DIV/0!</v>
      </c>
      <c r="CK26" s="169" t="e">
        <f t="shared" si="46"/>
        <v>#DIV/0!</v>
      </c>
      <c r="CL26" s="179" t="e">
        <f t="shared" si="47"/>
        <v>#DIV/0!</v>
      </c>
      <c r="CM26" s="180" t="e">
        <f t="shared" si="48"/>
        <v>#DIV/0!</v>
      </c>
      <c r="CN26" s="178" t="e">
        <f t="shared" si="48"/>
        <v>#DIV/0!</v>
      </c>
      <c r="CO26" s="178" t="e">
        <f t="shared" si="48"/>
        <v>#DIV/0!</v>
      </c>
      <c r="CP26" s="178" t="e">
        <f t="shared" si="48"/>
        <v>#DIV/0!</v>
      </c>
      <c r="CQ26" s="178" t="e">
        <f t="shared" si="48"/>
        <v>#DIV/0!</v>
      </c>
      <c r="CR26" s="178" t="e">
        <f t="shared" si="48"/>
        <v>#DIV/0!</v>
      </c>
      <c r="CS26" s="178" t="e">
        <f t="shared" si="48"/>
        <v>#DIV/0!</v>
      </c>
      <c r="CT26" s="178" t="e">
        <f t="shared" si="48"/>
        <v>#DIV/0!</v>
      </c>
      <c r="CU26" s="178" t="e">
        <f t="shared" si="48"/>
        <v>#DIV/0!</v>
      </c>
      <c r="CV26" s="178" t="e">
        <f t="shared" si="48"/>
        <v>#DIV/0!</v>
      </c>
      <c r="CW26" s="178" t="e">
        <f t="shared" si="48"/>
        <v>#DIV/0!</v>
      </c>
      <c r="CX26" s="168" t="e">
        <f t="shared" si="48"/>
        <v>#DIV/0!</v>
      </c>
      <c r="CY26" s="169" t="e">
        <f t="shared" si="49"/>
        <v>#DIV/0!</v>
      </c>
      <c r="CZ26" s="179" t="e">
        <f t="shared" si="50"/>
        <v>#DIV/0!</v>
      </c>
      <c r="DA26" s="180" t="e">
        <f t="shared" si="51"/>
        <v>#DIV/0!</v>
      </c>
      <c r="DB26" s="178" t="e">
        <f t="shared" si="51"/>
        <v>#DIV/0!</v>
      </c>
      <c r="DC26" s="178" t="e">
        <f t="shared" si="51"/>
        <v>#DIV/0!</v>
      </c>
      <c r="DD26" s="178" t="e">
        <f t="shared" si="51"/>
        <v>#DIV/0!</v>
      </c>
      <c r="DE26" s="178" t="e">
        <f t="shared" si="51"/>
        <v>#DIV/0!</v>
      </c>
      <c r="DF26" s="178" t="e">
        <f t="shared" si="51"/>
        <v>#DIV/0!</v>
      </c>
      <c r="DG26" s="178" t="e">
        <f t="shared" si="51"/>
        <v>#DIV/0!</v>
      </c>
      <c r="DH26" s="178" t="e">
        <f t="shared" si="51"/>
        <v>#DIV/0!</v>
      </c>
      <c r="DI26" s="178" t="e">
        <f t="shared" si="51"/>
        <v>#DIV/0!</v>
      </c>
      <c r="DJ26" s="178" t="e">
        <f t="shared" si="51"/>
        <v>#DIV/0!</v>
      </c>
      <c r="DK26" s="178" t="e">
        <f t="shared" si="51"/>
        <v>#DIV/0!</v>
      </c>
      <c r="DL26" s="168" t="e">
        <f t="shared" si="51"/>
        <v>#DIV/0!</v>
      </c>
      <c r="DM26" s="169" t="e">
        <f t="shared" si="52"/>
        <v>#DIV/0!</v>
      </c>
      <c r="DN26" s="171" t="e">
        <f t="shared" si="53"/>
        <v>#DIV/0!</v>
      </c>
      <c r="DO26" s="180" t="e">
        <f t="shared" si="54"/>
        <v>#DIV/0!</v>
      </c>
      <c r="DP26" s="178" t="e">
        <f t="shared" si="54"/>
        <v>#DIV/0!</v>
      </c>
      <c r="DQ26" s="178" t="e">
        <f t="shared" si="54"/>
        <v>#DIV/0!</v>
      </c>
      <c r="DR26" s="178" t="e">
        <f t="shared" si="54"/>
        <v>#DIV/0!</v>
      </c>
      <c r="DS26" s="178" t="e">
        <f t="shared" si="54"/>
        <v>#DIV/0!</v>
      </c>
      <c r="DT26" s="178" t="e">
        <f t="shared" si="54"/>
        <v>#DIV/0!</v>
      </c>
      <c r="DU26" s="178" t="e">
        <f t="shared" si="54"/>
        <v>#DIV/0!</v>
      </c>
      <c r="DV26" s="178" t="e">
        <f t="shared" si="54"/>
        <v>#DIV/0!</v>
      </c>
      <c r="DW26" s="178" t="e">
        <f t="shared" si="54"/>
        <v>#DIV/0!</v>
      </c>
      <c r="DX26" s="178" t="e">
        <f t="shared" si="54"/>
        <v>#DIV/0!</v>
      </c>
      <c r="DY26" s="178" t="e">
        <f t="shared" si="54"/>
        <v>#DIV/0!</v>
      </c>
      <c r="DZ26" s="168" t="e">
        <f t="shared" si="54"/>
        <v>#DIV/0!</v>
      </c>
      <c r="EA26" s="169" t="e">
        <f t="shared" si="55"/>
        <v>#DIV/0!</v>
      </c>
      <c r="EB26" s="171" t="e">
        <f t="shared" si="56"/>
        <v>#DIV/0!</v>
      </c>
    </row>
    <row r="27" spans="1:132" s="177" customFormat="1" ht="15.75">
      <c r="A27" s="163">
        <v>43831</v>
      </c>
      <c r="B27" s="403" t="s">
        <v>90</v>
      </c>
      <c r="C27" s="406" t="s">
        <v>269</v>
      </c>
      <c r="D27" s="405">
        <v>130000</v>
      </c>
      <c r="E27" s="167"/>
      <c r="F27" s="168" t="e">
        <f t="shared" si="20"/>
        <v>#DIV/0!</v>
      </c>
      <c r="G27" s="169" t="e">
        <f t="shared" si="30"/>
        <v>#DIV/0!</v>
      </c>
      <c r="H27" s="178" t="e">
        <f t="shared" si="30"/>
        <v>#DIV/0!</v>
      </c>
      <c r="I27" s="178" t="e">
        <f t="shared" si="30"/>
        <v>#DIV/0!</v>
      </c>
      <c r="J27" s="178" t="e">
        <f t="shared" si="30"/>
        <v>#DIV/0!</v>
      </c>
      <c r="K27" s="178" t="e">
        <f t="shared" si="30"/>
        <v>#DIV/0!</v>
      </c>
      <c r="L27" s="178" t="e">
        <f t="shared" si="30"/>
        <v>#DIV/0!</v>
      </c>
      <c r="M27" s="178" t="e">
        <f t="shared" si="30"/>
        <v>#DIV/0!</v>
      </c>
      <c r="N27" s="178" t="e">
        <f t="shared" si="30"/>
        <v>#DIV/0!</v>
      </c>
      <c r="O27" s="178" t="e">
        <f t="shared" si="30"/>
        <v>#DIV/0!</v>
      </c>
      <c r="P27" s="178" t="e">
        <f t="shared" si="30"/>
        <v>#DIV/0!</v>
      </c>
      <c r="Q27" s="178" t="e">
        <f t="shared" si="30"/>
        <v>#DIV/0!</v>
      </c>
      <c r="R27" s="179" t="e">
        <f t="shared" si="30"/>
        <v>#DIV/0!</v>
      </c>
      <c r="S27" s="169" t="e">
        <f t="shared" si="31"/>
        <v>#DIV/0!</v>
      </c>
      <c r="T27" s="179" t="e">
        <f t="shared" si="32"/>
        <v>#DIV/0!</v>
      </c>
      <c r="U27" s="180" t="e">
        <f t="shared" si="33"/>
        <v>#DIV/0!</v>
      </c>
      <c r="V27" s="178" t="e">
        <f t="shared" si="33"/>
        <v>#DIV/0!</v>
      </c>
      <c r="W27" s="178" t="e">
        <f t="shared" si="33"/>
        <v>#DIV/0!</v>
      </c>
      <c r="X27" s="178" t="e">
        <f t="shared" si="33"/>
        <v>#DIV/0!</v>
      </c>
      <c r="Y27" s="178" t="e">
        <f t="shared" si="33"/>
        <v>#DIV/0!</v>
      </c>
      <c r="Z27" s="178" t="e">
        <f t="shared" si="33"/>
        <v>#DIV/0!</v>
      </c>
      <c r="AA27" s="178" t="e">
        <f t="shared" si="33"/>
        <v>#DIV/0!</v>
      </c>
      <c r="AB27" s="178" t="e">
        <f t="shared" si="33"/>
        <v>#DIV/0!</v>
      </c>
      <c r="AC27" s="178" t="e">
        <f t="shared" si="33"/>
        <v>#DIV/0!</v>
      </c>
      <c r="AD27" s="178" t="e">
        <f t="shared" si="33"/>
        <v>#DIV/0!</v>
      </c>
      <c r="AE27" s="178" t="e">
        <f t="shared" si="33"/>
        <v>#DIV/0!</v>
      </c>
      <c r="AF27" s="168" t="e">
        <f t="shared" si="33"/>
        <v>#DIV/0!</v>
      </c>
      <c r="AG27" s="169" t="e">
        <f t="shared" si="34"/>
        <v>#DIV/0!</v>
      </c>
      <c r="AH27" s="179" t="e">
        <f t="shared" si="35"/>
        <v>#DIV/0!</v>
      </c>
      <c r="AI27" s="180" t="e">
        <f t="shared" si="36"/>
        <v>#DIV/0!</v>
      </c>
      <c r="AJ27" s="178" t="e">
        <f t="shared" si="36"/>
        <v>#DIV/0!</v>
      </c>
      <c r="AK27" s="178" t="e">
        <f t="shared" si="36"/>
        <v>#DIV/0!</v>
      </c>
      <c r="AL27" s="178" t="e">
        <f t="shared" si="36"/>
        <v>#DIV/0!</v>
      </c>
      <c r="AM27" s="178" t="e">
        <f t="shared" si="36"/>
        <v>#DIV/0!</v>
      </c>
      <c r="AN27" s="178" t="e">
        <f t="shared" si="36"/>
        <v>#DIV/0!</v>
      </c>
      <c r="AO27" s="178" t="e">
        <f t="shared" si="36"/>
        <v>#DIV/0!</v>
      </c>
      <c r="AP27" s="178" t="e">
        <f t="shared" si="36"/>
        <v>#DIV/0!</v>
      </c>
      <c r="AQ27" s="178" t="e">
        <f t="shared" si="36"/>
        <v>#DIV/0!</v>
      </c>
      <c r="AR27" s="178" t="e">
        <f t="shared" si="36"/>
        <v>#DIV/0!</v>
      </c>
      <c r="AS27" s="178" t="e">
        <f t="shared" si="36"/>
        <v>#DIV/0!</v>
      </c>
      <c r="AT27" s="168" t="e">
        <f t="shared" si="36"/>
        <v>#DIV/0!</v>
      </c>
      <c r="AU27" s="169" t="e">
        <f t="shared" si="37"/>
        <v>#DIV/0!</v>
      </c>
      <c r="AV27" s="179" t="e">
        <f t="shared" si="38"/>
        <v>#DIV/0!</v>
      </c>
      <c r="AW27" s="180" t="e">
        <f t="shared" si="39"/>
        <v>#DIV/0!</v>
      </c>
      <c r="AX27" s="178" t="e">
        <f t="shared" si="39"/>
        <v>#DIV/0!</v>
      </c>
      <c r="AY27" s="178" t="e">
        <f t="shared" si="39"/>
        <v>#DIV/0!</v>
      </c>
      <c r="AZ27" s="178" t="e">
        <f t="shared" si="39"/>
        <v>#DIV/0!</v>
      </c>
      <c r="BA27" s="178" t="e">
        <f t="shared" si="39"/>
        <v>#DIV/0!</v>
      </c>
      <c r="BB27" s="178" t="e">
        <f t="shared" si="39"/>
        <v>#DIV/0!</v>
      </c>
      <c r="BC27" s="178" t="e">
        <f t="shared" si="39"/>
        <v>#DIV/0!</v>
      </c>
      <c r="BD27" s="178" t="e">
        <f t="shared" si="39"/>
        <v>#DIV/0!</v>
      </c>
      <c r="BE27" s="178" t="e">
        <f t="shared" si="39"/>
        <v>#DIV/0!</v>
      </c>
      <c r="BF27" s="178" t="e">
        <f t="shared" si="39"/>
        <v>#DIV/0!</v>
      </c>
      <c r="BG27" s="178" t="e">
        <f t="shared" si="39"/>
        <v>#DIV/0!</v>
      </c>
      <c r="BH27" s="168" t="e">
        <f t="shared" si="39"/>
        <v>#DIV/0!</v>
      </c>
      <c r="BI27" s="169" t="e">
        <f t="shared" si="40"/>
        <v>#DIV/0!</v>
      </c>
      <c r="BJ27" s="179" t="e">
        <f t="shared" si="41"/>
        <v>#DIV/0!</v>
      </c>
      <c r="BK27" s="180" t="e">
        <f t="shared" si="42"/>
        <v>#DIV/0!</v>
      </c>
      <c r="BL27" s="178" t="e">
        <f t="shared" si="42"/>
        <v>#DIV/0!</v>
      </c>
      <c r="BM27" s="178" t="e">
        <f t="shared" si="42"/>
        <v>#DIV/0!</v>
      </c>
      <c r="BN27" s="178" t="e">
        <f t="shared" si="42"/>
        <v>#DIV/0!</v>
      </c>
      <c r="BO27" s="178" t="e">
        <f t="shared" si="42"/>
        <v>#DIV/0!</v>
      </c>
      <c r="BP27" s="178" t="e">
        <f t="shared" si="42"/>
        <v>#DIV/0!</v>
      </c>
      <c r="BQ27" s="178" t="e">
        <f t="shared" si="42"/>
        <v>#DIV/0!</v>
      </c>
      <c r="BR27" s="178" t="e">
        <f t="shared" si="42"/>
        <v>#DIV/0!</v>
      </c>
      <c r="BS27" s="178" t="e">
        <f t="shared" si="42"/>
        <v>#DIV/0!</v>
      </c>
      <c r="BT27" s="178" t="e">
        <f t="shared" si="42"/>
        <v>#DIV/0!</v>
      </c>
      <c r="BU27" s="178" t="e">
        <f t="shared" si="42"/>
        <v>#DIV/0!</v>
      </c>
      <c r="BV27" s="168" t="e">
        <f t="shared" si="42"/>
        <v>#DIV/0!</v>
      </c>
      <c r="BW27" s="169" t="e">
        <f t="shared" si="43"/>
        <v>#DIV/0!</v>
      </c>
      <c r="BX27" s="179" t="e">
        <f t="shared" si="44"/>
        <v>#DIV/0!</v>
      </c>
      <c r="BY27" s="180" t="e">
        <f t="shared" si="45"/>
        <v>#DIV/0!</v>
      </c>
      <c r="BZ27" s="178" t="e">
        <f t="shared" si="45"/>
        <v>#DIV/0!</v>
      </c>
      <c r="CA27" s="178" t="e">
        <f t="shared" si="45"/>
        <v>#DIV/0!</v>
      </c>
      <c r="CB27" s="178" t="e">
        <f t="shared" si="45"/>
        <v>#DIV/0!</v>
      </c>
      <c r="CC27" s="178" t="e">
        <f t="shared" si="45"/>
        <v>#DIV/0!</v>
      </c>
      <c r="CD27" s="178" t="e">
        <f t="shared" si="45"/>
        <v>#DIV/0!</v>
      </c>
      <c r="CE27" s="178" t="e">
        <f t="shared" si="45"/>
        <v>#DIV/0!</v>
      </c>
      <c r="CF27" s="178" t="e">
        <f t="shared" si="45"/>
        <v>#DIV/0!</v>
      </c>
      <c r="CG27" s="178" t="e">
        <f t="shared" si="45"/>
        <v>#DIV/0!</v>
      </c>
      <c r="CH27" s="178" t="e">
        <f t="shared" si="45"/>
        <v>#DIV/0!</v>
      </c>
      <c r="CI27" s="178" t="e">
        <f t="shared" si="45"/>
        <v>#DIV/0!</v>
      </c>
      <c r="CJ27" s="168" t="e">
        <f t="shared" si="45"/>
        <v>#DIV/0!</v>
      </c>
      <c r="CK27" s="169" t="e">
        <f t="shared" si="46"/>
        <v>#DIV/0!</v>
      </c>
      <c r="CL27" s="179" t="e">
        <f t="shared" si="47"/>
        <v>#DIV/0!</v>
      </c>
      <c r="CM27" s="180" t="e">
        <f t="shared" si="48"/>
        <v>#DIV/0!</v>
      </c>
      <c r="CN27" s="178" t="e">
        <f t="shared" si="48"/>
        <v>#DIV/0!</v>
      </c>
      <c r="CO27" s="178" t="e">
        <f t="shared" si="48"/>
        <v>#DIV/0!</v>
      </c>
      <c r="CP27" s="178" t="e">
        <f t="shared" si="48"/>
        <v>#DIV/0!</v>
      </c>
      <c r="CQ27" s="178" t="e">
        <f t="shared" si="48"/>
        <v>#DIV/0!</v>
      </c>
      <c r="CR27" s="178" t="e">
        <f t="shared" si="48"/>
        <v>#DIV/0!</v>
      </c>
      <c r="CS27" s="178" t="e">
        <f t="shared" si="48"/>
        <v>#DIV/0!</v>
      </c>
      <c r="CT27" s="178" t="e">
        <f t="shared" si="48"/>
        <v>#DIV/0!</v>
      </c>
      <c r="CU27" s="178" t="e">
        <f t="shared" si="48"/>
        <v>#DIV/0!</v>
      </c>
      <c r="CV27" s="178" t="e">
        <f t="shared" si="48"/>
        <v>#DIV/0!</v>
      </c>
      <c r="CW27" s="178" t="e">
        <f t="shared" si="48"/>
        <v>#DIV/0!</v>
      </c>
      <c r="CX27" s="168" t="e">
        <f t="shared" si="48"/>
        <v>#DIV/0!</v>
      </c>
      <c r="CY27" s="169" t="e">
        <f t="shared" si="49"/>
        <v>#DIV/0!</v>
      </c>
      <c r="CZ27" s="179" t="e">
        <f t="shared" si="50"/>
        <v>#DIV/0!</v>
      </c>
      <c r="DA27" s="180" t="e">
        <f t="shared" si="51"/>
        <v>#DIV/0!</v>
      </c>
      <c r="DB27" s="178" t="e">
        <f t="shared" si="51"/>
        <v>#DIV/0!</v>
      </c>
      <c r="DC27" s="178" t="e">
        <f t="shared" si="51"/>
        <v>#DIV/0!</v>
      </c>
      <c r="DD27" s="178" t="e">
        <f t="shared" si="51"/>
        <v>#DIV/0!</v>
      </c>
      <c r="DE27" s="178" t="e">
        <f t="shared" si="51"/>
        <v>#DIV/0!</v>
      </c>
      <c r="DF27" s="178" t="e">
        <f t="shared" si="51"/>
        <v>#DIV/0!</v>
      </c>
      <c r="DG27" s="178" t="e">
        <f t="shared" si="51"/>
        <v>#DIV/0!</v>
      </c>
      <c r="DH27" s="178" t="e">
        <f t="shared" si="51"/>
        <v>#DIV/0!</v>
      </c>
      <c r="DI27" s="178" t="e">
        <f t="shared" si="51"/>
        <v>#DIV/0!</v>
      </c>
      <c r="DJ27" s="178" t="e">
        <f t="shared" si="51"/>
        <v>#DIV/0!</v>
      </c>
      <c r="DK27" s="178" t="e">
        <f t="shared" si="51"/>
        <v>#DIV/0!</v>
      </c>
      <c r="DL27" s="168" t="e">
        <f t="shared" si="51"/>
        <v>#DIV/0!</v>
      </c>
      <c r="DM27" s="169" t="e">
        <f t="shared" si="52"/>
        <v>#DIV/0!</v>
      </c>
      <c r="DN27" s="171" t="e">
        <f t="shared" si="53"/>
        <v>#DIV/0!</v>
      </c>
      <c r="DO27" s="180" t="e">
        <f t="shared" si="54"/>
        <v>#DIV/0!</v>
      </c>
      <c r="DP27" s="178" t="e">
        <f t="shared" si="54"/>
        <v>#DIV/0!</v>
      </c>
      <c r="DQ27" s="178" t="e">
        <f t="shared" si="54"/>
        <v>#DIV/0!</v>
      </c>
      <c r="DR27" s="178" t="e">
        <f t="shared" si="54"/>
        <v>#DIV/0!</v>
      </c>
      <c r="DS27" s="178" t="e">
        <f t="shared" si="54"/>
        <v>#DIV/0!</v>
      </c>
      <c r="DT27" s="178" t="e">
        <f t="shared" si="54"/>
        <v>#DIV/0!</v>
      </c>
      <c r="DU27" s="178" t="e">
        <f t="shared" si="54"/>
        <v>#DIV/0!</v>
      </c>
      <c r="DV27" s="178" t="e">
        <f t="shared" si="54"/>
        <v>#DIV/0!</v>
      </c>
      <c r="DW27" s="178" t="e">
        <f t="shared" si="54"/>
        <v>#DIV/0!</v>
      </c>
      <c r="DX27" s="178" t="e">
        <f t="shared" si="54"/>
        <v>#DIV/0!</v>
      </c>
      <c r="DY27" s="178" t="e">
        <f t="shared" si="54"/>
        <v>#DIV/0!</v>
      </c>
      <c r="DZ27" s="168" t="e">
        <f t="shared" si="54"/>
        <v>#DIV/0!</v>
      </c>
      <c r="EA27" s="169" t="e">
        <f t="shared" si="55"/>
        <v>#DIV/0!</v>
      </c>
      <c r="EB27" s="171" t="e">
        <f t="shared" si="56"/>
        <v>#DIV/0!</v>
      </c>
    </row>
    <row r="28" spans="1:132" s="177" customFormat="1" ht="15.75">
      <c r="A28" s="163">
        <v>43831</v>
      </c>
      <c r="B28" s="403" t="s">
        <v>88</v>
      </c>
      <c r="C28" s="406" t="s">
        <v>270</v>
      </c>
      <c r="D28" s="405">
        <v>3000</v>
      </c>
      <c r="E28" s="167"/>
      <c r="F28" s="168"/>
      <c r="G28" s="169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9"/>
      <c r="S28" s="169"/>
      <c r="T28" s="179"/>
      <c r="U28" s="180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68"/>
      <c r="AG28" s="169"/>
      <c r="AH28" s="179"/>
      <c r="AI28" s="180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68"/>
      <c r="AU28" s="169"/>
      <c r="AV28" s="179"/>
      <c r="AW28" s="180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68"/>
      <c r="BI28" s="169"/>
      <c r="BJ28" s="179"/>
      <c r="BK28" s="180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68"/>
      <c r="BW28" s="169"/>
      <c r="BX28" s="179"/>
      <c r="BY28" s="180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68"/>
      <c r="CK28" s="169"/>
      <c r="CL28" s="179"/>
      <c r="CM28" s="180"/>
      <c r="CN28" s="178"/>
      <c r="CO28" s="178"/>
      <c r="CP28" s="178"/>
      <c r="CQ28" s="178"/>
      <c r="CR28" s="178"/>
      <c r="CS28" s="178"/>
      <c r="CT28" s="178"/>
      <c r="CU28" s="178"/>
      <c r="CV28" s="178"/>
      <c r="CW28" s="178"/>
      <c r="CX28" s="168"/>
      <c r="CY28" s="169"/>
      <c r="CZ28" s="179"/>
      <c r="DA28" s="180"/>
      <c r="DB28" s="178"/>
      <c r="DC28" s="178"/>
      <c r="DD28" s="178"/>
      <c r="DE28" s="178"/>
      <c r="DF28" s="178"/>
      <c r="DG28" s="178"/>
      <c r="DH28" s="178"/>
      <c r="DI28" s="178"/>
      <c r="DJ28" s="178"/>
      <c r="DK28" s="178"/>
      <c r="DL28" s="168"/>
      <c r="DM28" s="169"/>
      <c r="DN28" s="171"/>
      <c r="DO28" s="180"/>
      <c r="DP28" s="178"/>
      <c r="DQ28" s="178"/>
      <c r="DR28" s="178"/>
      <c r="DS28" s="178"/>
      <c r="DT28" s="178"/>
      <c r="DU28" s="178"/>
      <c r="DV28" s="178"/>
      <c r="DW28" s="178"/>
      <c r="DX28" s="178"/>
      <c r="DY28" s="178"/>
      <c r="DZ28" s="168"/>
      <c r="EA28" s="169"/>
      <c r="EB28" s="171"/>
    </row>
    <row r="29" spans="1:132" s="177" customFormat="1" ht="15.75">
      <c r="A29" s="163">
        <v>43831</v>
      </c>
      <c r="B29" s="403" t="s">
        <v>258</v>
      </c>
      <c r="C29" s="406" t="s">
        <v>271</v>
      </c>
      <c r="D29" s="405">
        <v>25000</v>
      </c>
      <c r="E29" s="167"/>
      <c r="F29" s="168" t="e">
        <f t="shared" si="20"/>
        <v>#DIV/0!</v>
      </c>
      <c r="G29" s="169" t="e">
        <f t="shared" si="30"/>
        <v>#DIV/0!</v>
      </c>
      <c r="H29" s="178" t="e">
        <f t="shared" si="30"/>
        <v>#DIV/0!</v>
      </c>
      <c r="I29" s="178" t="e">
        <f t="shared" si="30"/>
        <v>#DIV/0!</v>
      </c>
      <c r="J29" s="178" t="e">
        <f t="shared" si="30"/>
        <v>#DIV/0!</v>
      </c>
      <c r="K29" s="178" t="e">
        <f t="shared" si="30"/>
        <v>#DIV/0!</v>
      </c>
      <c r="L29" s="178" t="e">
        <f t="shared" si="30"/>
        <v>#DIV/0!</v>
      </c>
      <c r="M29" s="178" t="e">
        <f t="shared" si="30"/>
        <v>#DIV/0!</v>
      </c>
      <c r="N29" s="178" t="e">
        <f t="shared" si="30"/>
        <v>#DIV/0!</v>
      </c>
      <c r="O29" s="178" t="e">
        <f t="shared" si="30"/>
        <v>#DIV/0!</v>
      </c>
      <c r="P29" s="178" t="e">
        <f t="shared" si="30"/>
        <v>#DIV/0!</v>
      </c>
      <c r="Q29" s="178" t="e">
        <f t="shared" si="30"/>
        <v>#DIV/0!</v>
      </c>
      <c r="R29" s="179" t="e">
        <f t="shared" si="30"/>
        <v>#DIV/0!</v>
      </c>
      <c r="S29" s="169" t="e">
        <f t="shared" si="31"/>
        <v>#DIV/0!</v>
      </c>
      <c r="T29" s="179" t="e">
        <f t="shared" si="32"/>
        <v>#DIV/0!</v>
      </c>
      <c r="U29" s="180" t="e">
        <f t="shared" si="33"/>
        <v>#DIV/0!</v>
      </c>
      <c r="V29" s="178" t="e">
        <f t="shared" si="33"/>
        <v>#DIV/0!</v>
      </c>
      <c r="W29" s="178" t="e">
        <f t="shared" si="33"/>
        <v>#DIV/0!</v>
      </c>
      <c r="X29" s="178" t="e">
        <f t="shared" si="33"/>
        <v>#DIV/0!</v>
      </c>
      <c r="Y29" s="178" t="e">
        <f t="shared" si="33"/>
        <v>#DIV/0!</v>
      </c>
      <c r="Z29" s="178" t="e">
        <f t="shared" si="33"/>
        <v>#DIV/0!</v>
      </c>
      <c r="AA29" s="178" t="e">
        <f t="shared" si="33"/>
        <v>#DIV/0!</v>
      </c>
      <c r="AB29" s="178" t="e">
        <f t="shared" si="33"/>
        <v>#DIV/0!</v>
      </c>
      <c r="AC29" s="178" t="e">
        <f t="shared" si="33"/>
        <v>#DIV/0!</v>
      </c>
      <c r="AD29" s="178" t="e">
        <f t="shared" si="33"/>
        <v>#DIV/0!</v>
      </c>
      <c r="AE29" s="178" t="e">
        <f t="shared" si="33"/>
        <v>#DIV/0!</v>
      </c>
      <c r="AF29" s="168" t="e">
        <f t="shared" si="33"/>
        <v>#DIV/0!</v>
      </c>
      <c r="AG29" s="169" t="e">
        <f t="shared" si="34"/>
        <v>#DIV/0!</v>
      </c>
      <c r="AH29" s="179" t="e">
        <f t="shared" si="35"/>
        <v>#DIV/0!</v>
      </c>
      <c r="AI29" s="180" t="e">
        <f t="shared" si="36"/>
        <v>#DIV/0!</v>
      </c>
      <c r="AJ29" s="178" t="e">
        <f t="shared" si="36"/>
        <v>#DIV/0!</v>
      </c>
      <c r="AK29" s="178" t="e">
        <f t="shared" si="36"/>
        <v>#DIV/0!</v>
      </c>
      <c r="AL29" s="178" t="e">
        <f t="shared" si="36"/>
        <v>#DIV/0!</v>
      </c>
      <c r="AM29" s="178" t="e">
        <f t="shared" si="36"/>
        <v>#DIV/0!</v>
      </c>
      <c r="AN29" s="178" t="e">
        <f t="shared" si="36"/>
        <v>#DIV/0!</v>
      </c>
      <c r="AO29" s="178" t="e">
        <f t="shared" si="36"/>
        <v>#DIV/0!</v>
      </c>
      <c r="AP29" s="178" t="e">
        <f t="shared" si="36"/>
        <v>#DIV/0!</v>
      </c>
      <c r="AQ29" s="178" t="e">
        <f t="shared" si="36"/>
        <v>#DIV/0!</v>
      </c>
      <c r="AR29" s="178" t="e">
        <f t="shared" si="36"/>
        <v>#DIV/0!</v>
      </c>
      <c r="AS29" s="178" t="e">
        <f t="shared" si="36"/>
        <v>#DIV/0!</v>
      </c>
      <c r="AT29" s="168" t="e">
        <f t="shared" si="36"/>
        <v>#DIV/0!</v>
      </c>
      <c r="AU29" s="169" t="e">
        <f t="shared" si="37"/>
        <v>#DIV/0!</v>
      </c>
      <c r="AV29" s="179" t="e">
        <f t="shared" si="38"/>
        <v>#DIV/0!</v>
      </c>
      <c r="AW29" s="180" t="e">
        <f t="shared" si="39"/>
        <v>#DIV/0!</v>
      </c>
      <c r="AX29" s="178" t="e">
        <f t="shared" si="39"/>
        <v>#DIV/0!</v>
      </c>
      <c r="AY29" s="178" t="e">
        <f t="shared" si="39"/>
        <v>#DIV/0!</v>
      </c>
      <c r="AZ29" s="178" t="e">
        <f t="shared" si="39"/>
        <v>#DIV/0!</v>
      </c>
      <c r="BA29" s="178" t="e">
        <f t="shared" si="39"/>
        <v>#DIV/0!</v>
      </c>
      <c r="BB29" s="178" t="e">
        <f t="shared" si="39"/>
        <v>#DIV/0!</v>
      </c>
      <c r="BC29" s="178" t="e">
        <f t="shared" si="39"/>
        <v>#DIV/0!</v>
      </c>
      <c r="BD29" s="178" t="e">
        <f t="shared" si="39"/>
        <v>#DIV/0!</v>
      </c>
      <c r="BE29" s="178" t="e">
        <f t="shared" si="39"/>
        <v>#DIV/0!</v>
      </c>
      <c r="BF29" s="178" t="e">
        <f t="shared" si="39"/>
        <v>#DIV/0!</v>
      </c>
      <c r="BG29" s="178" t="e">
        <f t="shared" si="39"/>
        <v>#DIV/0!</v>
      </c>
      <c r="BH29" s="168" t="e">
        <f t="shared" si="39"/>
        <v>#DIV/0!</v>
      </c>
      <c r="BI29" s="169" t="e">
        <f t="shared" si="40"/>
        <v>#DIV/0!</v>
      </c>
      <c r="BJ29" s="179" t="e">
        <f t="shared" si="41"/>
        <v>#DIV/0!</v>
      </c>
      <c r="BK29" s="180" t="e">
        <f t="shared" si="42"/>
        <v>#DIV/0!</v>
      </c>
      <c r="BL29" s="178" t="e">
        <f t="shared" si="42"/>
        <v>#DIV/0!</v>
      </c>
      <c r="BM29" s="178" t="e">
        <f t="shared" si="42"/>
        <v>#DIV/0!</v>
      </c>
      <c r="BN29" s="178" t="e">
        <f t="shared" si="42"/>
        <v>#DIV/0!</v>
      </c>
      <c r="BO29" s="178" t="e">
        <f t="shared" si="42"/>
        <v>#DIV/0!</v>
      </c>
      <c r="BP29" s="178" t="e">
        <f t="shared" si="42"/>
        <v>#DIV/0!</v>
      </c>
      <c r="BQ29" s="178" t="e">
        <f t="shared" si="42"/>
        <v>#DIV/0!</v>
      </c>
      <c r="BR29" s="178" t="e">
        <f t="shared" si="42"/>
        <v>#DIV/0!</v>
      </c>
      <c r="BS29" s="178" t="e">
        <f t="shared" si="42"/>
        <v>#DIV/0!</v>
      </c>
      <c r="BT29" s="178" t="e">
        <f t="shared" si="42"/>
        <v>#DIV/0!</v>
      </c>
      <c r="BU29" s="178" t="e">
        <f t="shared" si="42"/>
        <v>#DIV/0!</v>
      </c>
      <c r="BV29" s="168" t="e">
        <f t="shared" si="42"/>
        <v>#DIV/0!</v>
      </c>
      <c r="BW29" s="169" t="e">
        <f t="shared" si="43"/>
        <v>#DIV/0!</v>
      </c>
      <c r="BX29" s="179" t="e">
        <f t="shared" si="44"/>
        <v>#DIV/0!</v>
      </c>
      <c r="BY29" s="180" t="e">
        <f t="shared" si="45"/>
        <v>#DIV/0!</v>
      </c>
      <c r="BZ29" s="178" t="e">
        <f t="shared" si="45"/>
        <v>#DIV/0!</v>
      </c>
      <c r="CA29" s="178" t="e">
        <f t="shared" si="45"/>
        <v>#DIV/0!</v>
      </c>
      <c r="CB29" s="178" t="e">
        <f t="shared" si="45"/>
        <v>#DIV/0!</v>
      </c>
      <c r="CC29" s="178" t="e">
        <f t="shared" si="45"/>
        <v>#DIV/0!</v>
      </c>
      <c r="CD29" s="178" t="e">
        <f t="shared" si="45"/>
        <v>#DIV/0!</v>
      </c>
      <c r="CE29" s="178" t="e">
        <f t="shared" si="45"/>
        <v>#DIV/0!</v>
      </c>
      <c r="CF29" s="178" t="e">
        <f t="shared" si="45"/>
        <v>#DIV/0!</v>
      </c>
      <c r="CG29" s="178" t="e">
        <f t="shared" si="45"/>
        <v>#DIV/0!</v>
      </c>
      <c r="CH29" s="178" t="e">
        <f t="shared" si="45"/>
        <v>#DIV/0!</v>
      </c>
      <c r="CI29" s="178" t="e">
        <f t="shared" si="45"/>
        <v>#DIV/0!</v>
      </c>
      <c r="CJ29" s="168" t="e">
        <f t="shared" si="45"/>
        <v>#DIV/0!</v>
      </c>
      <c r="CK29" s="169" t="e">
        <f t="shared" si="46"/>
        <v>#DIV/0!</v>
      </c>
      <c r="CL29" s="179" t="e">
        <f t="shared" si="47"/>
        <v>#DIV/0!</v>
      </c>
      <c r="CM29" s="180" t="e">
        <f t="shared" si="48"/>
        <v>#DIV/0!</v>
      </c>
      <c r="CN29" s="178" t="e">
        <f t="shared" si="48"/>
        <v>#DIV/0!</v>
      </c>
      <c r="CO29" s="178" t="e">
        <f t="shared" si="48"/>
        <v>#DIV/0!</v>
      </c>
      <c r="CP29" s="178" t="e">
        <f t="shared" si="48"/>
        <v>#DIV/0!</v>
      </c>
      <c r="CQ29" s="178" t="e">
        <f t="shared" si="48"/>
        <v>#DIV/0!</v>
      </c>
      <c r="CR29" s="178" t="e">
        <f t="shared" si="48"/>
        <v>#DIV/0!</v>
      </c>
      <c r="CS29" s="178" t="e">
        <f t="shared" si="48"/>
        <v>#DIV/0!</v>
      </c>
      <c r="CT29" s="178" t="e">
        <f t="shared" si="48"/>
        <v>#DIV/0!</v>
      </c>
      <c r="CU29" s="178" t="e">
        <f t="shared" si="48"/>
        <v>#DIV/0!</v>
      </c>
      <c r="CV29" s="178" t="e">
        <f t="shared" si="48"/>
        <v>#DIV/0!</v>
      </c>
      <c r="CW29" s="178" t="e">
        <f t="shared" si="48"/>
        <v>#DIV/0!</v>
      </c>
      <c r="CX29" s="168" t="e">
        <f t="shared" si="48"/>
        <v>#DIV/0!</v>
      </c>
      <c r="CY29" s="169" t="e">
        <f t="shared" si="49"/>
        <v>#DIV/0!</v>
      </c>
      <c r="CZ29" s="179" t="e">
        <f t="shared" si="50"/>
        <v>#DIV/0!</v>
      </c>
      <c r="DA29" s="180" t="e">
        <f t="shared" si="51"/>
        <v>#DIV/0!</v>
      </c>
      <c r="DB29" s="178" t="e">
        <f t="shared" si="51"/>
        <v>#DIV/0!</v>
      </c>
      <c r="DC29" s="178" t="e">
        <f t="shared" si="51"/>
        <v>#DIV/0!</v>
      </c>
      <c r="DD29" s="178" t="e">
        <f t="shared" si="51"/>
        <v>#DIV/0!</v>
      </c>
      <c r="DE29" s="178" t="e">
        <f t="shared" si="51"/>
        <v>#DIV/0!</v>
      </c>
      <c r="DF29" s="178" t="e">
        <f t="shared" si="51"/>
        <v>#DIV/0!</v>
      </c>
      <c r="DG29" s="178" t="e">
        <f t="shared" si="51"/>
        <v>#DIV/0!</v>
      </c>
      <c r="DH29" s="178" t="e">
        <f t="shared" si="51"/>
        <v>#DIV/0!</v>
      </c>
      <c r="DI29" s="178" t="e">
        <f t="shared" si="51"/>
        <v>#DIV/0!</v>
      </c>
      <c r="DJ29" s="178" t="e">
        <f t="shared" si="51"/>
        <v>#DIV/0!</v>
      </c>
      <c r="DK29" s="178" t="e">
        <f t="shared" si="51"/>
        <v>#DIV/0!</v>
      </c>
      <c r="DL29" s="168" t="e">
        <f t="shared" si="51"/>
        <v>#DIV/0!</v>
      </c>
      <c r="DM29" s="169" t="e">
        <f t="shared" si="52"/>
        <v>#DIV/0!</v>
      </c>
      <c r="DN29" s="171" t="e">
        <f t="shared" si="53"/>
        <v>#DIV/0!</v>
      </c>
      <c r="DO29" s="180" t="e">
        <f t="shared" si="54"/>
        <v>#DIV/0!</v>
      </c>
      <c r="DP29" s="178" t="e">
        <f t="shared" si="54"/>
        <v>#DIV/0!</v>
      </c>
      <c r="DQ29" s="178" t="e">
        <f t="shared" si="54"/>
        <v>#DIV/0!</v>
      </c>
      <c r="DR29" s="178" t="e">
        <f t="shared" si="54"/>
        <v>#DIV/0!</v>
      </c>
      <c r="DS29" s="178" t="e">
        <f t="shared" si="54"/>
        <v>#DIV/0!</v>
      </c>
      <c r="DT29" s="178" t="e">
        <f t="shared" si="54"/>
        <v>#DIV/0!</v>
      </c>
      <c r="DU29" s="178" t="e">
        <f t="shared" si="54"/>
        <v>#DIV/0!</v>
      </c>
      <c r="DV29" s="178" t="e">
        <f t="shared" si="54"/>
        <v>#DIV/0!</v>
      </c>
      <c r="DW29" s="178" t="e">
        <f t="shared" si="54"/>
        <v>#DIV/0!</v>
      </c>
      <c r="DX29" s="178" t="e">
        <f t="shared" si="54"/>
        <v>#DIV/0!</v>
      </c>
      <c r="DY29" s="178" t="e">
        <f t="shared" si="54"/>
        <v>#DIV/0!</v>
      </c>
      <c r="DZ29" s="168" t="e">
        <f t="shared" si="54"/>
        <v>#DIV/0!</v>
      </c>
      <c r="EA29" s="169" t="e">
        <f t="shared" si="55"/>
        <v>#DIV/0!</v>
      </c>
      <c r="EB29" s="171" t="e">
        <f t="shared" si="56"/>
        <v>#DIV/0!</v>
      </c>
    </row>
    <row r="30" spans="1:132" s="177" customFormat="1" ht="15.75">
      <c r="A30" s="163">
        <v>43831</v>
      </c>
      <c r="B30" s="403" t="s">
        <v>258</v>
      </c>
      <c r="C30" s="406" t="s">
        <v>272</v>
      </c>
      <c r="D30" s="405">
        <v>6000</v>
      </c>
      <c r="E30" s="167"/>
      <c r="F30" s="168" t="e">
        <f t="shared" si="20"/>
        <v>#DIV/0!</v>
      </c>
      <c r="G30" s="169" t="e">
        <f t="shared" si="30"/>
        <v>#DIV/0!</v>
      </c>
      <c r="H30" s="178" t="e">
        <f t="shared" si="30"/>
        <v>#DIV/0!</v>
      </c>
      <c r="I30" s="178" t="e">
        <f t="shared" si="30"/>
        <v>#DIV/0!</v>
      </c>
      <c r="J30" s="178" t="e">
        <f t="shared" si="30"/>
        <v>#DIV/0!</v>
      </c>
      <c r="K30" s="178" t="e">
        <f t="shared" si="30"/>
        <v>#DIV/0!</v>
      </c>
      <c r="L30" s="178" t="e">
        <f t="shared" si="30"/>
        <v>#DIV/0!</v>
      </c>
      <c r="M30" s="178" t="e">
        <f t="shared" si="30"/>
        <v>#DIV/0!</v>
      </c>
      <c r="N30" s="178" t="e">
        <f t="shared" si="30"/>
        <v>#DIV/0!</v>
      </c>
      <c r="O30" s="178" t="e">
        <f t="shared" si="30"/>
        <v>#DIV/0!</v>
      </c>
      <c r="P30" s="178" t="e">
        <f t="shared" si="30"/>
        <v>#DIV/0!</v>
      </c>
      <c r="Q30" s="178" t="e">
        <f t="shared" si="30"/>
        <v>#DIV/0!</v>
      </c>
      <c r="R30" s="179" t="e">
        <f t="shared" si="30"/>
        <v>#DIV/0!</v>
      </c>
      <c r="S30" s="169" t="e">
        <f t="shared" si="31"/>
        <v>#DIV/0!</v>
      </c>
      <c r="T30" s="179" t="e">
        <f t="shared" si="32"/>
        <v>#DIV/0!</v>
      </c>
      <c r="U30" s="180" t="e">
        <f t="shared" si="33"/>
        <v>#DIV/0!</v>
      </c>
      <c r="V30" s="178" t="e">
        <f t="shared" si="33"/>
        <v>#DIV/0!</v>
      </c>
      <c r="W30" s="178" t="e">
        <f t="shared" si="33"/>
        <v>#DIV/0!</v>
      </c>
      <c r="X30" s="178" t="e">
        <f t="shared" si="33"/>
        <v>#DIV/0!</v>
      </c>
      <c r="Y30" s="178" t="e">
        <f t="shared" si="33"/>
        <v>#DIV/0!</v>
      </c>
      <c r="Z30" s="178" t="e">
        <f t="shared" si="33"/>
        <v>#DIV/0!</v>
      </c>
      <c r="AA30" s="178" t="e">
        <f t="shared" si="33"/>
        <v>#DIV/0!</v>
      </c>
      <c r="AB30" s="178" t="e">
        <f t="shared" si="33"/>
        <v>#DIV/0!</v>
      </c>
      <c r="AC30" s="178" t="e">
        <f t="shared" si="33"/>
        <v>#DIV/0!</v>
      </c>
      <c r="AD30" s="178" t="e">
        <f t="shared" si="33"/>
        <v>#DIV/0!</v>
      </c>
      <c r="AE30" s="178" t="e">
        <f t="shared" si="33"/>
        <v>#DIV/0!</v>
      </c>
      <c r="AF30" s="168" t="e">
        <f t="shared" si="33"/>
        <v>#DIV/0!</v>
      </c>
      <c r="AG30" s="169" t="e">
        <f t="shared" si="34"/>
        <v>#DIV/0!</v>
      </c>
      <c r="AH30" s="179" t="e">
        <f t="shared" si="35"/>
        <v>#DIV/0!</v>
      </c>
      <c r="AI30" s="180" t="e">
        <f t="shared" si="36"/>
        <v>#DIV/0!</v>
      </c>
      <c r="AJ30" s="178" t="e">
        <f t="shared" si="36"/>
        <v>#DIV/0!</v>
      </c>
      <c r="AK30" s="178" t="e">
        <f t="shared" si="36"/>
        <v>#DIV/0!</v>
      </c>
      <c r="AL30" s="178" t="e">
        <f t="shared" si="36"/>
        <v>#DIV/0!</v>
      </c>
      <c r="AM30" s="178" t="e">
        <f t="shared" si="36"/>
        <v>#DIV/0!</v>
      </c>
      <c r="AN30" s="178" t="e">
        <f t="shared" si="36"/>
        <v>#DIV/0!</v>
      </c>
      <c r="AO30" s="178" t="e">
        <f t="shared" si="36"/>
        <v>#DIV/0!</v>
      </c>
      <c r="AP30" s="178" t="e">
        <f t="shared" si="36"/>
        <v>#DIV/0!</v>
      </c>
      <c r="AQ30" s="178" t="e">
        <f t="shared" si="36"/>
        <v>#DIV/0!</v>
      </c>
      <c r="AR30" s="178" t="e">
        <f t="shared" si="36"/>
        <v>#DIV/0!</v>
      </c>
      <c r="AS30" s="178" t="e">
        <f t="shared" si="36"/>
        <v>#DIV/0!</v>
      </c>
      <c r="AT30" s="168" t="e">
        <f t="shared" si="36"/>
        <v>#DIV/0!</v>
      </c>
      <c r="AU30" s="169" t="e">
        <f t="shared" si="37"/>
        <v>#DIV/0!</v>
      </c>
      <c r="AV30" s="179" t="e">
        <f t="shared" si="38"/>
        <v>#DIV/0!</v>
      </c>
      <c r="AW30" s="180" t="e">
        <f t="shared" si="39"/>
        <v>#DIV/0!</v>
      </c>
      <c r="AX30" s="178" t="e">
        <f t="shared" si="39"/>
        <v>#DIV/0!</v>
      </c>
      <c r="AY30" s="178" t="e">
        <f t="shared" si="39"/>
        <v>#DIV/0!</v>
      </c>
      <c r="AZ30" s="178" t="e">
        <f t="shared" si="39"/>
        <v>#DIV/0!</v>
      </c>
      <c r="BA30" s="178" t="e">
        <f t="shared" si="39"/>
        <v>#DIV/0!</v>
      </c>
      <c r="BB30" s="178" t="e">
        <f t="shared" si="39"/>
        <v>#DIV/0!</v>
      </c>
      <c r="BC30" s="178" t="e">
        <f t="shared" si="39"/>
        <v>#DIV/0!</v>
      </c>
      <c r="BD30" s="178" t="e">
        <f t="shared" si="39"/>
        <v>#DIV/0!</v>
      </c>
      <c r="BE30" s="178" t="e">
        <f t="shared" si="39"/>
        <v>#DIV/0!</v>
      </c>
      <c r="BF30" s="178" t="e">
        <f t="shared" si="39"/>
        <v>#DIV/0!</v>
      </c>
      <c r="BG30" s="178" t="e">
        <f t="shared" si="39"/>
        <v>#DIV/0!</v>
      </c>
      <c r="BH30" s="168" t="e">
        <f t="shared" si="39"/>
        <v>#DIV/0!</v>
      </c>
      <c r="BI30" s="169" t="e">
        <f t="shared" si="40"/>
        <v>#DIV/0!</v>
      </c>
      <c r="BJ30" s="179" t="e">
        <f t="shared" si="41"/>
        <v>#DIV/0!</v>
      </c>
      <c r="BK30" s="180" t="e">
        <f t="shared" si="42"/>
        <v>#DIV/0!</v>
      </c>
      <c r="BL30" s="178" t="e">
        <f t="shared" si="42"/>
        <v>#DIV/0!</v>
      </c>
      <c r="BM30" s="178" t="e">
        <f t="shared" si="42"/>
        <v>#DIV/0!</v>
      </c>
      <c r="BN30" s="178" t="e">
        <f t="shared" si="42"/>
        <v>#DIV/0!</v>
      </c>
      <c r="BO30" s="178" t="e">
        <f t="shared" si="42"/>
        <v>#DIV/0!</v>
      </c>
      <c r="BP30" s="178" t="e">
        <f t="shared" si="42"/>
        <v>#DIV/0!</v>
      </c>
      <c r="BQ30" s="178" t="e">
        <f t="shared" si="42"/>
        <v>#DIV/0!</v>
      </c>
      <c r="BR30" s="178" t="e">
        <f t="shared" si="42"/>
        <v>#DIV/0!</v>
      </c>
      <c r="BS30" s="178" t="e">
        <f t="shared" si="42"/>
        <v>#DIV/0!</v>
      </c>
      <c r="BT30" s="178" t="e">
        <f t="shared" si="42"/>
        <v>#DIV/0!</v>
      </c>
      <c r="BU30" s="178" t="e">
        <f t="shared" si="42"/>
        <v>#DIV/0!</v>
      </c>
      <c r="BV30" s="168" t="e">
        <f t="shared" si="42"/>
        <v>#DIV/0!</v>
      </c>
      <c r="BW30" s="169" t="e">
        <f t="shared" si="43"/>
        <v>#DIV/0!</v>
      </c>
      <c r="BX30" s="179" t="e">
        <f t="shared" si="44"/>
        <v>#DIV/0!</v>
      </c>
      <c r="BY30" s="180" t="e">
        <f t="shared" si="45"/>
        <v>#DIV/0!</v>
      </c>
      <c r="BZ30" s="178" t="e">
        <f t="shared" si="45"/>
        <v>#DIV/0!</v>
      </c>
      <c r="CA30" s="178" t="e">
        <f t="shared" si="45"/>
        <v>#DIV/0!</v>
      </c>
      <c r="CB30" s="178" t="e">
        <f t="shared" si="45"/>
        <v>#DIV/0!</v>
      </c>
      <c r="CC30" s="178" t="e">
        <f t="shared" si="45"/>
        <v>#DIV/0!</v>
      </c>
      <c r="CD30" s="178" t="e">
        <f t="shared" si="45"/>
        <v>#DIV/0!</v>
      </c>
      <c r="CE30" s="178" t="e">
        <f t="shared" si="45"/>
        <v>#DIV/0!</v>
      </c>
      <c r="CF30" s="178" t="e">
        <f t="shared" si="45"/>
        <v>#DIV/0!</v>
      </c>
      <c r="CG30" s="178" t="e">
        <f t="shared" si="45"/>
        <v>#DIV/0!</v>
      </c>
      <c r="CH30" s="178" t="e">
        <f t="shared" si="45"/>
        <v>#DIV/0!</v>
      </c>
      <c r="CI30" s="178" t="e">
        <f t="shared" si="45"/>
        <v>#DIV/0!</v>
      </c>
      <c r="CJ30" s="168" t="e">
        <f t="shared" si="45"/>
        <v>#DIV/0!</v>
      </c>
      <c r="CK30" s="169" t="e">
        <f t="shared" si="46"/>
        <v>#DIV/0!</v>
      </c>
      <c r="CL30" s="179" t="e">
        <f t="shared" si="47"/>
        <v>#DIV/0!</v>
      </c>
      <c r="CM30" s="180" t="e">
        <f t="shared" si="48"/>
        <v>#DIV/0!</v>
      </c>
      <c r="CN30" s="178" t="e">
        <f t="shared" si="48"/>
        <v>#DIV/0!</v>
      </c>
      <c r="CO30" s="178" t="e">
        <f t="shared" si="48"/>
        <v>#DIV/0!</v>
      </c>
      <c r="CP30" s="178" t="e">
        <f t="shared" si="48"/>
        <v>#DIV/0!</v>
      </c>
      <c r="CQ30" s="178" t="e">
        <f t="shared" si="48"/>
        <v>#DIV/0!</v>
      </c>
      <c r="CR30" s="178" t="e">
        <f t="shared" si="48"/>
        <v>#DIV/0!</v>
      </c>
      <c r="CS30" s="178" t="e">
        <f t="shared" si="48"/>
        <v>#DIV/0!</v>
      </c>
      <c r="CT30" s="178" t="e">
        <f t="shared" si="48"/>
        <v>#DIV/0!</v>
      </c>
      <c r="CU30" s="178" t="e">
        <f t="shared" si="48"/>
        <v>#DIV/0!</v>
      </c>
      <c r="CV30" s="178" t="e">
        <f t="shared" si="48"/>
        <v>#DIV/0!</v>
      </c>
      <c r="CW30" s="178" t="e">
        <f t="shared" si="48"/>
        <v>#DIV/0!</v>
      </c>
      <c r="CX30" s="168" t="e">
        <f t="shared" si="48"/>
        <v>#DIV/0!</v>
      </c>
      <c r="CY30" s="169" t="e">
        <f t="shared" si="49"/>
        <v>#DIV/0!</v>
      </c>
      <c r="CZ30" s="179" t="e">
        <f t="shared" si="50"/>
        <v>#DIV/0!</v>
      </c>
      <c r="DA30" s="180" t="e">
        <f t="shared" si="51"/>
        <v>#DIV/0!</v>
      </c>
      <c r="DB30" s="178" t="e">
        <f t="shared" si="51"/>
        <v>#DIV/0!</v>
      </c>
      <c r="DC30" s="178" t="e">
        <f t="shared" si="51"/>
        <v>#DIV/0!</v>
      </c>
      <c r="DD30" s="178" t="e">
        <f t="shared" si="51"/>
        <v>#DIV/0!</v>
      </c>
      <c r="DE30" s="178" t="e">
        <f t="shared" si="51"/>
        <v>#DIV/0!</v>
      </c>
      <c r="DF30" s="178" t="e">
        <f t="shared" si="51"/>
        <v>#DIV/0!</v>
      </c>
      <c r="DG30" s="178" t="e">
        <f t="shared" si="51"/>
        <v>#DIV/0!</v>
      </c>
      <c r="DH30" s="178" t="e">
        <f t="shared" si="51"/>
        <v>#DIV/0!</v>
      </c>
      <c r="DI30" s="178" t="e">
        <f t="shared" si="51"/>
        <v>#DIV/0!</v>
      </c>
      <c r="DJ30" s="178" t="e">
        <f t="shared" si="51"/>
        <v>#DIV/0!</v>
      </c>
      <c r="DK30" s="178" t="e">
        <f t="shared" si="51"/>
        <v>#DIV/0!</v>
      </c>
      <c r="DL30" s="168" t="e">
        <f t="shared" si="51"/>
        <v>#DIV/0!</v>
      </c>
      <c r="DM30" s="169" t="e">
        <f t="shared" si="52"/>
        <v>#DIV/0!</v>
      </c>
      <c r="DN30" s="171" t="e">
        <f t="shared" si="53"/>
        <v>#DIV/0!</v>
      </c>
      <c r="DO30" s="180" t="e">
        <f t="shared" si="54"/>
        <v>#DIV/0!</v>
      </c>
      <c r="DP30" s="178" t="e">
        <f t="shared" si="54"/>
        <v>#DIV/0!</v>
      </c>
      <c r="DQ30" s="178" t="e">
        <f t="shared" si="54"/>
        <v>#DIV/0!</v>
      </c>
      <c r="DR30" s="178" t="e">
        <f t="shared" si="54"/>
        <v>#DIV/0!</v>
      </c>
      <c r="DS30" s="178" t="e">
        <f t="shared" si="54"/>
        <v>#DIV/0!</v>
      </c>
      <c r="DT30" s="178" t="e">
        <f t="shared" si="54"/>
        <v>#DIV/0!</v>
      </c>
      <c r="DU30" s="178" t="e">
        <f t="shared" si="54"/>
        <v>#DIV/0!</v>
      </c>
      <c r="DV30" s="178" t="e">
        <f t="shared" si="54"/>
        <v>#DIV/0!</v>
      </c>
      <c r="DW30" s="178" t="e">
        <f t="shared" si="54"/>
        <v>#DIV/0!</v>
      </c>
      <c r="DX30" s="178" t="e">
        <f t="shared" si="54"/>
        <v>#DIV/0!</v>
      </c>
      <c r="DY30" s="178" t="e">
        <f t="shared" si="54"/>
        <v>#DIV/0!</v>
      </c>
      <c r="DZ30" s="168" t="e">
        <f t="shared" si="54"/>
        <v>#DIV/0!</v>
      </c>
      <c r="EA30" s="169" t="e">
        <f t="shared" si="55"/>
        <v>#DIV/0!</v>
      </c>
      <c r="EB30" s="171" t="e">
        <f t="shared" si="56"/>
        <v>#DIV/0!</v>
      </c>
    </row>
    <row r="31" spans="1:132" s="177" customFormat="1" ht="15.75">
      <c r="A31" s="163">
        <v>43831</v>
      </c>
      <c r="B31" s="403" t="s">
        <v>87</v>
      </c>
      <c r="C31" s="406" t="s">
        <v>273</v>
      </c>
      <c r="D31" s="405">
        <v>15000</v>
      </c>
      <c r="E31" s="167"/>
      <c r="F31" s="168" t="e">
        <f t="shared" si="20"/>
        <v>#DIV/0!</v>
      </c>
      <c r="G31" s="169" t="e">
        <f t="shared" si="30"/>
        <v>#DIV/0!</v>
      </c>
      <c r="H31" s="178" t="e">
        <f t="shared" si="30"/>
        <v>#DIV/0!</v>
      </c>
      <c r="I31" s="178" t="e">
        <f t="shared" si="30"/>
        <v>#DIV/0!</v>
      </c>
      <c r="J31" s="178" t="e">
        <f t="shared" si="30"/>
        <v>#DIV/0!</v>
      </c>
      <c r="K31" s="178" t="e">
        <f t="shared" si="30"/>
        <v>#DIV/0!</v>
      </c>
      <c r="L31" s="178" t="e">
        <f t="shared" si="30"/>
        <v>#DIV/0!</v>
      </c>
      <c r="M31" s="178" t="e">
        <f t="shared" si="30"/>
        <v>#DIV/0!</v>
      </c>
      <c r="N31" s="178" t="e">
        <f t="shared" si="30"/>
        <v>#DIV/0!</v>
      </c>
      <c r="O31" s="178" t="e">
        <f t="shared" si="30"/>
        <v>#DIV/0!</v>
      </c>
      <c r="P31" s="178" t="e">
        <f t="shared" si="30"/>
        <v>#DIV/0!</v>
      </c>
      <c r="Q31" s="178" t="e">
        <f t="shared" si="30"/>
        <v>#DIV/0!</v>
      </c>
      <c r="R31" s="179" t="e">
        <f t="shared" si="30"/>
        <v>#DIV/0!</v>
      </c>
      <c r="S31" s="169" t="e">
        <f t="shared" si="31"/>
        <v>#DIV/0!</v>
      </c>
      <c r="T31" s="179" t="e">
        <f t="shared" si="32"/>
        <v>#DIV/0!</v>
      </c>
      <c r="U31" s="180" t="e">
        <f t="shared" si="33"/>
        <v>#DIV/0!</v>
      </c>
      <c r="V31" s="178" t="e">
        <f t="shared" si="33"/>
        <v>#DIV/0!</v>
      </c>
      <c r="W31" s="178" t="e">
        <f t="shared" si="33"/>
        <v>#DIV/0!</v>
      </c>
      <c r="X31" s="178" t="e">
        <f t="shared" si="33"/>
        <v>#DIV/0!</v>
      </c>
      <c r="Y31" s="178" t="e">
        <f t="shared" si="33"/>
        <v>#DIV/0!</v>
      </c>
      <c r="Z31" s="178" t="e">
        <f t="shared" si="33"/>
        <v>#DIV/0!</v>
      </c>
      <c r="AA31" s="178" t="e">
        <f t="shared" si="33"/>
        <v>#DIV/0!</v>
      </c>
      <c r="AB31" s="178" t="e">
        <f t="shared" si="33"/>
        <v>#DIV/0!</v>
      </c>
      <c r="AC31" s="178" t="e">
        <f t="shared" si="33"/>
        <v>#DIV/0!</v>
      </c>
      <c r="AD31" s="178" t="e">
        <f t="shared" si="33"/>
        <v>#DIV/0!</v>
      </c>
      <c r="AE31" s="178" t="e">
        <f t="shared" si="33"/>
        <v>#DIV/0!</v>
      </c>
      <c r="AF31" s="168" t="e">
        <f t="shared" si="33"/>
        <v>#DIV/0!</v>
      </c>
      <c r="AG31" s="169" t="e">
        <f t="shared" si="34"/>
        <v>#DIV/0!</v>
      </c>
      <c r="AH31" s="179" t="e">
        <f t="shared" si="35"/>
        <v>#DIV/0!</v>
      </c>
      <c r="AI31" s="180" t="e">
        <f t="shared" si="36"/>
        <v>#DIV/0!</v>
      </c>
      <c r="AJ31" s="178" t="e">
        <f t="shared" si="36"/>
        <v>#DIV/0!</v>
      </c>
      <c r="AK31" s="178" t="e">
        <f t="shared" si="36"/>
        <v>#DIV/0!</v>
      </c>
      <c r="AL31" s="178" t="e">
        <f t="shared" si="36"/>
        <v>#DIV/0!</v>
      </c>
      <c r="AM31" s="178" t="e">
        <f t="shared" si="36"/>
        <v>#DIV/0!</v>
      </c>
      <c r="AN31" s="178" t="e">
        <f t="shared" si="36"/>
        <v>#DIV/0!</v>
      </c>
      <c r="AO31" s="178" t="e">
        <f t="shared" si="36"/>
        <v>#DIV/0!</v>
      </c>
      <c r="AP31" s="178" t="e">
        <f t="shared" si="36"/>
        <v>#DIV/0!</v>
      </c>
      <c r="AQ31" s="178" t="e">
        <f t="shared" si="36"/>
        <v>#DIV/0!</v>
      </c>
      <c r="AR31" s="178" t="e">
        <f t="shared" si="36"/>
        <v>#DIV/0!</v>
      </c>
      <c r="AS31" s="178" t="e">
        <f t="shared" si="36"/>
        <v>#DIV/0!</v>
      </c>
      <c r="AT31" s="168" t="e">
        <f t="shared" si="36"/>
        <v>#DIV/0!</v>
      </c>
      <c r="AU31" s="169" t="e">
        <f t="shared" si="37"/>
        <v>#DIV/0!</v>
      </c>
      <c r="AV31" s="179" t="e">
        <f t="shared" si="38"/>
        <v>#DIV/0!</v>
      </c>
      <c r="AW31" s="180" t="e">
        <f t="shared" si="39"/>
        <v>#DIV/0!</v>
      </c>
      <c r="AX31" s="178" t="e">
        <f t="shared" si="39"/>
        <v>#DIV/0!</v>
      </c>
      <c r="AY31" s="178" t="e">
        <f t="shared" si="39"/>
        <v>#DIV/0!</v>
      </c>
      <c r="AZ31" s="178" t="e">
        <f t="shared" si="39"/>
        <v>#DIV/0!</v>
      </c>
      <c r="BA31" s="178" t="e">
        <f t="shared" si="39"/>
        <v>#DIV/0!</v>
      </c>
      <c r="BB31" s="178" t="e">
        <f t="shared" si="39"/>
        <v>#DIV/0!</v>
      </c>
      <c r="BC31" s="178" t="e">
        <f t="shared" si="39"/>
        <v>#DIV/0!</v>
      </c>
      <c r="BD31" s="178" t="e">
        <f t="shared" si="39"/>
        <v>#DIV/0!</v>
      </c>
      <c r="BE31" s="178" t="e">
        <f t="shared" si="39"/>
        <v>#DIV/0!</v>
      </c>
      <c r="BF31" s="178" t="e">
        <f t="shared" si="39"/>
        <v>#DIV/0!</v>
      </c>
      <c r="BG31" s="178" t="e">
        <f t="shared" si="39"/>
        <v>#DIV/0!</v>
      </c>
      <c r="BH31" s="168" t="e">
        <f t="shared" si="39"/>
        <v>#DIV/0!</v>
      </c>
      <c r="BI31" s="169" t="e">
        <f t="shared" si="40"/>
        <v>#DIV/0!</v>
      </c>
      <c r="BJ31" s="179" t="e">
        <f t="shared" si="41"/>
        <v>#DIV/0!</v>
      </c>
      <c r="BK31" s="180" t="e">
        <f t="shared" si="42"/>
        <v>#DIV/0!</v>
      </c>
      <c r="BL31" s="178" t="e">
        <f t="shared" si="42"/>
        <v>#DIV/0!</v>
      </c>
      <c r="BM31" s="178" t="e">
        <f t="shared" si="42"/>
        <v>#DIV/0!</v>
      </c>
      <c r="BN31" s="178" t="e">
        <f t="shared" si="42"/>
        <v>#DIV/0!</v>
      </c>
      <c r="BO31" s="178" t="e">
        <f t="shared" si="42"/>
        <v>#DIV/0!</v>
      </c>
      <c r="BP31" s="178" t="e">
        <f t="shared" si="42"/>
        <v>#DIV/0!</v>
      </c>
      <c r="BQ31" s="178" t="e">
        <f t="shared" si="42"/>
        <v>#DIV/0!</v>
      </c>
      <c r="BR31" s="178" t="e">
        <f t="shared" si="42"/>
        <v>#DIV/0!</v>
      </c>
      <c r="BS31" s="178" t="e">
        <f t="shared" si="42"/>
        <v>#DIV/0!</v>
      </c>
      <c r="BT31" s="178" t="e">
        <f t="shared" si="42"/>
        <v>#DIV/0!</v>
      </c>
      <c r="BU31" s="178" t="e">
        <f t="shared" si="42"/>
        <v>#DIV/0!</v>
      </c>
      <c r="BV31" s="168" t="e">
        <f t="shared" si="42"/>
        <v>#DIV/0!</v>
      </c>
      <c r="BW31" s="169" t="e">
        <f t="shared" si="43"/>
        <v>#DIV/0!</v>
      </c>
      <c r="BX31" s="179" t="e">
        <f t="shared" si="44"/>
        <v>#DIV/0!</v>
      </c>
      <c r="BY31" s="180" t="e">
        <f t="shared" si="45"/>
        <v>#DIV/0!</v>
      </c>
      <c r="BZ31" s="178" t="e">
        <f t="shared" si="45"/>
        <v>#DIV/0!</v>
      </c>
      <c r="CA31" s="178" t="e">
        <f t="shared" si="45"/>
        <v>#DIV/0!</v>
      </c>
      <c r="CB31" s="178" t="e">
        <f t="shared" si="45"/>
        <v>#DIV/0!</v>
      </c>
      <c r="CC31" s="178" t="e">
        <f t="shared" si="45"/>
        <v>#DIV/0!</v>
      </c>
      <c r="CD31" s="178" t="e">
        <f t="shared" si="45"/>
        <v>#DIV/0!</v>
      </c>
      <c r="CE31" s="178" t="e">
        <f t="shared" si="45"/>
        <v>#DIV/0!</v>
      </c>
      <c r="CF31" s="178" t="e">
        <f t="shared" si="45"/>
        <v>#DIV/0!</v>
      </c>
      <c r="CG31" s="178" t="e">
        <f t="shared" si="45"/>
        <v>#DIV/0!</v>
      </c>
      <c r="CH31" s="178" t="e">
        <f t="shared" si="45"/>
        <v>#DIV/0!</v>
      </c>
      <c r="CI31" s="178" t="e">
        <f t="shared" si="45"/>
        <v>#DIV/0!</v>
      </c>
      <c r="CJ31" s="168" t="e">
        <f t="shared" si="45"/>
        <v>#DIV/0!</v>
      </c>
      <c r="CK31" s="169" t="e">
        <f t="shared" si="46"/>
        <v>#DIV/0!</v>
      </c>
      <c r="CL31" s="179" t="e">
        <f t="shared" si="47"/>
        <v>#DIV/0!</v>
      </c>
      <c r="CM31" s="180" t="e">
        <f t="shared" si="48"/>
        <v>#DIV/0!</v>
      </c>
      <c r="CN31" s="178" t="e">
        <f t="shared" si="48"/>
        <v>#DIV/0!</v>
      </c>
      <c r="CO31" s="178" t="e">
        <f t="shared" si="48"/>
        <v>#DIV/0!</v>
      </c>
      <c r="CP31" s="178" t="e">
        <f t="shared" si="48"/>
        <v>#DIV/0!</v>
      </c>
      <c r="CQ31" s="178" t="e">
        <f t="shared" si="48"/>
        <v>#DIV/0!</v>
      </c>
      <c r="CR31" s="178" t="e">
        <f t="shared" si="48"/>
        <v>#DIV/0!</v>
      </c>
      <c r="CS31" s="178" t="e">
        <f t="shared" si="48"/>
        <v>#DIV/0!</v>
      </c>
      <c r="CT31" s="178" t="e">
        <f t="shared" si="48"/>
        <v>#DIV/0!</v>
      </c>
      <c r="CU31" s="178" t="e">
        <f t="shared" si="48"/>
        <v>#DIV/0!</v>
      </c>
      <c r="CV31" s="178" t="e">
        <f t="shared" si="48"/>
        <v>#DIV/0!</v>
      </c>
      <c r="CW31" s="178" t="e">
        <f t="shared" si="48"/>
        <v>#DIV/0!</v>
      </c>
      <c r="CX31" s="168" t="e">
        <f t="shared" si="48"/>
        <v>#DIV/0!</v>
      </c>
      <c r="CY31" s="169" t="e">
        <f t="shared" si="49"/>
        <v>#DIV/0!</v>
      </c>
      <c r="CZ31" s="179" t="e">
        <f t="shared" si="50"/>
        <v>#DIV/0!</v>
      </c>
      <c r="DA31" s="180" t="e">
        <f t="shared" si="51"/>
        <v>#DIV/0!</v>
      </c>
      <c r="DB31" s="178" t="e">
        <f t="shared" si="51"/>
        <v>#DIV/0!</v>
      </c>
      <c r="DC31" s="178" t="e">
        <f t="shared" si="51"/>
        <v>#DIV/0!</v>
      </c>
      <c r="DD31" s="178" t="e">
        <f t="shared" si="51"/>
        <v>#DIV/0!</v>
      </c>
      <c r="DE31" s="178" t="e">
        <f t="shared" si="51"/>
        <v>#DIV/0!</v>
      </c>
      <c r="DF31" s="178" t="e">
        <f t="shared" si="51"/>
        <v>#DIV/0!</v>
      </c>
      <c r="DG31" s="178" t="e">
        <f t="shared" si="51"/>
        <v>#DIV/0!</v>
      </c>
      <c r="DH31" s="178" t="e">
        <f t="shared" si="51"/>
        <v>#DIV/0!</v>
      </c>
      <c r="DI31" s="178" t="e">
        <f t="shared" si="51"/>
        <v>#DIV/0!</v>
      </c>
      <c r="DJ31" s="178" t="e">
        <f t="shared" si="51"/>
        <v>#DIV/0!</v>
      </c>
      <c r="DK31" s="178" t="e">
        <f t="shared" si="51"/>
        <v>#DIV/0!</v>
      </c>
      <c r="DL31" s="168" t="e">
        <f t="shared" si="51"/>
        <v>#DIV/0!</v>
      </c>
      <c r="DM31" s="169" t="e">
        <f t="shared" si="52"/>
        <v>#DIV/0!</v>
      </c>
      <c r="DN31" s="171" t="e">
        <f t="shared" si="53"/>
        <v>#DIV/0!</v>
      </c>
      <c r="DO31" s="180" t="e">
        <f t="shared" si="54"/>
        <v>#DIV/0!</v>
      </c>
      <c r="DP31" s="178" t="e">
        <f t="shared" si="54"/>
        <v>#DIV/0!</v>
      </c>
      <c r="DQ31" s="178" t="e">
        <f t="shared" si="54"/>
        <v>#DIV/0!</v>
      </c>
      <c r="DR31" s="178" t="e">
        <f t="shared" si="54"/>
        <v>#DIV/0!</v>
      </c>
      <c r="DS31" s="178" t="e">
        <f t="shared" si="54"/>
        <v>#DIV/0!</v>
      </c>
      <c r="DT31" s="178" t="e">
        <f t="shared" si="54"/>
        <v>#DIV/0!</v>
      </c>
      <c r="DU31" s="178" t="e">
        <f t="shared" si="54"/>
        <v>#DIV/0!</v>
      </c>
      <c r="DV31" s="178" t="e">
        <f t="shared" si="54"/>
        <v>#DIV/0!</v>
      </c>
      <c r="DW31" s="178" t="e">
        <f t="shared" si="54"/>
        <v>#DIV/0!</v>
      </c>
      <c r="DX31" s="178" t="e">
        <f t="shared" si="54"/>
        <v>#DIV/0!</v>
      </c>
      <c r="DY31" s="178" t="e">
        <f t="shared" si="54"/>
        <v>#DIV/0!</v>
      </c>
      <c r="DZ31" s="168" t="e">
        <f t="shared" si="54"/>
        <v>#DIV/0!</v>
      </c>
      <c r="EA31" s="169" t="e">
        <f t="shared" si="55"/>
        <v>#DIV/0!</v>
      </c>
      <c r="EB31" s="171" t="e">
        <f t="shared" si="56"/>
        <v>#DIV/0!</v>
      </c>
    </row>
    <row r="32" spans="1:132" s="177" customFormat="1" ht="15.75">
      <c r="A32" s="163">
        <v>43831</v>
      </c>
      <c r="B32" s="403" t="s">
        <v>88</v>
      </c>
      <c r="C32" s="406" t="s">
        <v>274</v>
      </c>
      <c r="D32" s="405">
        <v>8000</v>
      </c>
      <c r="E32" s="167"/>
      <c r="F32" s="168" t="e">
        <f t="shared" si="20"/>
        <v>#DIV/0!</v>
      </c>
      <c r="G32" s="169" t="e">
        <f t="shared" si="30"/>
        <v>#DIV/0!</v>
      </c>
      <c r="H32" s="178" t="e">
        <f t="shared" si="30"/>
        <v>#DIV/0!</v>
      </c>
      <c r="I32" s="178" t="e">
        <f t="shared" si="30"/>
        <v>#DIV/0!</v>
      </c>
      <c r="J32" s="178" t="e">
        <f t="shared" si="30"/>
        <v>#DIV/0!</v>
      </c>
      <c r="K32" s="178" t="e">
        <f t="shared" si="30"/>
        <v>#DIV/0!</v>
      </c>
      <c r="L32" s="178" t="e">
        <f t="shared" si="30"/>
        <v>#DIV/0!</v>
      </c>
      <c r="M32" s="178" t="e">
        <f t="shared" si="30"/>
        <v>#DIV/0!</v>
      </c>
      <c r="N32" s="178" t="e">
        <f t="shared" si="30"/>
        <v>#DIV/0!</v>
      </c>
      <c r="O32" s="178" t="e">
        <f t="shared" si="30"/>
        <v>#DIV/0!</v>
      </c>
      <c r="P32" s="178" t="e">
        <f t="shared" si="30"/>
        <v>#DIV/0!</v>
      </c>
      <c r="Q32" s="178" t="e">
        <f t="shared" si="30"/>
        <v>#DIV/0!</v>
      </c>
      <c r="R32" s="179" t="e">
        <f t="shared" si="30"/>
        <v>#DIV/0!</v>
      </c>
      <c r="S32" s="169" t="e">
        <f t="shared" si="31"/>
        <v>#DIV/0!</v>
      </c>
      <c r="T32" s="179" t="e">
        <f t="shared" si="32"/>
        <v>#DIV/0!</v>
      </c>
      <c r="U32" s="180" t="e">
        <f t="shared" si="33"/>
        <v>#DIV/0!</v>
      </c>
      <c r="V32" s="178" t="e">
        <f t="shared" si="33"/>
        <v>#DIV/0!</v>
      </c>
      <c r="W32" s="178" t="e">
        <f t="shared" si="33"/>
        <v>#DIV/0!</v>
      </c>
      <c r="X32" s="178" t="e">
        <f t="shared" si="33"/>
        <v>#DIV/0!</v>
      </c>
      <c r="Y32" s="178" t="e">
        <f t="shared" si="33"/>
        <v>#DIV/0!</v>
      </c>
      <c r="Z32" s="178" t="e">
        <f t="shared" si="33"/>
        <v>#DIV/0!</v>
      </c>
      <c r="AA32" s="178" t="e">
        <f t="shared" si="33"/>
        <v>#DIV/0!</v>
      </c>
      <c r="AB32" s="178" t="e">
        <f t="shared" si="33"/>
        <v>#DIV/0!</v>
      </c>
      <c r="AC32" s="178" t="e">
        <f t="shared" si="33"/>
        <v>#DIV/0!</v>
      </c>
      <c r="AD32" s="178" t="e">
        <f t="shared" si="33"/>
        <v>#DIV/0!</v>
      </c>
      <c r="AE32" s="178" t="e">
        <f t="shared" si="33"/>
        <v>#DIV/0!</v>
      </c>
      <c r="AF32" s="168" t="e">
        <f t="shared" si="33"/>
        <v>#DIV/0!</v>
      </c>
      <c r="AG32" s="169" t="e">
        <f t="shared" si="34"/>
        <v>#DIV/0!</v>
      </c>
      <c r="AH32" s="179" t="e">
        <f t="shared" si="35"/>
        <v>#DIV/0!</v>
      </c>
      <c r="AI32" s="180" t="e">
        <f t="shared" si="36"/>
        <v>#DIV/0!</v>
      </c>
      <c r="AJ32" s="178" t="e">
        <f t="shared" si="36"/>
        <v>#DIV/0!</v>
      </c>
      <c r="AK32" s="178" t="e">
        <f t="shared" si="36"/>
        <v>#DIV/0!</v>
      </c>
      <c r="AL32" s="178" t="e">
        <f t="shared" si="36"/>
        <v>#DIV/0!</v>
      </c>
      <c r="AM32" s="178" t="e">
        <f t="shared" si="36"/>
        <v>#DIV/0!</v>
      </c>
      <c r="AN32" s="178" t="e">
        <f t="shared" si="36"/>
        <v>#DIV/0!</v>
      </c>
      <c r="AO32" s="178" t="e">
        <f t="shared" si="36"/>
        <v>#DIV/0!</v>
      </c>
      <c r="AP32" s="178" t="e">
        <f t="shared" si="36"/>
        <v>#DIV/0!</v>
      </c>
      <c r="AQ32" s="178" t="e">
        <f t="shared" si="36"/>
        <v>#DIV/0!</v>
      </c>
      <c r="AR32" s="178" t="e">
        <f t="shared" si="36"/>
        <v>#DIV/0!</v>
      </c>
      <c r="AS32" s="178" t="e">
        <f t="shared" si="36"/>
        <v>#DIV/0!</v>
      </c>
      <c r="AT32" s="168" t="e">
        <f t="shared" si="36"/>
        <v>#DIV/0!</v>
      </c>
      <c r="AU32" s="169" t="e">
        <f t="shared" si="37"/>
        <v>#DIV/0!</v>
      </c>
      <c r="AV32" s="179" t="e">
        <f t="shared" si="38"/>
        <v>#DIV/0!</v>
      </c>
      <c r="AW32" s="180" t="e">
        <f t="shared" si="39"/>
        <v>#DIV/0!</v>
      </c>
      <c r="AX32" s="178" t="e">
        <f t="shared" si="39"/>
        <v>#DIV/0!</v>
      </c>
      <c r="AY32" s="178" t="e">
        <f t="shared" si="39"/>
        <v>#DIV/0!</v>
      </c>
      <c r="AZ32" s="178" t="e">
        <f t="shared" si="39"/>
        <v>#DIV/0!</v>
      </c>
      <c r="BA32" s="178" t="e">
        <f t="shared" si="39"/>
        <v>#DIV/0!</v>
      </c>
      <c r="BB32" s="178" t="e">
        <f t="shared" si="39"/>
        <v>#DIV/0!</v>
      </c>
      <c r="BC32" s="178" t="e">
        <f t="shared" si="39"/>
        <v>#DIV/0!</v>
      </c>
      <c r="BD32" s="178" t="e">
        <f t="shared" si="39"/>
        <v>#DIV/0!</v>
      </c>
      <c r="BE32" s="178" t="e">
        <f t="shared" si="39"/>
        <v>#DIV/0!</v>
      </c>
      <c r="BF32" s="178" t="e">
        <f t="shared" si="39"/>
        <v>#DIV/0!</v>
      </c>
      <c r="BG32" s="178" t="e">
        <f t="shared" si="39"/>
        <v>#DIV/0!</v>
      </c>
      <c r="BH32" s="168" t="e">
        <f t="shared" si="39"/>
        <v>#DIV/0!</v>
      </c>
      <c r="BI32" s="169" t="e">
        <f t="shared" si="40"/>
        <v>#DIV/0!</v>
      </c>
      <c r="BJ32" s="179" t="e">
        <f t="shared" si="41"/>
        <v>#DIV/0!</v>
      </c>
      <c r="BK32" s="180" t="e">
        <f t="shared" si="42"/>
        <v>#DIV/0!</v>
      </c>
      <c r="BL32" s="178" t="e">
        <f t="shared" si="42"/>
        <v>#DIV/0!</v>
      </c>
      <c r="BM32" s="178" t="e">
        <f t="shared" si="42"/>
        <v>#DIV/0!</v>
      </c>
      <c r="BN32" s="178" t="e">
        <f t="shared" si="42"/>
        <v>#DIV/0!</v>
      </c>
      <c r="BO32" s="178" t="e">
        <f t="shared" si="42"/>
        <v>#DIV/0!</v>
      </c>
      <c r="BP32" s="178" t="e">
        <f t="shared" si="42"/>
        <v>#DIV/0!</v>
      </c>
      <c r="BQ32" s="178" t="e">
        <f t="shared" si="42"/>
        <v>#DIV/0!</v>
      </c>
      <c r="BR32" s="178" t="e">
        <f t="shared" si="42"/>
        <v>#DIV/0!</v>
      </c>
      <c r="BS32" s="178" t="e">
        <f t="shared" si="42"/>
        <v>#DIV/0!</v>
      </c>
      <c r="BT32" s="178" t="e">
        <f t="shared" si="42"/>
        <v>#DIV/0!</v>
      </c>
      <c r="BU32" s="178" t="e">
        <f t="shared" si="42"/>
        <v>#DIV/0!</v>
      </c>
      <c r="BV32" s="168" t="e">
        <f t="shared" si="42"/>
        <v>#DIV/0!</v>
      </c>
      <c r="BW32" s="169" t="e">
        <f t="shared" si="43"/>
        <v>#DIV/0!</v>
      </c>
      <c r="BX32" s="179" t="e">
        <f t="shared" si="44"/>
        <v>#DIV/0!</v>
      </c>
      <c r="BY32" s="180" t="e">
        <f t="shared" si="45"/>
        <v>#DIV/0!</v>
      </c>
      <c r="BZ32" s="178" t="e">
        <f t="shared" si="45"/>
        <v>#DIV/0!</v>
      </c>
      <c r="CA32" s="178" t="e">
        <f t="shared" si="45"/>
        <v>#DIV/0!</v>
      </c>
      <c r="CB32" s="178" t="e">
        <f t="shared" si="45"/>
        <v>#DIV/0!</v>
      </c>
      <c r="CC32" s="178" t="e">
        <f t="shared" si="45"/>
        <v>#DIV/0!</v>
      </c>
      <c r="CD32" s="178" t="e">
        <f t="shared" si="45"/>
        <v>#DIV/0!</v>
      </c>
      <c r="CE32" s="178" t="e">
        <f t="shared" si="45"/>
        <v>#DIV/0!</v>
      </c>
      <c r="CF32" s="178" t="e">
        <f t="shared" si="45"/>
        <v>#DIV/0!</v>
      </c>
      <c r="CG32" s="178" t="e">
        <f t="shared" si="45"/>
        <v>#DIV/0!</v>
      </c>
      <c r="CH32" s="178" t="e">
        <f t="shared" si="45"/>
        <v>#DIV/0!</v>
      </c>
      <c r="CI32" s="178" t="e">
        <f t="shared" si="45"/>
        <v>#DIV/0!</v>
      </c>
      <c r="CJ32" s="168" t="e">
        <f t="shared" si="45"/>
        <v>#DIV/0!</v>
      </c>
      <c r="CK32" s="169" t="e">
        <f t="shared" si="46"/>
        <v>#DIV/0!</v>
      </c>
      <c r="CL32" s="179" t="e">
        <f t="shared" si="47"/>
        <v>#DIV/0!</v>
      </c>
      <c r="CM32" s="180" t="e">
        <f t="shared" si="48"/>
        <v>#DIV/0!</v>
      </c>
      <c r="CN32" s="178" t="e">
        <f t="shared" si="48"/>
        <v>#DIV/0!</v>
      </c>
      <c r="CO32" s="178" t="e">
        <f t="shared" si="48"/>
        <v>#DIV/0!</v>
      </c>
      <c r="CP32" s="178" t="e">
        <f t="shared" si="48"/>
        <v>#DIV/0!</v>
      </c>
      <c r="CQ32" s="178" t="e">
        <f t="shared" si="48"/>
        <v>#DIV/0!</v>
      </c>
      <c r="CR32" s="178" t="e">
        <f t="shared" si="48"/>
        <v>#DIV/0!</v>
      </c>
      <c r="CS32" s="178" t="e">
        <f t="shared" si="48"/>
        <v>#DIV/0!</v>
      </c>
      <c r="CT32" s="178" t="e">
        <f t="shared" si="48"/>
        <v>#DIV/0!</v>
      </c>
      <c r="CU32" s="178" t="e">
        <f t="shared" si="48"/>
        <v>#DIV/0!</v>
      </c>
      <c r="CV32" s="178" t="e">
        <f t="shared" si="48"/>
        <v>#DIV/0!</v>
      </c>
      <c r="CW32" s="178" t="e">
        <f t="shared" si="48"/>
        <v>#DIV/0!</v>
      </c>
      <c r="CX32" s="168" t="e">
        <f t="shared" si="48"/>
        <v>#DIV/0!</v>
      </c>
      <c r="CY32" s="169" t="e">
        <f t="shared" si="49"/>
        <v>#DIV/0!</v>
      </c>
      <c r="CZ32" s="179" t="e">
        <f t="shared" si="50"/>
        <v>#DIV/0!</v>
      </c>
      <c r="DA32" s="180" t="e">
        <f t="shared" si="51"/>
        <v>#DIV/0!</v>
      </c>
      <c r="DB32" s="178" t="e">
        <f t="shared" si="51"/>
        <v>#DIV/0!</v>
      </c>
      <c r="DC32" s="178" t="e">
        <f t="shared" si="51"/>
        <v>#DIV/0!</v>
      </c>
      <c r="DD32" s="178" t="e">
        <f t="shared" si="51"/>
        <v>#DIV/0!</v>
      </c>
      <c r="DE32" s="178" t="e">
        <f t="shared" si="51"/>
        <v>#DIV/0!</v>
      </c>
      <c r="DF32" s="178" t="e">
        <f t="shared" si="51"/>
        <v>#DIV/0!</v>
      </c>
      <c r="DG32" s="178" t="e">
        <f t="shared" si="51"/>
        <v>#DIV/0!</v>
      </c>
      <c r="DH32" s="178" t="e">
        <f t="shared" si="51"/>
        <v>#DIV/0!</v>
      </c>
      <c r="DI32" s="178" t="e">
        <f t="shared" si="51"/>
        <v>#DIV/0!</v>
      </c>
      <c r="DJ32" s="178" t="e">
        <f t="shared" si="51"/>
        <v>#DIV/0!</v>
      </c>
      <c r="DK32" s="178" t="e">
        <f t="shared" si="51"/>
        <v>#DIV/0!</v>
      </c>
      <c r="DL32" s="168" t="e">
        <f t="shared" si="51"/>
        <v>#DIV/0!</v>
      </c>
      <c r="DM32" s="169" t="e">
        <f t="shared" si="52"/>
        <v>#DIV/0!</v>
      </c>
      <c r="DN32" s="171" t="e">
        <f t="shared" si="53"/>
        <v>#DIV/0!</v>
      </c>
      <c r="DO32" s="180" t="e">
        <f t="shared" si="54"/>
        <v>#DIV/0!</v>
      </c>
      <c r="DP32" s="178" t="e">
        <f t="shared" si="54"/>
        <v>#DIV/0!</v>
      </c>
      <c r="DQ32" s="178" t="e">
        <f t="shared" si="54"/>
        <v>#DIV/0!</v>
      </c>
      <c r="DR32" s="178" t="e">
        <f t="shared" si="54"/>
        <v>#DIV/0!</v>
      </c>
      <c r="DS32" s="178" t="e">
        <f t="shared" si="54"/>
        <v>#DIV/0!</v>
      </c>
      <c r="DT32" s="178" t="e">
        <f t="shared" si="54"/>
        <v>#DIV/0!</v>
      </c>
      <c r="DU32" s="178" t="e">
        <f t="shared" si="54"/>
        <v>#DIV/0!</v>
      </c>
      <c r="DV32" s="178" t="e">
        <f t="shared" si="54"/>
        <v>#DIV/0!</v>
      </c>
      <c r="DW32" s="178" t="e">
        <f t="shared" si="54"/>
        <v>#DIV/0!</v>
      </c>
      <c r="DX32" s="178" t="e">
        <f t="shared" si="54"/>
        <v>#DIV/0!</v>
      </c>
      <c r="DY32" s="178" t="e">
        <f t="shared" si="54"/>
        <v>#DIV/0!</v>
      </c>
      <c r="DZ32" s="168" t="e">
        <f t="shared" si="54"/>
        <v>#DIV/0!</v>
      </c>
      <c r="EA32" s="169" t="e">
        <f t="shared" si="55"/>
        <v>#DIV/0!</v>
      </c>
      <c r="EB32" s="171" t="e">
        <f t="shared" si="56"/>
        <v>#DIV/0!</v>
      </c>
    </row>
    <row r="33" spans="1:132" s="177" customFormat="1" ht="15.75">
      <c r="A33" s="163">
        <v>43831</v>
      </c>
      <c r="B33" s="403" t="s">
        <v>88</v>
      </c>
      <c r="C33" s="406" t="s">
        <v>275</v>
      </c>
      <c r="D33" s="405">
        <v>25000</v>
      </c>
      <c r="E33" s="167"/>
      <c r="F33" s="168" t="e">
        <f t="shared" si="20"/>
        <v>#DIV/0!</v>
      </c>
      <c r="G33" s="169" t="e">
        <f t="shared" si="30"/>
        <v>#DIV/0!</v>
      </c>
      <c r="H33" s="178" t="e">
        <f t="shared" si="30"/>
        <v>#DIV/0!</v>
      </c>
      <c r="I33" s="178" t="e">
        <f t="shared" si="30"/>
        <v>#DIV/0!</v>
      </c>
      <c r="J33" s="178" t="e">
        <f t="shared" si="30"/>
        <v>#DIV/0!</v>
      </c>
      <c r="K33" s="178" t="e">
        <f t="shared" si="30"/>
        <v>#DIV/0!</v>
      </c>
      <c r="L33" s="178" t="e">
        <f t="shared" si="30"/>
        <v>#DIV/0!</v>
      </c>
      <c r="M33" s="178" t="e">
        <f t="shared" si="30"/>
        <v>#DIV/0!</v>
      </c>
      <c r="N33" s="178" t="e">
        <f t="shared" si="30"/>
        <v>#DIV/0!</v>
      </c>
      <c r="O33" s="178" t="e">
        <f t="shared" si="30"/>
        <v>#DIV/0!</v>
      </c>
      <c r="P33" s="178" t="e">
        <f t="shared" si="30"/>
        <v>#DIV/0!</v>
      </c>
      <c r="Q33" s="178" t="e">
        <f t="shared" si="30"/>
        <v>#DIV/0!</v>
      </c>
      <c r="R33" s="179" t="e">
        <f t="shared" si="30"/>
        <v>#DIV/0!</v>
      </c>
      <c r="S33" s="169" t="e">
        <f t="shared" si="31"/>
        <v>#DIV/0!</v>
      </c>
      <c r="T33" s="179" t="e">
        <f t="shared" si="32"/>
        <v>#DIV/0!</v>
      </c>
      <c r="U33" s="180" t="e">
        <f t="shared" si="33"/>
        <v>#DIV/0!</v>
      </c>
      <c r="V33" s="178" t="e">
        <f t="shared" si="33"/>
        <v>#DIV/0!</v>
      </c>
      <c r="W33" s="178" t="e">
        <f t="shared" si="33"/>
        <v>#DIV/0!</v>
      </c>
      <c r="X33" s="178" t="e">
        <f t="shared" si="33"/>
        <v>#DIV/0!</v>
      </c>
      <c r="Y33" s="178" t="e">
        <f t="shared" si="33"/>
        <v>#DIV/0!</v>
      </c>
      <c r="Z33" s="178" t="e">
        <f t="shared" si="33"/>
        <v>#DIV/0!</v>
      </c>
      <c r="AA33" s="178" t="e">
        <f t="shared" si="33"/>
        <v>#DIV/0!</v>
      </c>
      <c r="AB33" s="178" t="e">
        <f t="shared" si="33"/>
        <v>#DIV/0!</v>
      </c>
      <c r="AC33" s="178" t="e">
        <f t="shared" si="33"/>
        <v>#DIV/0!</v>
      </c>
      <c r="AD33" s="178" t="e">
        <f t="shared" si="33"/>
        <v>#DIV/0!</v>
      </c>
      <c r="AE33" s="178" t="e">
        <f t="shared" si="33"/>
        <v>#DIV/0!</v>
      </c>
      <c r="AF33" s="168" t="e">
        <f t="shared" si="33"/>
        <v>#DIV/0!</v>
      </c>
      <c r="AG33" s="169" t="e">
        <f t="shared" si="34"/>
        <v>#DIV/0!</v>
      </c>
      <c r="AH33" s="179" t="e">
        <f t="shared" si="35"/>
        <v>#DIV/0!</v>
      </c>
      <c r="AI33" s="180" t="e">
        <f t="shared" si="36"/>
        <v>#DIV/0!</v>
      </c>
      <c r="AJ33" s="178" t="e">
        <f t="shared" si="36"/>
        <v>#DIV/0!</v>
      </c>
      <c r="AK33" s="178" t="e">
        <f t="shared" si="36"/>
        <v>#DIV/0!</v>
      </c>
      <c r="AL33" s="178" t="e">
        <f t="shared" si="36"/>
        <v>#DIV/0!</v>
      </c>
      <c r="AM33" s="178" t="e">
        <f t="shared" si="36"/>
        <v>#DIV/0!</v>
      </c>
      <c r="AN33" s="178" t="e">
        <f t="shared" si="36"/>
        <v>#DIV/0!</v>
      </c>
      <c r="AO33" s="178" t="e">
        <f t="shared" si="36"/>
        <v>#DIV/0!</v>
      </c>
      <c r="AP33" s="178" t="e">
        <f t="shared" si="36"/>
        <v>#DIV/0!</v>
      </c>
      <c r="AQ33" s="178" t="e">
        <f t="shared" si="36"/>
        <v>#DIV/0!</v>
      </c>
      <c r="AR33" s="178" t="e">
        <f t="shared" si="36"/>
        <v>#DIV/0!</v>
      </c>
      <c r="AS33" s="178" t="e">
        <f t="shared" si="36"/>
        <v>#DIV/0!</v>
      </c>
      <c r="AT33" s="168" t="e">
        <f t="shared" si="36"/>
        <v>#DIV/0!</v>
      </c>
      <c r="AU33" s="169" t="e">
        <f t="shared" si="37"/>
        <v>#DIV/0!</v>
      </c>
      <c r="AV33" s="179" t="e">
        <f t="shared" si="38"/>
        <v>#DIV/0!</v>
      </c>
      <c r="AW33" s="180" t="e">
        <f t="shared" si="39"/>
        <v>#DIV/0!</v>
      </c>
      <c r="AX33" s="178" t="e">
        <f t="shared" si="39"/>
        <v>#DIV/0!</v>
      </c>
      <c r="AY33" s="178" t="e">
        <f t="shared" si="39"/>
        <v>#DIV/0!</v>
      </c>
      <c r="AZ33" s="178" t="e">
        <f t="shared" si="39"/>
        <v>#DIV/0!</v>
      </c>
      <c r="BA33" s="178" t="e">
        <f t="shared" si="39"/>
        <v>#DIV/0!</v>
      </c>
      <c r="BB33" s="178" t="e">
        <f t="shared" si="39"/>
        <v>#DIV/0!</v>
      </c>
      <c r="BC33" s="178" t="e">
        <f t="shared" si="39"/>
        <v>#DIV/0!</v>
      </c>
      <c r="BD33" s="178" t="e">
        <f t="shared" si="39"/>
        <v>#DIV/0!</v>
      </c>
      <c r="BE33" s="178" t="e">
        <f t="shared" si="39"/>
        <v>#DIV/0!</v>
      </c>
      <c r="BF33" s="178" t="e">
        <f t="shared" si="39"/>
        <v>#DIV/0!</v>
      </c>
      <c r="BG33" s="178" t="e">
        <f t="shared" si="39"/>
        <v>#DIV/0!</v>
      </c>
      <c r="BH33" s="168" t="e">
        <f t="shared" si="39"/>
        <v>#DIV/0!</v>
      </c>
      <c r="BI33" s="169" t="e">
        <f t="shared" si="40"/>
        <v>#DIV/0!</v>
      </c>
      <c r="BJ33" s="179" t="e">
        <f t="shared" si="41"/>
        <v>#DIV/0!</v>
      </c>
      <c r="BK33" s="180" t="e">
        <f t="shared" si="42"/>
        <v>#DIV/0!</v>
      </c>
      <c r="BL33" s="178" t="e">
        <f t="shared" si="42"/>
        <v>#DIV/0!</v>
      </c>
      <c r="BM33" s="178" t="e">
        <f t="shared" si="42"/>
        <v>#DIV/0!</v>
      </c>
      <c r="BN33" s="178" t="e">
        <f t="shared" si="42"/>
        <v>#DIV/0!</v>
      </c>
      <c r="BO33" s="178" t="e">
        <f t="shared" si="42"/>
        <v>#DIV/0!</v>
      </c>
      <c r="BP33" s="178" t="e">
        <f t="shared" si="42"/>
        <v>#DIV/0!</v>
      </c>
      <c r="BQ33" s="178" t="e">
        <f t="shared" si="42"/>
        <v>#DIV/0!</v>
      </c>
      <c r="BR33" s="178" t="e">
        <f t="shared" si="42"/>
        <v>#DIV/0!</v>
      </c>
      <c r="BS33" s="178" t="e">
        <f t="shared" si="42"/>
        <v>#DIV/0!</v>
      </c>
      <c r="BT33" s="178" t="e">
        <f t="shared" si="42"/>
        <v>#DIV/0!</v>
      </c>
      <c r="BU33" s="178" t="e">
        <f t="shared" si="42"/>
        <v>#DIV/0!</v>
      </c>
      <c r="BV33" s="168" t="e">
        <f t="shared" si="42"/>
        <v>#DIV/0!</v>
      </c>
      <c r="BW33" s="169" t="e">
        <f t="shared" si="43"/>
        <v>#DIV/0!</v>
      </c>
      <c r="BX33" s="179" t="e">
        <f t="shared" si="44"/>
        <v>#DIV/0!</v>
      </c>
      <c r="BY33" s="180" t="e">
        <f t="shared" si="45"/>
        <v>#DIV/0!</v>
      </c>
      <c r="BZ33" s="178" t="e">
        <f t="shared" si="45"/>
        <v>#DIV/0!</v>
      </c>
      <c r="CA33" s="178" t="e">
        <f t="shared" si="45"/>
        <v>#DIV/0!</v>
      </c>
      <c r="CB33" s="178" t="e">
        <f t="shared" si="45"/>
        <v>#DIV/0!</v>
      </c>
      <c r="CC33" s="178" t="e">
        <f t="shared" si="45"/>
        <v>#DIV/0!</v>
      </c>
      <c r="CD33" s="178" t="e">
        <f t="shared" si="45"/>
        <v>#DIV/0!</v>
      </c>
      <c r="CE33" s="178" t="e">
        <f t="shared" si="45"/>
        <v>#DIV/0!</v>
      </c>
      <c r="CF33" s="178" t="e">
        <f t="shared" si="45"/>
        <v>#DIV/0!</v>
      </c>
      <c r="CG33" s="178" t="e">
        <f t="shared" si="45"/>
        <v>#DIV/0!</v>
      </c>
      <c r="CH33" s="178" t="e">
        <f t="shared" si="45"/>
        <v>#DIV/0!</v>
      </c>
      <c r="CI33" s="178" t="e">
        <f t="shared" si="45"/>
        <v>#DIV/0!</v>
      </c>
      <c r="CJ33" s="168" t="e">
        <f t="shared" si="45"/>
        <v>#DIV/0!</v>
      </c>
      <c r="CK33" s="169" t="e">
        <f t="shared" si="46"/>
        <v>#DIV/0!</v>
      </c>
      <c r="CL33" s="179" t="e">
        <f t="shared" si="47"/>
        <v>#DIV/0!</v>
      </c>
      <c r="CM33" s="180" t="e">
        <f t="shared" si="48"/>
        <v>#DIV/0!</v>
      </c>
      <c r="CN33" s="178" t="e">
        <f t="shared" si="48"/>
        <v>#DIV/0!</v>
      </c>
      <c r="CO33" s="178" t="e">
        <f t="shared" si="48"/>
        <v>#DIV/0!</v>
      </c>
      <c r="CP33" s="178" t="e">
        <f t="shared" si="48"/>
        <v>#DIV/0!</v>
      </c>
      <c r="CQ33" s="178" t="e">
        <f t="shared" si="48"/>
        <v>#DIV/0!</v>
      </c>
      <c r="CR33" s="178" t="e">
        <f t="shared" si="48"/>
        <v>#DIV/0!</v>
      </c>
      <c r="CS33" s="178" t="e">
        <f t="shared" si="48"/>
        <v>#DIV/0!</v>
      </c>
      <c r="CT33" s="178" t="e">
        <f t="shared" si="48"/>
        <v>#DIV/0!</v>
      </c>
      <c r="CU33" s="178" t="e">
        <f t="shared" si="48"/>
        <v>#DIV/0!</v>
      </c>
      <c r="CV33" s="178" t="e">
        <f t="shared" si="48"/>
        <v>#DIV/0!</v>
      </c>
      <c r="CW33" s="178" t="e">
        <f t="shared" si="48"/>
        <v>#DIV/0!</v>
      </c>
      <c r="CX33" s="168" t="e">
        <f t="shared" si="48"/>
        <v>#DIV/0!</v>
      </c>
      <c r="CY33" s="169" t="e">
        <f t="shared" si="49"/>
        <v>#DIV/0!</v>
      </c>
      <c r="CZ33" s="179" t="e">
        <f t="shared" si="50"/>
        <v>#DIV/0!</v>
      </c>
      <c r="DA33" s="180" t="e">
        <f t="shared" si="51"/>
        <v>#DIV/0!</v>
      </c>
      <c r="DB33" s="178" t="e">
        <f t="shared" si="51"/>
        <v>#DIV/0!</v>
      </c>
      <c r="DC33" s="178" t="e">
        <f t="shared" si="51"/>
        <v>#DIV/0!</v>
      </c>
      <c r="DD33" s="178" t="e">
        <f t="shared" si="51"/>
        <v>#DIV/0!</v>
      </c>
      <c r="DE33" s="178" t="e">
        <f t="shared" si="51"/>
        <v>#DIV/0!</v>
      </c>
      <c r="DF33" s="178" t="e">
        <f t="shared" si="51"/>
        <v>#DIV/0!</v>
      </c>
      <c r="DG33" s="178" t="e">
        <f t="shared" si="51"/>
        <v>#DIV/0!</v>
      </c>
      <c r="DH33" s="178" t="e">
        <f t="shared" si="51"/>
        <v>#DIV/0!</v>
      </c>
      <c r="DI33" s="178" t="e">
        <f t="shared" si="51"/>
        <v>#DIV/0!</v>
      </c>
      <c r="DJ33" s="178" t="e">
        <f t="shared" si="51"/>
        <v>#DIV/0!</v>
      </c>
      <c r="DK33" s="178" t="e">
        <f t="shared" si="51"/>
        <v>#DIV/0!</v>
      </c>
      <c r="DL33" s="168" t="e">
        <f t="shared" si="51"/>
        <v>#DIV/0!</v>
      </c>
      <c r="DM33" s="169" t="e">
        <f t="shared" si="52"/>
        <v>#DIV/0!</v>
      </c>
      <c r="DN33" s="171" t="e">
        <f t="shared" si="53"/>
        <v>#DIV/0!</v>
      </c>
      <c r="DO33" s="180" t="e">
        <f t="shared" si="54"/>
        <v>#DIV/0!</v>
      </c>
      <c r="DP33" s="178" t="e">
        <f t="shared" si="54"/>
        <v>#DIV/0!</v>
      </c>
      <c r="DQ33" s="178" t="e">
        <f t="shared" si="54"/>
        <v>#DIV/0!</v>
      </c>
      <c r="DR33" s="178" t="e">
        <f t="shared" si="54"/>
        <v>#DIV/0!</v>
      </c>
      <c r="DS33" s="178" t="e">
        <f t="shared" si="54"/>
        <v>#DIV/0!</v>
      </c>
      <c r="DT33" s="178" t="e">
        <f t="shared" si="54"/>
        <v>#DIV/0!</v>
      </c>
      <c r="DU33" s="178" t="e">
        <f t="shared" si="54"/>
        <v>#DIV/0!</v>
      </c>
      <c r="DV33" s="178" t="e">
        <f t="shared" si="54"/>
        <v>#DIV/0!</v>
      </c>
      <c r="DW33" s="178" t="e">
        <f t="shared" si="54"/>
        <v>#DIV/0!</v>
      </c>
      <c r="DX33" s="178" t="e">
        <f t="shared" si="54"/>
        <v>#DIV/0!</v>
      </c>
      <c r="DY33" s="178" t="e">
        <f t="shared" si="54"/>
        <v>#DIV/0!</v>
      </c>
      <c r="DZ33" s="168" t="e">
        <f t="shared" si="54"/>
        <v>#DIV/0!</v>
      </c>
      <c r="EA33" s="169" t="e">
        <f t="shared" si="55"/>
        <v>#DIV/0!</v>
      </c>
      <c r="EB33" s="171" t="e">
        <f t="shared" si="56"/>
        <v>#DIV/0!</v>
      </c>
    </row>
    <row r="34" spans="1:132" s="177" customFormat="1" ht="15.75">
      <c r="A34" s="163">
        <v>43831</v>
      </c>
      <c r="B34" s="403" t="s">
        <v>88</v>
      </c>
      <c r="C34" s="406" t="s">
        <v>276</v>
      </c>
      <c r="D34" s="405">
        <v>10000</v>
      </c>
      <c r="E34" s="167"/>
      <c r="F34" s="168" t="e">
        <f t="shared" si="20"/>
        <v>#DIV/0!</v>
      </c>
      <c r="G34" s="169" t="e">
        <f t="shared" si="30"/>
        <v>#DIV/0!</v>
      </c>
      <c r="H34" s="178" t="e">
        <f t="shared" si="30"/>
        <v>#DIV/0!</v>
      </c>
      <c r="I34" s="178" t="e">
        <f t="shared" si="30"/>
        <v>#DIV/0!</v>
      </c>
      <c r="J34" s="178" t="e">
        <f t="shared" si="30"/>
        <v>#DIV/0!</v>
      </c>
      <c r="K34" s="178" t="e">
        <f t="shared" si="30"/>
        <v>#DIV/0!</v>
      </c>
      <c r="L34" s="178" t="e">
        <f t="shared" si="30"/>
        <v>#DIV/0!</v>
      </c>
      <c r="M34" s="178" t="e">
        <f t="shared" si="30"/>
        <v>#DIV/0!</v>
      </c>
      <c r="N34" s="178" t="e">
        <f t="shared" si="30"/>
        <v>#DIV/0!</v>
      </c>
      <c r="O34" s="178" t="e">
        <f t="shared" si="30"/>
        <v>#DIV/0!</v>
      </c>
      <c r="P34" s="178" t="e">
        <f t="shared" si="30"/>
        <v>#DIV/0!</v>
      </c>
      <c r="Q34" s="178" t="e">
        <f t="shared" si="30"/>
        <v>#DIV/0!</v>
      </c>
      <c r="R34" s="179" t="e">
        <f t="shared" si="30"/>
        <v>#DIV/0!</v>
      </c>
      <c r="S34" s="169" t="e">
        <f t="shared" si="31"/>
        <v>#DIV/0!</v>
      </c>
      <c r="T34" s="179" t="e">
        <f t="shared" si="32"/>
        <v>#DIV/0!</v>
      </c>
      <c r="U34" s="180" t="e">
        <f t="shared" si="33"/>
        <v>#DIV/0!</v>
      </c>
      <c r="V34" s="178" t="e">
        <f t="shared" si="33"/>
        <v>#DIV/0!</v>
      </c>
      <c r="W34" s="178" t="e">
        <f t="shared" si="33"/>
        <v>#DIV/0!</v>
      </c>
      <c r="X34" s="178" t="e">
        <f t="shared" si="33"/>
        <v>#DIV/0!</v>
      </c>
      <c r="Y34" s="178" t="e">
        <f t="shared" si="33"/>
        <v>#DIV/0!</v>
      </c>
      <c r="Z34" s="178" t="e">
        <f t="shared" si="33"/>
        <v>#DIV/0!</v>
      </c>
      <c r="AA34" s="178" t="e">
        <f t="shared" si="33"/>
        <v>#DIV/0!</v>
      </c>
      <c r="AB34" s="178" t="e">
        <f t="shared" si="33"/>
        <v>#DIV/0!</v>
      </c>
      <c r="AC34" s="178" t="e">
        <f t="shared" si="33"/>
        <v>#DIV/0!</v>
      </c>
      <c r="AD34" s="178" t="e">
        <f t="shared" si="33"/>
        <v>#DIV/0!</v>
      </c>
      <c r="AE34" s="178" t="e">
        <f t="shared" si="33"/>
        <v>#DIV/0!</v>
      </c>
      <c r="AF34" s="168" t="e">
        <f t="shared" si="33"/>
        <v>#DIV/0!</v>
      </c>
      <c r="AG34" s="169" t="e">
        <f t="shared" si="34"/>
        <v>#DIV/0!</v>
      </c>
      <c r="AH34" s="179" t="e">
        <f t="shared" si="35"/>
        <v>#DIV/0!</v>
      </c>
      <c r="AI34" s="180" t="e">
        <f t="shared" si="36"/>
        <v>#DIV/0!</v>
      </c>
      <c r="AJ34" s="178" t="e">
        <f t="shared" si="36"/>
        <v>#DIV/0!</v>
      </c>
      <c r="AK34" s="178" t="e">
        <f t="shared" si="36"/>
        <v>#DIV/0!</v>
      </c>
      <c r="AL34" s="178" t="e">
        <f t="shared" si="36"/>
        <v>#DIV/0!</v>
      </c>
      <c r="AM34" s="178" t="e">
        <f t="shared" si="36"/>
        <v>#DIV/0!</v>
      </c>
      <c r="AN34" s="178" t="e">
        <f t="shared" si="36"/>
        <v>#DIV/0!</v>
      </c>
      <c r="AO34" s="178" t="e">
        <f t="shared" si="36"/>
        <v>#DIV/0!</v>
      </c>
      <c r="AP34" s="178" t="e">
        <f t="shared" si="36"/>
        <v>#DIV/0!</v>
      </c>
      <c r="AQ34" s="178" t="e">
        <f t="shared" si="36"/>
        <v>#DIV/0!</v>
      </c>
      <c r="AR34" s="178" t="e">
        <f t="shared" si="36"/>
        <v>#DIV/0!</v>
      </c>
      <c r="AS34" s="178" t="e">
        <f t="shared" si="36"/>
        <v>#DIV/0!</v>
      </c>
      <c r="AT34" s="168" t="e">
        <f t="shared" si="36"/>
        <v>#DIV/0!</v>
      </c>
      <c r="AU34" s="169" t="e">
        <f t="shared" si="37"/>
        <v>#DIV/0!</v>
      </c>
      <c r="AV34" s="179" t="e">
        <f t="shared" si="38"/>
        <v>#DIV/0!</v>
      </c>
      <c r="AW34" s="180" t="e">
        <f t="shared" si="39"/>
        <v>#DIV/0!</v>
      </c>
      <c r="AX34" s="178" t="e">
        <f t="shared" si="39"/>
        <v>#DIV/0!</v>
      </c>
      <c r="AY34" s="178" t="e">
        <f t="shared" si="39"/>
        <v>#DIV/0!</v>
      </c>
      <c r="AZ34" s="178" t="e">
        <f t="shared" si="39"/>
        <v>#DIV/0!</v>
      </c>
      <c r="BA34" s="178" t="e">
        <f t="shared" si="39"/>
        <v>#DIV/0!</v>
      </c>
      <c r="BB34" s="178" t="e">
        <f t="shared" si="39"/>
        <v>#DIV/0!</v>
      </c>
      <c r="BC34" s="178" t="e">
        <f t="shared" si="39"/>
        <v>#DIV/0!</v>
      </c>
      <c r="BD34" s="178" t="e">
        <f t="shared" si="39"/>
        <v>#DIV/0!</v>
      </c>
      <c r="BE34" s="178" t="e">
        <f t="shared" si="39"/>
        <v>#DIV/0!</v>
      </c>
      <c r="BF34" s="178" t="e">
        <f t="shared" si="39"/>
        <v>#DIV/0!</v>
      </c>
      <c r="BG34" s="178" t="e">
        <f t="shared" si="39"/>
        <v>#DIV/0!</v>
      </c>
      <c r="BH34" s="168" t="e">
        <f t="shared" si="39"/>
        <v>#DIV/0!</v>
      </c>
      <c r="BI34" s="169" t="e">
        <f t="shared" si="40"/>
        <v>#DIV/0!</v>
      </c>
      <c r="BJ34" s="179" t="e">
        <f t="shared" si="41"/>
        <v>#DIV/0!</v>
      </c>
      <c r="BK34" s="180" t="e">
        <f t="shared" si="42"/>
        <v>#DIV/0!</v>
      </c>
      <c r="BL34" s="178" t="e">
        <f t="shared" si="42"/>
        <v>#DIV/0!</v>
      </c>
      <c r="BM34" s="178" t="e">
        <f t="shared" si="42"/>
        <v>#DIV/0!</v>
      </c>
      <c r="BN34" s="178" t="e">
        <f t="shared" si="42"/>
        <v>#DIV/0!</v>
      </c>
      <c r="BO34" s="178" t="e">
        <f t="shared" si="42"/>
        <v>#DIV/0!</v>
      </c>
      <c r="BP34" s="178" t="e">
        <f t="shared" si="42"/>
        <v>#DIV/0!</v>
      </c>
      <c r="BQ34" s="178" t="e">
        <f t="shared" si="42"/>
        <v>#DIV/0!</v>
      </c>
      <c r="BR34" s="178" t="e">
        <f t="shared" si="42"/>
        <v>#DIV/0!</v>
      </c>
      <c r="BS34" s="178" t="e">
        <f t="shared" si="42"/>
        <v>#DIV/0!</v>
      </c>
      <c r="BT34" s="178" t="e">
        <f t="shared" si="42"/>
        <v>#DIV/0!</v>
      </c>
      <c r="BU34" s="178" t="e">
        <f t="shared" si="42"/>
        <v>#DIV/0!</v>
      </c>
      <c r="BV34" s="168" t="e">
        <f t="shared" si="42"/>
        <v>#DIV/0!</v>
      </c>
      <c r="BW34" s="169" t="e">
        <f t="shared" si="43"/>
        <v>#DIV/0!</v>
      </c>
      <c r="BX34" s="179" t="e">
        <f t="shared" si="44"/>
        <v>#DIV/0!</v>
      </c>
      <c r="BY34" s="180" t="e">
        <f t="shared" si="45"/>
        <v>#DIV/0!</v>
      </c>
      <c r="BZ34" s="178" t="e">
        <f t="shared" si="45"/>
        <v>#DIV/0!</v>
      </c>
      <c r="CA34" s="178" t="e">
        <f t="shared" si="45"/>
        <v>#DIV/0!</v>
      </c>
      <c r="CB34" s="178" t="e">
        <f t="shared" si="45"/>
        <v>#DIV/0!</v>
      </c>
      <c r="CC34" s="178" t="e">
        <f t="shared" si="45"/>
        <v>#DIV/0!</v>
      </c>
      <c r="CD34" s="178" t="e">
        <f t="shared" si="45"/>
        <v>#DIV/0!</v>
      </c>
      <c r="CE34" s="178" t="e">
        <f t="shared" si="45"/>
        <v>#DIV/0!</v>
      </c>
      <c r="CF34" s="178" t="e">
        <f t="shared" si="45"/>
        <v>#DIV/0!</v>
      </c>
      <c r="CG34" s="178" t="e">
        <f t="shared" si="45"/>
        <v>#DIV/0!</v>
      </c>
      <c r="CH34" s="178" t="e">
        <f t="shared" si="45"/>
        <v>#DIV/0!</v>
      </c>
      <c r="CI34" s="178" t="e">
        <f t="shared" si="45"/>
        <v>#DIV/0!</v>
      </c>
      <c r="CJ34" s="168" t="e">
        <f t="shared" si="45"/>
        <v>#DIV/0!</v>
      </c>
      <c r="CK34" s="169" t="e">
        <f t="shared" si="46"/>
        <v>#DIV/0!</v>
      </c>
      <c r="CL34" s="179" t="e">
        <f t="shared" si="47"/>
        <v>#DIV/0!</v>
      </c>
      <c r="CM34" s="180" t="e">
        <f t="shared" si="48"/>
        <v>#DIV/0!</v>
      </c>
      <c r="CN34" s="178" t="e">
        <f t="shared" si="48"/>
        <v>#DIV/0!</v>
      </c>
      <c r="CO34" s="178" t="e">
        <f t="shared" si="48"/>
        <v>#DIV/0!</v>
      </c>
      <c r="CP34" s="178" t="e">
        <f t="shared" si="48"/>
        <v>#DIV/0!</v>
      </c>
      <c r="CQ34" s="178" t="e">
        <f t="shared" si="48"/>
        <v>#DIV/0!</v>
      </c>
      <c r="CR34" s="178" t="e">
        <f t="shared" si="48"/>
        <v>#DIV/0!</v>
      </c>
      <c r="CS34" s="178" t="e">
        <f t="shared" si="48"/>
        <v>#DIV/0!</v>
      </c>
      <c r="CT34" s="178" t="e">
        <f t="shared" si="48"/>
        <v>#DIV/0!</v>
      </c>
      <c r="CU34" s="178" t="e">
        <f t="shared" si="48"/>
        <v>#DIV/0!</v>
      </c>
      <c r="CV34" s="178" t="e">
        <f t="shared" si="48"/>
        <v>#DIV/0!</v>
      </c>
      <c r="CW34" s="178" t="e">
        <f t="shared" si="48"/>
        <v>#DIV/0!</v>
      </c>
      <c r="CX34" s="168" t="e">
        <f t="shared" si="48"/>
        <v>#DIV/0!</v>
      </c>
      <c r="CY34" s="169" t="e">
        <f t="shared" si="49"/>
        <v>#DIV/0!</v>
      </c>
      <c r="CZ34" s="179" t="e">
        <f t="shared" si="50"/>
        <v>#DIV/0!</v>
      </c>
      <c r="DA34" s="180" t="e">
        <f t="shared" si="51"/>
        <v>#DIV/0!</v>
      </c>
      <c r="DB34" s="178" t="e">
        <f t="shared" si="51"/>
        <v>#DIV/0!</v>
      </c>
      <c r="DC34" s="178" t="e">
        <f t="shared" si="51"/>
        <v>#DIV/0!</v>
      </c>
      <c r="DD34" s="178" t="e">
        <f t="shared" si="51"/>
        <v>#DIV/0!</v>
      </c>
      <c r="DE34" s="178" t="e">
        <f t="shared" si="51"/>
        <v>#DIV/0!</v>
      </c>
      <c r="DF34" s="178" t="e">
        <f t="shared" si="51"/>
        <v>#DIV/0!</v>
      </c>
      <c r="DG34" s="178" t="e">
        <f t="shared" si="51"/>
        <v>#DIV/0!</v>
      </c>
      <c r="DH34" s="178" t="e">
        <f t="shared" si="51"/>
        <v>#DIV/0!</v>
      </c>
      <c r="DI34" s="178" t="e">
        <f t="shared" si="51"/>
        <v>#DIV/0!</v>
      </c>
      <c r="DJ34" s="178" t="e">
        <f t="shared" si="51"/>
        <v>#DIV/0!</v>
      </c>
      <c r="DK34" s="178" t="e">
        <f t="shared" si="51"/>
        <v>#DIV/0!</v>
      </c>
      <c r="DL34" s="168" t="e">
        <f t="shared" si="51"/>
        <v>#DIV/0!</v>
      </c>
      <c r="DM34" s="169" t="e">
        <f t="shared" si="52"/>
        <v>#DIV/0!</v>
      </c>
      <c r="DN34" s="171" t="e">
        <f t="shared" si="53"/>
        <v>#DIV/0!</v>
      </c>
      <c r="DO34" s="180" t="e">
        <f t="shared" si="54"/>
        <v>#DIV/0!</v>
      </c>
      <c r="DP34" s="178" t="e">
        <f t="shared" si="54"/>
        <v>#DIV/0!</v>
      </c>
      <c r="DQ34" s="178" t="e">
        <f t="shared" si="54"/>
        <v>#DIV/0!</v>
      </c>
      <c r="DR34" s="178" t="e">
        <f t="shared" si="54"/>
        <v>#DIV/0!</v>
      </c>
      <c r="DS34" s="178" t="e">
        <f t="shared" si="54"/>
        <v>#DIV/0!</v>
      </c>
      <c r="DT34" s="178" t="e">
        <f t="shared" si="54"/>
        <v>#DIV/0!</v>
      </c>
      <c r="DU34" s="178" t="e">
        <f t="shared" si="54"/>
        <v>#DIV/0!</v>
      </c>
      <c r="DV34" s="178" t="e">
        <f t="shared" si="54"/>
        <v>#DIV/0!</v>
      </c>
      <c r="DW34" s="178" t="e">
        <f t="shared" si="54"/>
        <v>#DIV/0!</v>
      </c>
      <c r="DX34" s="178" t="e">
        <f t="shared" si="54"/>
        <v>#DIV/0!</v>
      </c>
      <c r="DY34" s="178" t="e">
        <f t="shared" si="54"/>
        <v>#DIV/0!</v>
      </c>
      <c r="DZ34" s="168" t="e">
        <f t="shared" si="54"/>
        <v>#DIV/0!</v>
      </c>
      <c r="EA34" s="169" t="e">
        <f t="shared" si="55"/>
        <v>#DIV/0!</v>
      </c>
      <c r="EB34" s="171" t="e">
        <f t="shared" si="56"/>
        <v>#DIV/0!</v>
      </c>
    </row>
    <row r="35" spans="1:132" s="177" customFormat="1" ht="15.75">
      <c r="A35" s="163">
        <v>43831</v>
      </c>
      <c r="B35" s="403" t="s">
        <v>90</v>
      </c>
      <c r="C35" s="406" t="s">
        <v>277</v>
      </c>
      <c r="D35" s="405">
        <v>800000</v>
      </c>
      <c r="E35" s="167"/>
      <c r="F35" s="168" t="e">
        <f t="shared" si="20"/>
        <v>#DIV/0!</v>
      </c>
      <c r="G35" s="169" t="e">
        <f t="shared" si="30"/>
        <v>#DIV/0!</v>
      </c>
      <c r="H35" s="178" t="e">
        <f t="shared" si="30"/>
        <v>#DIV/0!</v>
      </c>
      <c r="I35" s="178" t="e">
        <f t="shared" si="30"/>
        <v>#DIV/0!</v>
      </c>
      <c r="J35" s="178" t="e">
        <f t="shared" si="30"/>
        <v>#DIV/0!</v>
      </c>
      <c r="K35" s="178" t="e">
        <f t="shared" si="30"/>
        <v>#DIV/0!</v>
      </c>
      <c r="L35" s="178" t="e">
        <f t="shared" si="30"/>
        <v>#DIV/0!</v>
      </c>
      <c r="M35" s="178" t="e">
        <f t="shared" si="30"/>
        <v>#DIV/0!</v>
      </c>
      <c r="N35" s="178" t="e">
        <f t="shared" si="30"/>
        <v>#DIV/0!</v>
      </c>
      <c r="O35" s="178" t="e">
        <f t="shared" si="30"/>
        <v>#DIV/0!</v>
      </c>
      <c r="P35" s="178" t="e">
        <f t="shared" si="30"/>
        <v>#DIV/0!</v>
      </c>
      <c r="Q35" s="178" t="e">
        <f t="shared" si="30"/>
        <v>#DIV/0!</v>
      </c>
      <c r="R35" s="179" t="e">
        <f t="shared" si="30"/>
        <v>#DIV/0!</v>
      </c>
      <c r="S35" s="169" t="e">
        <f t="shared" si="31"/>
        <v>#DIV/0!</v>
      </c>
      <c r="T35" s="179" t="e">
        <f t="shared" si="32"/>
        <v>#DIV/0!</v>
      </c>
      <c r="U35" s="180" t="e">
        <f t="shared" si="33"/>
        <v>#DIV/0!</v>
      </c>
      <c r="V35" s="178" t="e">
        <f t="shared" si="33"/>
        <v>#DIV/0!</v>
      </c>
      <c r="W35" s="178" t="e">
        <f t="shared" si="33"/>
        <v>#DIV/0!</v>
      </c>
      <c r="X35" s="178" t="e">
        <f t="shared" si="33"/>
        <v>#DIV/0!</v>
      </c>
      <c r="Y35" s="178" t="e">
        <f t="shared" si="33"/>
        <v>#DIV/0!</v>
      </c>
      <c r="Z35" s="178" t="e">
        <f t="shared" si="33"/>
        <v>#DIV/0!</v>
      </c>
      <c r="AA35" s="178" t="e">
        <f t="shared" si="33"/>
        <v>#DIV/0!</v>
      </c>
      <c r="AB35" s="178" t="e">
        <f t="shared" si="33"/>
        <v>#DIV/0!</v>
      </c>
      <c r="AC35" s="178" t="e">
        <f t="shared" si="33"/>
        <v>#DIV/0!</v>
      </c>
      <c r="AD35" s="178" t="e">
        <f t="shared" si="33"/>
        <v>#DIV/0!</v>
      </c>
      <c r="AE35" s="178" t="e">
        <f t="shared" si="33"/>
        <v>#DIV/0!</v>
      </c>
      <c r="AF35" s="168" t="e">
        <f t="shared" si="33"/>
        <v>#DIV/0!</v>
      </c>
      <c r="AG35" s="169" t="e">
        <f t="shared" si="34"/>
        <v>#DIV/0!</v>
      </c>
      <c r="AH35" s="179" t="e">
        <f t="shared" si="35"/>
        <v>#DIV/0!</v>
      </c>
      <c r="AI35" s="180" t="e">
        <f t="shared" si="36"/>
        <v>#DIV/0!</v>
      </c>
      <c r="AJ35" s="178" t="e">
        <f t="shared" si="36"/>
        <v>#DIV/0!</v>
      </c>
      <c r="AK35" s="178" t="e">
        <f t="shared" si="36"/>
        <v>#DIV/0!</v>
      </c>
      <c r="AL35" s="178" t="e">
        <f t="shared" si="36"/>
        <v>#DIV/0!</v>
      </c>
      <c r="AM35" s="178" t="e">
        <f t="shared" si="36"/>
        <v>#DIV/0!</v>
      </c>
      <c r="AN35" s="178" t="e">
        <f t="shared" si="36"/>
        <v>#DIV/0!</v>
      </c>
      <c r="AO35" s="178" t="e">
        <f t="shared" si="36"/>
        <v>#DIV/0!</v>
      </c>
      <c r="AP35" s="178" t="e">
        <f t="shared" si="36"/>
        <v>#DIV/0!</v>
      </c>
      <c r="AQ35" s="178" t="e">
        <f t="shared" si="36"/>
        <v>#DIV/0!</v>
      </c>
      <c r="AR35" s="178" t="e">
        <f t="shared" si="36"/>
        <v>#DIV/0!</v>
      </c>
      <c r="AS35" s="178" t="e">
        <f t="shared" si="36"/>
        <v>#DIV/0!</v>
      </c>
      <c r="AT35" s="168" t="e">
        <f t="shared" si="36"/>
        <v>#DIV/0!</v>
      </c>
      <c r="AU35" s="169" t="e">
        <f t="shared" si="37"/>
        <v>#DIV/0!</v>
      </c>
      <c r="AV35" s="179" t="e">
        <f t="shared" si="38"/>
        <v>#DIV/0!</v>
      </c>
      <c r="AW35" s="180" t="e">
        <f t="shared" si="39"/>
        <v>#DIV/0!</v>
      </c>
      <c r="AX35" s="178" t="e">
        <f t="shared" si="39"/>
        <v>#DIV/0!</v>
      </c>
      <c r="AY35" s="178" t="e">
        <f t="shared" si="39"/>
        <v>#DIV/0!</v>
      </c>
      <c r="AZ35" s="178" t="e">
        <f t="shared" si="39"/>
        <v>#DIV/0!</v>
      </c>
      <c r="BA35" s="178" t="e">
        <f t="shared" si="39"/>
        <v>#DIV/0!</v>
      </c>
      <c r="BB35" s="178" t="e">
        <f t="shared" si="39"/>
        <v>#DIV/0!</v>
      </c>
      <c r="BC35" s="178" t="e">
        <f t="shared" si="39"/>
        <v>#DIV/0!</v>
      </c>
      <c r="BD35" s="178" t="e">
        <f t="shared" si="39"/>
        <v>#DIV/0!</v>
      </c>
      <c r="BE35" s="178" t="e">
        <f t="shared" si="39"/>
        <v>#DIV/0!</v>
      </c>
      <c r="BF35" s="178" t="e">
        <f t="shared" si="39"/>
        <v>#DIV/0!</v>
      </c>
      <c r="BG35" s="178" t="e">
        <f t="shared" si="39"/>
        <v>#DIV/0!</v>
      </c>
      <c r="BH35" s="168" t="e">
        <f t="shared" si="39"/>
        <v>#DIV/0!</v>
      </c>
      <c r="BI35" s="169" t="e">
        <f t="shared" si="40"/>
        <v>#DIV/0!</v>
      </c>
      <c r="BJ35" s="179" t="e">
        <f t="shared" si="41"/>
        <v>#DIV/0!</v>
      </c>
      <c r="BK35" s="180" t="e">
        <f t="shared" si="42"/>
        <v>#DIV/0!</v>
      </c>
      <c r="BL35" s="178" t="e">
        <f t="shared" si="42"/>
        <v>#DIV/0!</v>
      </c>
      <c r="BM35" s="178" t="e">
        <f t="shared" si="42"/>
        <v>#DIV/0!</v>
      </c>
      <c r="BN35" s="178" t="e">
        <f t="shared" si="42"/>
        <v>#DIV/0!</v>
      </c>
      <c r="BO35" s="178" t="e">
        <f t="shared" si="42"/>
        <v>#DIV/0!</v>
      </c>
      <c r="BP35" s="178" t="e">
        <f t="shared" si="42"/>
        <v>#DIV/0!</v>
      </c>
      <c r="BQ35" s="178" t="e">
        <f t="shared" si="42"/>
        <v>#DIV/0!</v>
      </c>
      <c r="BR35" s="178" t="e">
        <f t="shared" si="42"/>
        <v>#DIV/0!</v>
      </c>
      <c r="BS35" s="178" t="e">
        <f t="shared" si="42"/>
        <v>#DIV/0!</v>
      </c>
      <c r="BT35" s="178" t="e">
        <f t="shared" si="42"/>
        <v>#DIV/0!</v>
      </c>
      <c r="BU35" s="178" t="e">
        <f t="shared" si="42"/>
        <v>#DIV/0!</v>
      </c>
      <c r="BV35" s="168" t="e">
        <f t="shared" si="42"/>
        <v>#DIV/0!</v>
      </c>
      <c r="BW35" s="169" t="e">
        <f t="shared" si="43"/>
        <v>#DIV/0!</v>
      </c>
      <c r="BX35" s="179" t="e">
        <f t="shared" si="44"/>
        <v>#DIV/0!</v>
      </c>
      <c r="BY35" s="180" t="e">
        <f t="shared" si="45"/>
        <v>#DIV/0!</v>
      </c>
      <c r="BZ35" s="178" t="e">
        <f t="shared" si="45"/>
        <v>#DIV/0!</v>
      </c>
      <c r="CA35" s="178" t="e">
        <f t="shared" si="45"/>
        <v>#DIV/0!</v>
      </c>
      <c r="CB35" s="178" t="e">
        <f t="shared" si="45"/>
        <v>#DIV/0!</v>
      </c>
      <c r="CC35" s="178" t="e">
        <f t="shared" si="45"/>
        <v>#DIV/0!</v>
      </c>
      <c r="CD35" s="178" t="e">
        <f t="shared" si="45"/>
        <v>#DIV/0!</v>
      </c>
      <c r="CE35" s="178" t="e">
        <f t="shared" si="45"/>
        <v>#DIV/0!</v>
      </c>
      <c r="CF35" s="178" t="e">
        <f t="shared" si="45"/>
        <v>#DIV/0!</v>
      </c>
      <c r="CG35" s="178" t="e">
        <f t="shared" si="45"/>
        <v>#DIV/0!</v>
      </c>
      <c r="CH35" s="178" t="e">
        <f t="shared" si="45"/>
        <v>#DIV/0!</v>
      </c>
      <c r="CI35" s="178" t="e">
        <f t="shared" si="45"/>
        <v>#DIV/0!</v>
      </c>
      <c r="CJ35" s="168" t="e">
        <f t="shared" si="45"/>
        <v>#DIV/0!</v>
      </c>
      <c r="CK35" s="169" t="e">
        <f t="shared" si="46"/>
        <v>#DIV/0!</v>
      </c>
      <c r="CL35" s="179" t="e">
        <f t="shared" si="47"/>
        <v>#DIV/0!</v>
      </c>
      <c r="CM35" s="180" t="e">
        <f t="shared" si="48"/>
        <v>#DIV/0!</v>
      </c>
      <c r="CN35" s="178" t="e">
        <f t="shared" si="48"/>
        <v>#DIV/0!</v>
      </c>
      <c r="CO35" s="178" t="e">
        <f t="shared" si="48"/>
        <v>#DIV/0!</v>
      </c>
      <c r="CP35" s="178" t="e">
        <f t="shared" si="48"/>
        <v>#DIV/0!</v>
      </c>
      <c r="CQ35" s="178" t="e">
        <f t="shared" si="48"/>
        <v>#DIV/0!</v>
      </c>
      <c r="CR35" s="178" t="e">
        <f t="shared" si="48"/>
        <v>#DIV/0!</v>
      </c>
      <c r="CS35" s="178" t="e">
        <f t="shared" si="48"/>
        <v>#DIV/0!</v>
      </c>
      <c r="CT35" s="178" t="e">
        <f t="shared" si="48"/>
        <v>#DIV/0!</v>
      </c>
      <c r="CU35" s="178" t="e">
        <f t="shared" si="48"/>
        <v>#DIV/0!</v>
      </c>
      <c r="CV35" s="178" t="e">
        <f t="shared" si="48"/>
        <v>#DIV/0!</v>
      </c>
      <c r="CW35" s="178" t="e">
        <f t="shared" si="48"/>
        <v>#DIV/0!</v>
      </c>
      <c r="CX35" s="168" t="e">
        <f t="shared" si="48"/>
        <v>#DIV/0!</v>
      </c>
      <c r="CY35" s="169" t="e">
        <f t="shared" si="49"/>
        <v>#DIV/0!</v>
      </c>
      <c r="CZ35" s="179" t="e">
        <f t="shared" si="50"/>
        <v>#DIV/0!</v>
      </c>
      <c r="DA35" s="180" t="e">
        <f t="shared" si="51"/>
        <v>#DIV/0!</v>
      </c>
      <c r="DB35" s="178" t="e">
        <f t="shared" si="51"/>
        <v>#DIV/0!</v>
      </c>
      <c r="DC35" s="178" t="e">
        <f t="shared" si="51"/>
        <v>#DIV/0!</v>
      </c>
      <c r="DD35" s="178" t="e">
        <f t="shared" si="51"/>
        <v>#DIV/0!</v>
      </c>
      <c r="DE35" s="178" t="e">
        <f t="shared" si="51"/>
        <v>#DIV/0!</v>
      </c>
      <c r="DF35" s="178" t="e">
        <f t="shared" si="51"/>
        <v>#DIV/0!</v>
      </c>
      <c r="DG35" s="178" t="e">
        <f t="shared" si="51"/>
        <v>#DIV/0!</v>
      </c>
      <c r="DH35" s="178" t="e">
        <f t="shared" si="51"/>
        <v>#DIV/0!</v>
      </c>
      <c r="DI35" s="178" t="e">
        <f t="shared" si="51"/>
        <v>#DIV/0!</v>
      </c>
      <c r="DJ35" s="178" t="e">
        <f t="shared" si="51"/>
        <v>#DIV/0!</v>
      </c>
      <c r="DK35" s="178" t="e">
        <f t="shared" si="51"/>
        <v>#DIV/0!</v>
      </c>
      <c r="DL35" s="168" t="e">
        <f t="shared" si="51"/>
        <v>#DIV/0!</v>
      </c>
      <c r="DM35" s="169" t="e">
        <f t="shared" si="52"/>
        <v>#DIV/0!</v>
      </c>
      <c r="DN35" s="171" t="e">
        <f t="shared" si="53"/>
        <v>#DIV/0!</v>
      </c>
      <c r="DO35" s="180" t="e">
        <f t="shared" si="54"/>
        <v>#DIV/0!</v>
      </c>
      <c r="DP35" s="178" t="e">
        <f t="shared" si="54"/>
        <v>#DIV/0!</v>
      </c>
      <c r="DQ35" s="178" t="e">
        <f t="shared" si="54"/>
        <v>#DIV/0!</v>
      </c>
      <c r="DR35" s="178" t="e">
        <f t="shared" si="54"/>
        <v>#DIV/0!</v>
      </c>
      <c r="DS35" s="178" t="e">
        <f t="shared" si="54"/>
        <v>#DIV/0!</v>
      </c>
      <c r="DT35" s="178" t="e">
        <f t="shared" si="54"/>
        <v>#DIV/0!</v>
      </c>
      <c r="DU35" s="178" t="e">
        <f t="shared" si="54"/>
        <v>#DIV/0!</v>
      </c>
      <c r="DV35" s="178" t="e">
        <f t="shared" si="54"/>
        <v>#DIV/0!</v>
      </c>
      <c r="DW35" s="178" t="e">
        <f t="shared" si="54"/>
        <v>#DIV/0!</v>
      </c>
      <c r="DX35" s="178" t="e">
        <f t="shared" si="54"/>
        <v>#DIV/0!</v>
      </c>
      <c r="DY35" s="178" t="e">
        <f t="shared" si="54"/>
        <v>#DIV/0!</v>
      </c>
      <c r="DZ35" s="168" t="e">
        <f t="shared" si="54"/>
        <v>#DIV/0!</v>
      </c>
      <c r="EA35" s="169" t="e">
        <f t="shared" si="55"/>
        <v>#DIV/0!</v>
      </c>
      <c r="EB35" s="171" t="e">
        <f t="shared" si="56"/>
        <v>#DIV/0!</v>
      </c>
    </row>
    <row r="36" spans="1:132" s="177" customFormat="1" ht="15.75">
      <c r="A36" s="163">
        <v>43831</v>
      </c>
      <c r="B36" s="403" t="s">
        <v>88</v>
      </c>
      <c r="C36" s="406" t="s">
        <v>278</v>
      </c>
      <c r="D36" s="405">
        <v>15000</v>
      </c>
      <c r="E36" s="167"/>
      <c r="F36" s="168" t="e">
        <f t="shared" si="20"/>
        <v>#DIV/0!</v>
      </c>
      <c r="G36" s="169" t="e">
        <f t="shared" si="30"/>
        <v>#DIV/0!</v>
      </c>
      <c r="H36" s="178" t="e">
        <f t="shared" si="30"/>
        <v>#DIV/0!</v>
      </c>
      <c r="I36" s="178" t="e">
        <f t="shared" si="30"/>
        <v>#DIV/0!</v>
      </c>
      <c r="J36" s="178" t="e">
        <f t="shared" si="30"/>
        <v>#DIV/0!</v>
      </c>
      <c r="K36" s="178" t="e">
        <f t="shared" si="30"/>
        <v>#DIV/0!</v>
      </c>
      <c r="L36" s="178" t="e">
        <f t="shared" si="30"/>
        <v>#DIV/0!</v>
      </c>
      <c r="M36" s="178" t="e">
        <f t="shared" si="30"/>
        <v>#DIV/0!</v>
      </c>
      <c r="N36" s="178" t="e">
        <f t="shared" si="30"/>
        <v>#DIV/0!</v>
      </c>
      <c r="O36" s="178" t="e">
        <f t="shared" si="30"/>
        <v>#DIV/0!</v>
      </c>
      <c r="P36" s="178" t="e">
        <f t="shared" si="30"/>
        <v>#DIV/0!</v>
      </c>
      <c r="Q36" s="178" t="e">
        <f t="shared" si="30"/>
        <v>#DIV/0!</v>
      </c>
      <c r="R36" s="179" t="e">
        <f t="shared" si="30"/>
        <v>#DIV/0!</v>
      </c>
      <c r="S36" s="169" t="e">
        <f t="shared" si="31"/>
        <v>#DIV/0!</v>
      </c>
      <c r="T36" s="179" t="e">
        <f t="shared" si="32"/>
        <v>#DIV/0!</v>
      </c>
      <c r="U36" s="180" t="e">
        <f t="shared" si="33"/>
        <v>#DIV/0!</v>
      </c>
      <c r="V36" s="178" t="e">
        <f t="shared" si="33"/>
        <v>#DIV/0!</v>
      </c>
      <c r="W36" s="178" t="e">
        <f t="shared" si="33"/>
        <v>#DIV/0!</v>
      </c>
      <c r="X36" s="178" t="e">
        <f t="shared" si="33"/>
        <v>#DIV/0!</v>
      </c>
      <c r="Y36" s="178" t="e">
        <f t="shared" si="33"/>
        <v>#DIV/0!</v>
      </c>
      <c r="Z36" s="178" t="e">
        <f t="shared" si="33"/>
        <v>#DIV/0!</v>
      </c>
      <c r="AA36" s="178" t="e">
        <f t="shared" si="33"/>
        <v>#DIV/0!</v>
      </c>
      <c r="AB36" s="178" t="e">
        <f t="shared" si="33"/>
        <v>#DIV/0!</v>
      </c>
      <c r="AC36" s="178" t="e">
        <f t="shared" si="33"/>
        <v>#DIV/0!</v>
      </c>
      <c r="AD36" s="178" t="e">
        <f t="shared" si="33"/>
        <v>#DIV/0!</v>
      </c>
      <c r="AE36" s="178" t="e">
        <f t="shared" si="33"/>
        <v>#DIV/0!</v>
      </c>
      <c r="AF36" s="168" t="e">
        <f t="shared" si="33"/>
        <v>#DIV/0!</v>
      </c>
      <c r="AG36" s="169" t="e">
        <f t="shared" si="34"/>
        <v>#DIV/0!</v>
      </c>
      <c r="AH36" s="179" t="e">
        <f t="shared" si="35"/>
        <v>#DIV/0!</v>
      </c>
      <c r="AI36" s="180" t="e">
        <f t="shared" si="36"/>
        <v>#DIV/0!</v>
      </c>
      <c r="AJ36" s="178" t="e">
        <f t="shared" si="36"/>
        <v>#DIV/0!</v>
      </c>
      <c r="AK36" s="178" t="e">
        <f t="shared" si="36"/>
        <v>#DIV/0!</v>
      </c>
      <c r="AL36" s="178" t="e">
        <f t="shared" si="36"/>
        <v>#DIV/0!</v>
      </c>
      <c r="AM36" s="178" t="e">
        <f t="shared" si="36"/>
        <v>#DIV/0!</v>
      </c>
      <c r="AN36" s="178" t="e">
        <f t="shared" si="36"/>
        <v>#DIV/0!</v>
      </c>
      <c r="AO36" s="178" t="e">
        <f t="shared" si="36"/>
        <v>#DIV/0!</v>
      </c>
      <c r="AP36" s="178" t="e">
        <f t="shared" si="36"/>
        <v>#DIV/0!</v>
      </c>
      <c r="AQ36" s="178" t="e">
        <f t="shared" si="36"/>
        <v>#DIV/0!</v>
      </c>
      <c r="AR36" s="178" t="e">
        <f t="shared" si="36"/>
        <v>#DIV/0!</v>
      </c>
      <c r="AS36" s="178" t="e">
        <f t="shared" si="36"/>
        <v>#DIV/0!</v>
      </c>
      <c r="AT36" s="168" t="e">
        <f t="shared" si="36"/>
        <v>#DIV/0!</v>
      </c>
      <c r="AU36" s="169" t="e">
        <f t="shared" si="37"/>
        <v>#DIV/0!</v>
      </c>
      <c r="AV36" s="179" t="e">
        <f t="shared" si="38"/>
        <v>#DIV/0!</v>
      </c>
      <c r="AW36" s="180" t="e">
        <f t="shared" si="39"/>
        <v>#DIV/0!</v>
      </c>
      <c r="AX36" s="178" t="e">
        <f t="shared" si="39"/>
        <v>#DIV/0!</v>
      </c>
      <c r="AY36" s="178" t="e">
        <f t="shared" si="39"/>
        <v>#DIV/0!</v>
      </c>
      <c r="AZ36" s="178" t="e">
        <f t="shared" si="39"/>
        <v>#DIV/0!</v>
      </c>
      <c r="BA36" s="178" t="e">
        <f t="shared" si="39"/>
        <v>#DIV/0!</v>
      </c>
      <c r="BB36" s="178" t="e">
        <f t="shared" si="39"/>
        <v>#DIV/0!</v>
      </c>
      <c r="BC36" s="178" t="e">
        <f t="shared" si="39"/>
        <v>#DIV/0!</v>
      </c>
      <c r="BD36" s="178" t="e">
        <f t="shared" si="39"/>
        <v>#DIV/0!</v>
      </c>
      <c r="BE36" s="178" t="e">
        <f t="shared" si="39"/>
        <v>#DIV/0!</v>
      </c>
      <c r="BF36" s="178" t="e">
        <f t="shared" si="39"/>
        <v>#DIV/0!</v>
      </c>
      <c r="BG36" s="178" t="e">
        <f t="shared" si="39"/>
        <v>#DIV/0!</v>
      </c>
      <c r="BH36" s="168" t="e">
        <f t="shared" si="39"/>
        <v>#DIV/0!</v>
      </c>
      <c r="BI36" s="169" t="e">
        <f t="shared" si="40"/>
        <v>#DIV/0!</v>
      </c>
      <c r="BJ36" s="179" t="e">
        <f t="shared" si="41"/>
        <v>#DIV/0!</v>
      </c>
      <c r="BK36" s="180" t="e">
        <f t="shared" si="42"/>
        <v>#DIV/0!</v>
      </c>
      <c r="BL36" s="178" t="e">
        <f t="shared" si="42"/>
        <v>#DIV/0!</v>
      </c>
      <c r="BM36" s="178" t="e">
        <f t="shared" si="42"/>
        <v>#DIV/0!</v>
      </c>
      <c r="BN36" s="178" t="e">
        <f t="shared" si="42"/>
        <v>#DIV/0!</v>
      </c>
      <c r="BO36" s="178" t="e">
        <f t="shared" si="42"/>
        <v>#DIV/0!</v>
      </c>
      <c r="BP36" s="178" t="e">
        <f t="shared" si="42"/>
        <v>#DIV/0!</v>
      </c>
      <c r="BQ36" s="178" t="e">
        <f t="shared" si="42"/>
        <v>#DIV/0!</v>
      </c>
      <c r="BR36" s="178" t="e">
        <f t="shared" si="42"/>
        <v>#DIV/0!</v>
      </c>
      <c r="BS36" s="178" t="e">
        <f t="shared" si="42"/>
        <v>#DIV/0!</v>
      </c>
      <c r="BT36" s="178" t="e">
        <f t="shared" si="42"/>
        <v>#DIV/0!</v>
      </c>
      <c r="BU36" s="178" t="e">
        <f t="shared" si="42"/>
        <v>#DIV/0!</v>
      </c>
      <c r="BV36" s="168" t="e">
        <f t="shared" si="42"/>
        <v>#DIV/0!</v>
      </c>
      <c r="BW36" s="169" t="e">
        <f t="shared" si="43"/>
        <v>#DIV/0!</v>
      </c>
      <c r="BX36" s="179" t="e">
        <f t="shared" si="44"/>
        <v>#DIV/0!</v>
      </c>
      <c r="BY36" s="180" t="e">
        <f t="shared" si="45"/>
        <v>#DIV/0!</v>
      </c>
      <c r="BZ36" s="178" t="e">
        <f t="shared" si="45"/>
        <v>#DIV/0!</v>
      </c>
      <c r="CA36" s="178" t="e">
        <f t="shared" si="45"/>
        <v>#DIV/0!</v>
      </c>
      <c r="CB36" s="178" t="e">
        <f t="shared" si="45"/>
        <v>#DIV/0!</v>
      </c>
      <c r="CC36" s="178" t="e">
        <f t="shared" si="45"/>
        <v>#DIV/0!</v>
      </c>
      <c r="CD36" s="178" t="e">
        <f t="shared" si="45"/>
        <v>#DIV/0!</v>
      </c>
      <c r="CE36" s="178" t="e">
        <f t="shared" si="45"/>
        <v>#DIV/0!</v>
      </c>
      <c r="CF36" s="178" t="e">
        <f t="shared" si="45"/>
        <v>#DIV/0!</v>
      </c>
      <c r="CG36" s="178" t="e">
        <f t="shared" si="45"/>
        <v>#DIV/0!</v>
      </c>
      <c r="CH36" s="178" t="e">
        <f t="shared" si="45"/>
        <v>#DIV/0!</v>
      </c>
      <c r="CI36" s="178" t="e">
        <f t="shared" si="45"/>
        <v>#DIV/0!</v>
      </c>
      <c r="CJ36" s="168" t="e">
        <f t="shared" si="45"/>
        <v>#DIV/0!</v>
      </c>
      <c r="CK36" s="169" t="e">
        <f t="shared" si="46"/>
        <v>#DIV/0!</v>
      </c>
      <c r="CL36" s="179" t="e">
        <f t="shared" si="47"/>
        <v>#DIV/0!</v>
      </c>
      <c r="CM36" s="180" t="e">
        <f t="shared" si="48"/>
        <v>#DIV/0!</v>
      </c>
      <c r="CN36" s="178" t="e">
        <f t="shared" si="48"/>
        <v>#DIV/0!</v>
      </c>
      <c r="CO36" s="178" t="e">
        <f t="shared" si="48"/>
        <v>#DIV/0!</v>
      </c>
      <c r="CP36" s="178" t="e">
        <f t="shared" si="48"/>
        <v>#DIV/0!</v>
      </c>
      <c r="CQ36" s="178" t="e">
        <f t="shared" si="48"/>
        <v>#DIV/0!</v>
      </c>
      <c r="CR36" s="178" t="e">
        <f t="shared" si="48"/>
        <v>#DIV/0!</v>
      </c>
      <c r="CS36" s="178" t="e">
        <f t="shared" si="48"/>
        <v>#DIV/0!</v>
      </c>
      <c r="CT36" s="178" t="e">
        <f t="shared" si="48"/>
        <v>#DIV/0!</v>
      </c>
      <c r="CU36" s="178" t="e">
        <f t="shared" si="48"/>
        <v>#DIV/0!</v>
      </c>
      <c r="CV36" s="178" t="e">
        <f t="shared" si="48"/>
        <v>#DIV/0!</v>
      </c>
      <c r="CW36" s="178" t="e">
        <f t="shared" si="48"/>
        <v>#DIV/0!</v>
      </c>
      <c r="CX36" s="168" t="e">
        <f t="shared" si="48"/>
        <v>#DIV/0!</v>
      </c>
      <c r="CY36" s="169" t="e">
        <f t="shared" si="49"/>
        <v>#DIV/0!</v>
      </c>
      <c r="CZ36" s="179" t="e">
        <f t="shared" si="50"/>
        <v>#DIV/0!</v>
      </c>
      <c r="DA36" s="180" t="e">
        <f t="shared" si="51"/>
        <v>#DIV/0!</v>
      </c>
      <c r="DB36" s="178" t="e">
        <f t="shared" si="51"/>
        <v>#DIV/0!</v>
      </c>
      <c r="DC36" s="178" t="e">
        <f t="shared" si="51"/>
        <v>#DIV/0!</v>
      </c>
      <c r="DD36" s="178" t="e">
        <f t="shared" si="51"/>
        <v>#DIV/0!</v>
      </c>
      <c r="DE36" s="178" t="e">
        <f t="shared" si="51"/>
        <v>#DIV/0!</v>
      </c>
      <c r="DF36" s="178" t="e">
        <f t="shared" si="51"/>
        <v>#DIV/0!</v>
      </c>
      <c r="DG36" s="178" t="e">
        <f t="shared" si="51"/>
        <v>#DIV/0!</v>
      </c>
      <c r="DH36" s="178" t="e">
        <f t="shared" si="51"/>
        <v>#DIV/0!</v>
      </c>
      <c r="DI36" s="178" t="e">
        <f t="shared" si="51"/>
        <v>#DIV/0!</v>
      </c>
      <c r="DJ36" s="178" t="e">
        <f t="shared" si="51"/>
        <v>#DIV/0!</v>
      </c>
      <c r="DK36" s="178" t="e">
        <f t="shared" si="51"/>
        <v>#DIV/0!</v>
      </c>
      <c r="DL36" s="168" t="e">
        <f t="shared" si="51"/>
        <v>#DIV/0!</v>
      </c>
      <c r="DM36" s="169" t="e">
        <f t="shared" si="52"/>
        <v>#DIV/0!</v>
      </c>
      <c r="DN36" s="171" t="e">
        <f t="shared" si="53"/>
        <v>#DIV/0!</v>
      </c>
      <c r="DO36" s="180" t="e">
        <f t="shared" si="54"/>
        <v>#DIV/0!</v>
      </c>
      <c r="DP36" s="178" t="e">
        <f t="shared" si="54"/>
        <v>#DIV/0!</v>
      </c>
      <c r="DQ36" s="178" t="e">
        <f t="shared" si="54"/>
        <v>#DIV/0!</v>
      </c>
      <c r="DR36" s="178" t="e">
        <f t="shared" si="54"/>
        <v>#DIV/0!</v>
      </c>
      <c r="DS36" s="178" t="e">
        <f t="shared" si="54"/>
        <v>#DIV/0!</v>
      </c>
      <c r="DT36" s="178" t="e">
        <f t="shared" si="54"/>
        <v>#DIV/0!</v>
      </c>
      <c r="DU36" s="178" t="e">
        <f t="shared" si="54"/>
        <v>#DIV/0!</v>
      </c>
      <c r="DV36" s="178" t="e">
        <f t="shared" si="54"/>
        <v>#DIV/0!</v>
      </c>
      <c r="DW36" s="178" t="e">
        <f t="shared" si="54"/>
        <v>#DIV/0!</v>
      </c>
      <c r="DX36" s="178" t="e">
        <f t="shared" si="54"/>
        <v>#DIV/0!</v>
      </c>
      <c r="DY36" s="178" t="e">
        <f t="shared" si="54"/>
        <v>#DIV/0!</v>
      </c>
      <c r="DZ36" s="168" t="e">
        <f t="shared" si="54"/>
        <v>#DIV/0!</v>
      </c>
      <c r="EA36" s="169" t="e">
        <f t="shared" si="55"/>
        <v>#DIV/0!</v>
      </c>
      <c r="EB36" s="171" t="e">
        <f t="shared" si="56"/>
        <v>#DIV/0!</v>
      </c>
    </row>
    <row r="37" spans="1:132" s="177" customFormat="1" ht="15.75">
      <c r="A37" s="163">
        <v>43831</v>
      </c>
      <c r="B37" s="403" t="s">
        <v>90</v>
      </c>
      <c r="C37" s="406" t="s">
        <v>279</v>
      </c>
      <c r="D37" s="405">
        <v>15000</v>
      </c>
      <c r="E37" s="167"/>
      <c r="F37" s="168" t="e">
        <f t="shared" si="20"/>
        <v>#DIV/0!</v>
      </c>
      <c r="G37" s="169" t="e">
        <f t="shared" si="30"/>
        <v>#DIV/0!</v>
      </c>
      <c r="H37" s="178" t="e">
        <f t="shared" si="30"/>
        <v>#DIV/0!</v>
      </c>
      <c r="I37" s="178" t="e">
        <f t="shared" si="30"/>
        <v>#DIV/0!</v>
      </c>
      <c r="J37" s="178" t="e">
        <f t="shared" si="30"/>
        <v>#DIV/0!</v>
      </c>
      <c r="K37" s="178" t="e">
        <f t="shared" si="30"/>
        <v>#DIV/0!</v>
      </c>
      <c r="L37" s="178" t="e">
        <f t="shared" si="30"/>
        <v>#DIV/0!</v>
      </c>
      <c r="M37" s="178" t="e">
        <f t="shared" si="30"/>
        <v>#DIV/0!</v>
      </c>
      <c r="N37" s="178" t="e">
        <f t="shared" si="30"/>
        <v>#DIV/0!</v>
      </c>
      <c r="O37" s="178" t="e">
        <f t="shared" si="30"/>
        <v>#DIV/0!</v>
      </c>
      <c r="P37" s="178" t="e">
        <f t="shared" si="30"/>
        <v>#DIV/0!</v>
      </c>
      <c r="Q37" s="178" t="e">
        <f t="shared" si="30"/>
        <v>#DIV/0!</v>
      </c>
      <c r="R37" s="179" t="e">
        <f t="shared" si="30"/>
        <v>#DIV/0!</v>
      </c>
      <c r="S37" s="169" t="e">
        <f t="shared" si="31"/>
        <v>#DIV/0!</v>
      </c>
      <c r="T37" s="179" t="e">
        <f t="shared" si="32"/>
        <v>#DIV/0!</v>
      </c>
      <c r="U37" s="180" t="e">
        <f t="shared" si="33"/>
        <v>#DIV/0!</v>
      </c>
      <c r="V37" s="178" t="e">
        <f t="shared" si="33"/>
        <v>#DIV/0!</v>
      </c>
      <c r="W37" s="178" t="e">
        <f t="shared" si="33"/>
        <v>#DIV/0!</v>
      </c>
      <c r="X37" s="178" t="e">
        <f t="shared" si="33"/>
        <v>#DIV/0!</v>
      </c>
      <c r="Y37" s="178" t="e">
        <f t="shared" si="33"/>
        <v>#DIV/0!</v>
      </c>
      <c r="Z37" s="178" t="e">
        <f t="shared" si="33"/>
        <v>#DIV/0!</v>
      </c>
      <c r="AA37" s="178" t="e">
        <f t="shared" si="33"/>
        <v>#DIV/0!</v>
      </c>
      <c r="AB37" s="178" t="e">
        <f t="shared" si="33"/>
        <v>#DIV/0!</v>
      </c>
      <c r="AC37" s="178" t="e">
        <f t="shared" si="33"/>
        <v>#DIV/0!</v>
      </c>
      <c r="AD37" s="178" t="e">
        <f t="shared" si="33"/>
        <v>#DIV/0!</v>
      </c>
      <c r="AE37" s="178" t="e">
        <f t="shared" si="33"/>
        <v>#DIV/0!</v>
      </c>
      <c r="AF37" s="168" t="e">
        <f t="shared" si="33"/>
        <v>#DIV/0!</v>
      </c>
      <c r="AG37" s="169" t="e">
        <f t="shared" si="34"/>
        <v>#DIV/0!</v>
      </c>
      <c r="AH37" s="179" t="e">
        <f t="shared" si="35"/>
        <v>#DIV/0!</v>
      </c>
      <c r="AI37" s="180" t="e">
        <f t="shared" si="36"/>
        <v>#DIV/0!</v>
      </c>
      <c r="AJ37" s="178" t="e">
        <f t="shared" si="36"/>
        <v>#DIV/0!</v>
      </c>
      <c r="AK37" s="178" t="e">
        <f t="shared" si="36"/>
        <v>#DIV/0!</v>
      </c>
      <c r="AL37" s="178" t="e">
        <f t="shared" si="36"/>
        <v>#DIV/0!</v>
      </c>
      <c r="AM37" s="178" t="e">
        <f t="shared" si="36"/>
        <v>#DIV/0!</v>
      </c>
      <c r="AN37" s="178" t="e">
        <f t="shared" si="36"/>
        <v>#DIV/0!</v>
      </c>
      <c r="AO37" s="178" t="e">
        <f t="shared" si="36"/>
        <v>#DIV/0!</v>
      </c>
      <c r="AP37" s="178" t="e">
        <f t="shared" si="36"/>
        <v>#DIV/0!</v>
      </c>
      <c r="AQ37" s="178" t="e">
        <f t="shared" si="36"/>
        <v>#DIV/0!</v>
      </c>
      <c r="AR37" s="178" t="e">
        <f t="shared" si="36"/>
        <v>#DIV/0!</v>
      </c>
      <c r="AS37" s="178" t="e">
        <f t="shared" si="36"/>
        <v>#DIV/0!</v>
      </c>
      <c r="AT37" s="168" t="e">
        <f t="shared" si="36"/>
        <v>#DIV/0!</v>
      </c>
      <c r="AU37" s="169" t="e">
        <f t="shared" si="37"/>
        <v>#DIV/0!</v>
      </c>
      <c r="AV37" s="179" t="e">
        <f t="shared" si="38"/>
        <v>#DIV/0!</v>
      </c>
      <c r="AW37" s="180" t="e">
        <f t="shared" si="39"/>
        <v>#DIV/0!</v>
      </c>
      <c r="AX37" s="178" t="e">
        <f t="shared" si="39"/>
        <v>#DIV/0!</v>
      </c>
      <c r="AY37" s="178" t="e">
        <f t="shared" si="39"/>
        <v>#DIV/0!</v>
      </c>
      <c r="AZ37" s="178" t="e">
        <f t="shared" si="39"/>
        <v>#DIV/0!</v>
      </c>
      <c r="BA37" s="178" t="e">
        <f t="shared" si="39"/>
        <v>#DIV/0!</v>
      </c>
      <c r="BB37" s="178" t="e">
        <f t="shared" si="39"/>
        <v>#DIV/0!</v>
      </c>
      <c r="BC37" s="178" t="e">
        <f t="shared" si="39"/>
        <v>#DIV/0!</v>
      </c>
      <c r="BD37" s="178" t="e">
        <f t="shared" si="39"/>
        <v>#DIV/0!</v>
      </c>
      <c r="BE37" s="178" t="e">
        <f t="shared" si="39"/>
        <v>#DIV/0!</v>
      </c>
      <c r="BF37" s="178" t="e">
        <f t="shared" si="39"/>
        <v>#DIV/0!</v>
      </c>
      <c r="BG37" s="178" t="e">
        <f t="shared" si="39"/>
        <v>#DIV/0!</v>
      </c>
      <c r="BH37" s="168" t="e">
        <f t="shared" si="39"/>
        <v>#DIV/0!</v>
      </c>
      <c r="BI37" s="169" t="e">
        <f t="shared" si="40"/>
        <v>#DIV/0!</v>
      </c>
      <c r="BJ37" s="179" t="e">
        <f t="shared" si="41"/>
        <v>#DIV/0!</v>
      </c>
      <c r="BK37" s="180" t="e">
        <f t="shared" si="42"/>
        <v>#DIV/0!</v>
      </c>
      <c r="BL37" s="178" t="e">
        <f t="shared" si="42"/>
        <v>#DIV/0!</v>
      </c>
      <c r="BM37" s="178" t="e">
        <f t="shared" si="42"/>
        <v>#DIV/0!</v>
      </c>
      <c r="BN37" s="178" t="e">
        <f t="shared" si="42"/>
        <v>#DIV/0!</v>
      </c>
      <c r="BO37" s="178" t="e">
        <f t="shared" si="42"/>
        <v>#DIV/0!</v>
      </c>
      <c r="BP37" s="178" t="e">
        <f t="shared" si="42"/>
        <v>#DIV/0!</v>
      </c>
      <c r="BQ37" s="178" t="e">
        <f t="shared" si="42"/>
        <v>#DIV/0!</v>
      </c>
      <c r="BR37" s="178" t="e">
        <f t="shared" si="42"/>
        <v>#DIV/0!</v>
      </c>
      <c r="BS37" s="178" t="e">
        <f t="shared" si="42"/>
        <v>#DIV/0!</v>
      </c>
      <c r="BT37" s="178" t="e">
        <f t="shared" si="42"/>
        <v>#DIV/0!</v>
      </c>
      <c r="BU37" s="178" t="e">
        <f t="shared" si="42"/>
        <v>#DIV/0!</v>
      </c>
      <c r="BV37" s="168" t="e">
        <f t="shared" si="42"/>
        <v>#DIV/0!</v>
      </c>
      <c r="BW37" s="169" t="e">
        <f t="shared" si="43"/>
        <v>#DIV/0!</v>
      </c>
      <c r="BX37" s="179" t="e">
        <f t="shared" si="44"/>
        <v>#DIV/0!</v>
      </c>
      <c r="BY37" s="180" t="e">
        <f t="shared" si="45"/>
        <v>#DIV/0!</v>
      </c>
      <c r="BZ37" s="178" t="e">
        <f t="shared" si="45"/>
        <v>#DIV/0!</v>
      </c>
      <c r="CA37" s="178" t="e">
        <f t="shared" si="45"/>
        <v>#DIV/0!</v>
      </c>
      <c r="CB37" s="178" t="e">
        <f t="shared" si="45"/>
        <v>#DIV/0!</v>
      </c>
      <c r="CC37" s="178" t="e">
        <f t="shared" si="45"/>
        <v>#DIV/0!</v>
      </c>
      <c r="CD37" s="178" t="e">
        <f t="shared" si="45"/>
        <v>#DIV/0!</v>
      </c>
      <c r="CE37" s="178" t="e">
        <f t="shared" si="45"/>
        <v>#DIV/0!</v>
      </c>
      <c r="CF37" s="178" t="e">
        <f t="shared" si="45"/>
        <v>#DIV/0!</v>
      </c>
      <c r="CG37" s="178" t="e">
        <f t="shared" si="45"/>
        <v>#DIV/0!</v>
      </c>
      <c r="CH37" s="178" t="e">
        <f t="shared" si="45"/>
        <v>#DIV/0!</v>
      </c>
      <c r="CI37" s="178" t="e">
        <f t="shared" si="45"/>
        <v>#DIV/0!</v>
      </c>
      <c r="CJ37" s="168" t="e">
        <f t="shared" si="45"/>
        <v>#DIV/0!</v>
      </c>
      <c r="CK37" s="169" t="e">
        <f t="shared" si="46"/>
        <v>#DIV/0!</v>
      </c>
      <c r="CL37" s="179" t="e">
        <f t="shared" si="47"/>
        <v>#DIV/0!</v>
      </c>
      <c r="CM37" s="180" t="e">
        <f t="shared" si="48"/>
        <v>#DIV/0!</v>
      </c>
      <c r="CN37" s="178" t="e">
        <f t="shared" si="48"/>
        <v>#DIV/0!</v>
      </c>
      <c r="CO37" s="178" t="e">
        <f t="shared" si="48"/>
        <v>#DIV/0!</v>
      </c>
      <c r="CP37" s="178" t="e">
        <f t="shared" si="48"/>
        <v>#DIV/0!</v>
      </c>
      <c r="CQ37" s="178" t="e">
        <f t="shared" si="48"/>
        <v>#DIV/0!</v>
      </c>
      <c r="CR37" s="178" t="e">
        <f t="shared" si="48"/>
        <v>#DIV/0!</v>
      </c>
      <c r="CS37" s="178" t="e">
        <f t="shared" si="48"/>
        <v>#DIV/0!</v>
      </c>
      <c r="CT37" s="178" t="e">
        <f t="shared" si="48"/>
        <v>#DIV/0!</v>
      </c>
      <c r="CU37" s="178" t="e">
        <f t="shared" si="48"/>
        <v>#DIV/0!</v>
      </c>
      <c r="CV37" s="178" t="e">
        <f t="shared" si="48"/>
        <v>#DIV/0!</v>
      </c>
      <c r="CW37" s="178" t="e">
        <f t="shared" si="48"/>
        <v>#DIV/0!</v>
      </c>
      <c r="CX37" s="168" t="e">
        <f t="shared" si="48"/>
        <v>#DIV/0!</v>
      </c>
      <c r="CY37" s="169" t="e">
        <f t="shared" si="49"/>
        <v>#DIV/0!</v>
      </c>
      <c r="CZ37" s="179" t="e">
        <f t="shared" si="50"/>
        <v>#DIV/0!</v>
      </c>
      <c r="DA37" s="180" t="e">
        <f t="shared" si="51"/>
        <v>#DIV/0!</v>
      </c>
      <c r="DB37" s="178" t="e">
        <f t="shared" si="51"/>
        <v>#DIV/0!</v>
      </c>
      <c r="DC37" s="178" t="e">
        <f t="shared" si="51"/>
        <v>#DIV/0!</v>
      </c>
      <c r="DD37" s="178" t="e">
        <f t="shared" si="51"/>
        <v>#DIV/0!</v>
      </c>
      <c r="DE37" s="178" t="e">
        <f t="shared" si="51"/>
        <v>#DIV/0!</v>
      </c>
      <c r="DF37" s="178" t="e">
        <f t="shared" si="51"/>
        <v>#DIV/0!</v>
      </c>
      <c r="DG37" s="178" t="e">
        <f t="shared" si="51"/>
        <v>#DIV/0!</v>
      </c>
      <c r="DH37" s="178" t="e">
        <f t="shared" si="51"/>
        <v>#DIV/0!</v>
      </c>
      <c r="DI37" s="178" t="e">
        <f t="shared" si="51"/>
        <v>#DIV/0!</v>
      </c>
      <c r="DJ37" s="178" t="e">
        <f t="shared" si="51"/>
        <v>#DIV/0!</v>
      </c>
      <c r="DK37" s="178" t="e">
        <f t="shared" si="51"/>
        <v>#DIV/0!</v>
      </c>
      <c r="DL37" s="168" t="e">
        <f t="shared" si="51"/>
        <v>#DIV/0!</v>
      </c>
      <c r="DM37" s="169" t="e">
        <f t="shared" si="52"/>
        <v>#DIV/0!</v>
      </c>
      <c r="DN37" s="171" t="e">
        <f t="shared" si="53"/>
        <v>#DIV/0!</v>
      </c>
      <c r="DO37" s="180" t="e">
        <f t="shared" si="54"/>
        <v>#DIV/0!</v>
      </c>
      <c r="DP37" s="178" t="e">
        <f t="shared" si="54"/>
        <v>#DIV/0!</v>
      </c>
      <c r="DQ37" s="178" t="e">
        <f t="shared" si="54"/>
        <v>#DIV/0!</v>
      </c>
      <c r="DR37" s="178" t="e">
        <f t="shared" si="54"/>
        <v>#DIV/0!</v>
      </c>
      <c r="DS37" s="178" t="e">
        <f t="shared" si="54"/>
        <v>#DIV/0!</v>
      </c>
      <c r="DT37" s="178" t="e">
        <f t="shared" si="54"/>
        <v>#DIV/0!</v>
      </c>
      <c r="DU37" s="178" t="e">
        <f t="shared" si="54"/>
        <v>#DIV/0!</v>
      </c>
      <c r="DV37" s="178" t="e">
        <f t="shared" si="54"/>
        <v>#DIV/0!</v>
      </c>
      <c r="DW37" s="178" t="e">
        <f t="shared" si="54"/>
        <v>#DIV/0!</v>
      </c>
      <c r="DX37" s="178" t="e">
        <f t="shared" si="54"/>
        <v>#DIV/0!</v>
      </c>
      <c r="DY37" s="178" t="e">
        <f t="shared" si="54"/>
        <v>#DIV/0!</v>
      </c>
      <c r="DZ37" s="168" t="e">
        <f t="shared" si="54"/>
        <v>#DIV/0!</v>
      </c>
      <c r="EA37" s="169" t="e">
        <f t="shared" si="55"/>
        <v>#DIV/0!</v>
      </c>
      <c r="EB37" s="171" t="e">
        <f t="shared" si="56"/>
        <v>#DIV/0!</v>
      </c>
    </row>
    <row r="38" spans="1:132" s="177" customFormat="1" ht="15.75">
      <c r="A38" s="163">
        <v>43831</v>
      </c>
      <c r="B38" s="403" t="s">
        <v>88</v>
      </c>
      <c r="C38" s="406" t="s">
        <v>280</v>
      </c>
      <c r="D38" s="405">
        <v>4800</v>
      </c>
      <c r="E38" s="167"/>
      <c r="F38" s="168" t="e">
        <f t="shared" si="20"/>
        <v>#DIV/0!</v>
      </c>
      <c r="G38" s="169" t="e">
        <f t="shared" si="30"/>
        <v>#DIV/0!</v>
      </c>
      <c r="H38" s="178" t="e">
        <f t="shared" si="30"/>
        <v>#DIV/0!</v>
      </c>
      <c r="I38" s="178" t="e">
        <f t="shared" si="30"/>
        <v>#DIV/0!</v>
      </c>
      <c r="J38" s="178" t="e">
        <f t="shared" si="30"/>
        <v>#DIV/0!</v>
      </c>
      <c r="K38" s="178" t="e">
        <f t="shared" si="30"/>
        <v>#DIV/0!</v>
      </c>
      <c r="L38" s="178" t="e">
        <f t="shared" si="30"/>
        <v>#DIV/0!</v>
      </c>
      <c r="M38" s="178" t="e">
        <f t="shared" si="30"/>
        <v>#DIV/0!</v>
      </c>
      <c r="N38" s="178" t="e">
        <f t="shared" si="30"/>
        <v>#DIV/0!</v>
      </c>
      <c r="O38" s="178" t="e">
        <f t="shared" si="30"/>
        <v>#DIV/0!</v>
      </c>
      <c r="P38" s="178" t="e">
        <f t="shared" si="30"/>
        <v>#DIV/0!</v>
      </c>
      <c r="Q38" s="178" t="e">
        <f t="shared" si="30"/>
        <v>#DIV/0!</v>
      </c>
      <c r="R38" s="179" t="e">
        <f t="shared" si="30"/>
        <v>#DIV/0!</v>
      </c>
      <c r="S38" s="169" t="e">
        <f t="shared" si="31"/>
        <v>#DIV/0!</v>
      </c>
      <c r="T38" s="179" t="e">
        <f t="shared" si="32"/>
        <v>#DIV/0!</v>
      </c>
      <c r="U38" s="180" t="e">
        <f t="shared" si="33"/>
        <v>#DIV/0!</v>
      </c>
      <c r="V38" s="178" t="e">
        <f t="shared" si="33"/>
        <v>#DIV/0!</v>
      </c>
      <c r="W38" s="178" t="e">
        <f t="shared" si="33"/>
        <v>#DIV/0!</v>
      </c>
      <c r="X38" s="178" t="e">
        <f t="shared" si="33"/>
        <v>#DIV/0!</v>
      </c>
      <c r="Y38" s="178" t="e">
        <f t="shared" si="33"/>
        <v>#DIV/0!</v>
      </c>
      <c r="Z38" s="178" t="e">
        <f t="shared" si="33"/>
        <v>#DIV/0!</v>
      </c>
      <c r="AA38" s="178" t="e">
        <f t="shared" si="33"/>
        <v>#DIV/0!</v>
      </c>
      <c r="AB38" s="178" t="e">
        <f t="shared" si="33"/>
        <v>#DIV/0!</v>
      </c>
      <c r="AC38" s="178" t="e">
        <f t="shared" si="33"/>
        <v>#DIV/0!</v>
      </c>
      <c r="AD38" s="178" t="e">
        <f t="shared" si="33"/>
        <v>#DIV/0!</v>
      </c>
      <c r="AE38" s="178" t="e">
        <f t="shared" si="33"/>
        <v>#DIV/0!</v>
      </c>
      <c r="AF38" s="168" t="e">
        <f t="shared" si="33"/>
        <v>#DIV/0!</v>
      </c>
      <c r="AG38" s="169" t="e">
        <f t="shared" si="34"/>
        <v>#DIV/0!</v>
      </c>
      <c r="AH38" s="179" t="e">
        <f t="shared" si="35"/>
        <v>#DIV/0!</v>
      </c>
      <c r="AI38" s="180" t="e">
        <f t="shared" si="36"/>
        <v>#DIV/0!</v>
      </c>
      <c r="AJ38" s="178" t="e">
        <f t="shared" si="36"/>
        <v>#DIV/0!</v>
      </c>
      <c r="AK38" s="178" t="e">
        <f t="shared" si="36"/>
        <v>#DIV/0!</v>
      </c>
      <c r="AL38" s="178" t="e">
        <f t="shared" si="36"/>
        <v>#DIV/0!</v>
      </c>
      <c r="AM38" s="178" t="e">
        <f t="shared" si="36"/>
        <v>#DIV/0!</v>
      </c>
      <c r="AN38" s="178" t="e">
        <f t="shared" si="36"/>
        <v>#DIV/0!</v>
      </c>
      <c r="AO38" s="178" t="e">
        <f t="shared" si="36"/>
        <v>#DIV/0!</v>
      </c>
      <c r="AP38" s="178" t="e">
        <f t="shared" si="36"/>
        <v>#DIV/0!</v>
      </c>
      <c r="AQ38" s="178" t="e">
        <f t="shared" si="36"/>
        <v>#DIV/0!</v>
      </c>
      <c r="AR38" s="178" t="e">
        <f t="shared" si="36"/>
        <v>#DIV/0!</v>
      </c>
      <c r="AS38" s="178" t="e">
        <f t="shared" si="36"/>
        <v>#DIV/0!</v>
      </c>
      <c r="AT38" s="168" t="e">
        <f t="shared" si="36"/>
        <v>#DIV/0!</v>
      </c>
      <c r="AU38" s="169" t="e">
        <f t="shared" si="37"/>
        <v>#DIV/0!</v>
      </c>
      <c r="AV38" s="179" t="e">
        <f t="shared" si="38"/>
        <v>#DIV/0!</v>
      </c>
      <c r="AW38" s="180" t="e">
        <f t="shared" si="39"/>
        <v>#DIV/0!</v>
      </c>
      <c r="AX38" s="178" t="e">
        <f t="shared" si="39"/>
        <v>#DIV/0!</v>
      </c>
      <c r="AY38" s="178" t="e">
        <f t="shared" si="39"/>
        <v>#DIV/0!</v>
      </c>
      <c r="AZ38" s="178" t="e">
        <f t="shared" si="39"/>
        <v>#DIV/0!</v>
      </c>
      <c r="BA38" s="178" t="e">
        <f t="shared" si="39"/>
        <v>#DIV/0!</v>
      </c>
      <c r="BB38" s="178" t="e">
        <f t="shared" si="39"/>
        <v>#DIV/0!</v>
      </c>
      <c r="BC38" s="178" t="e">
        <f t="shared" si="39"/>
        <v>#DIV/0!</v>
      </c>
      <c r="BD38" s="178" t="e">
        <f t="shared" si="39"/>
        <v>#DIV/0!</v>
      </c>
      <c r="BE38" s="178" t="e">
        <f t="shared" si="39"/>
        <v>#DIV/0!</v>
      </c>
      <c r="BF38" s="178" t="e">
        <f t="shared" si="39"/>
        <v>#DIV/0!</v>
      </c>
      <c r="BG38" s="178" t="e">
        <f t="shared" si="39"/>
        <v>#DIV/0!</v>
      </c>
      <c r="BH38" s="168" t="e">
        <f t="shared" si="39"/>
        <v>#DIV/0!</v>
      </c>
      <c r="BI38" s="169" t="e">
        <f t="shared" si="40"/>
        <v>#DIV/0!</v>
      </c>
      <c r="BJ38" s="179" t="e">
        <f t="shared" si="41"/>
        <v>#DIV/0!</v>
      </c>
      <c r="BK38" s="180" t="e">
        <f t="shared" si="42"/>
        <v>#DIV/0!</v>
      </c>
      <c r="BL38" s="178" t="e">
        <f t="shared" si="42"/>
        <v>#DIV/0!</v>
      </c>
      <c r="BM38" s="178" t="e">
        <f t="shared" si="42"/>
        <v>#DIV/0!</v>
      </c>
      <c r="BN38" s="178" t="e">
        <f t="shared" si="42"/>
        <v>#DIV/0!</v>
      </c>
      <c r="BO38" s="178" t="e">
        <f t="shared" si="42"/>
        <v>#DIV/0!</v>
      </c>
      <c r="BP38" s="178" t="e">
        <f t="shared" si="42"/>
        <v>#DIV/0!</v>
      </c>
      <c r="BQ38" s="178" t="e">
        <f t="shared" si="42"/>
        <v>#DIV/0!</v>
      </c>
      <c r="BR38" s="178" t="e">
        <f t="shared" si="42"/>
        <v>#DIV/0!</v>
      </c>
      <c r="BS38" s="178" t="e">
        <f t="shared" si="42"/>
        <v>#DIV/0!</v>
      </c>
      <c r="BT38" s="178" t="e">
        <f t="shared" si="42"/>
        <v>#DIV/0!</v>
      </c>
      <c r="BU38" s="178" t="e">
        <f t="shared" si="42"/>
        <v>#DIV/0!</v>
      </c>
      <c r="BV38" s="168" t="e">
        <f t="shared" si="42"/>
        <v>#DIV/0!</v>
      </c>
      <c r="BW38" s="169" t="e">
        <f t="shared" si="43"/>
        <v>#DIV/0!</v>
      </c>
      <c r="BX38" s="179" t="e">
        <f t="shared" si="44"/>
        <v>#DIV/0!</v>
      </c>
      <c r="BY38" s="180" t="e">
        <f t="shared" si="45"/>
        <v>#DIV/0!</v>
      </c>
      <c r="BZ38" s="178" t="e">
        <f t="shared" si="45"/>
        <v>#DIV/0!</v>
      </c>
      <c r="CA38" s="178" t="e">
        <f t="shared" si="45"/>
        <v>#DIV/0!</v>
      </c>
      <c r="CB38" s="178" t="e">
        <f t="shared" si="45"/>
        <v>#DIV/0!</v>
      </c>
      <c r="CC38" s="178" t="e">
        <f t="shared" si="45"/>
        <v>#DIV/0!</v>
      </c>
      <c r="CD38" s="178" t="e">
        <f t="shared" si="45"/>
        <v>#DIV/0!</v>
      </c>
      <c r="CE38" s="178" t="e">
        <f t="shared" si="45"/>
        <v>#DIV/0!</v>
      </c>
      <c r="CF38" s="178" t="e">
        <f t="shared" si="45"/>
        <v>#DIV/0!</v>
      </c>
      <c r="CG38" s="178" t="e">
        <f t="shared" si="45"/>
        <v>#DIV/0!</v>
      </c>
      <c r="CH38" s="178" t="e">
        <f t="shared" si="45"/>
        <v>#DIV/0!</v>
      </c>
      <c r="CI38" s="178" t="e">
        <f t="shared" si="45"/>
        <v>#DIV/0!</v>
      </c>
      <c r="CJ38" s="168" t="e">
        <f t="shared" si="45"/>
        <v>#DIV/0!</v>
      </c>
      <c r="CK38" s="169" t="e">
        <f t="shared" si="46"/>
        <v>#DIV/0!</v>
      </c>
      <c r="CL38" s="179" t="e">
        <f t="shared" si="47"/>
        <v>#DIV/0!</v>
      </c>
      <c r="CM38" s="180" t="e">
        <f t="shared" si="48"/>
        <v>#DIV/0!</v>
      </c>
      <c r="CN38" s="178" t="e">
        <f t="shared" si="48"/>
        <v>#DIV/0!</v>
      </c>
      <c r="CO38" s="178" t="e">
        <f t="shared" si="48"/>
        <v>#DIV/0!</v>
      </c>
      <c r="CP38" s="178" t="e">
        <f t="shared" si="48"/>
        <v>#DIV/0!</v>
      </c>
      <c r="CQ38" s="178" t="e">
        <f t="shared" si="48"/>
        <v>#DIV/0!</v>
      </c>
      <c r="CR38" s="178" t="e">
        <f t="shared" si="48"/>
        <v>#DIV/0!</v>
      </c>
      <c r="CS38" s="178" t="e">
        <f t="shared" si="48"/>
        <v>#DIV/0!</v>
      </c>
      <c r="CT38" s="178" t="e">
        <f t="shared" si="48"/>
        <v>#DIV/0!</v>
      </c>
      <c r="CU38" s="178" t="e">
        <f t="shared" si="48"/>
        <v>#DIV/0!</v>
      </c>
      <c r="CV38" s="178" t="e">
        <f t="shared" si="48"/>
        <v>#DIV/0!</v>
      </c>
      <c r="CW38" s="178" t="e">
        <f t="shared" si="48"/>
        <v>#DIV/0!</v>
      </c>
      <c r="CX38" s="168" t="e">
        <f t="shared" si="48"/>
        <v>#DIV/0!</v>
      </c>
      <c r="CY38" s="169" t="e">
        <f t="shared" si="49"/>
        <v>#DIV/0!</v>
      </c>
      <c r="CZ38" s="179" t="e">
        <f t="shared" si="50"/>
        <v>#DIV/0!</v>
      </c>
      <c r="DA38" s="180" t="e">
        <f t="shared" si="51"/>
        <v>#DIV/0!</v>
      </c>
      <c r="DB38" s="178" t="e">
        <f t="shared" si="51"/>
        <v>#DIV/0!</v>
      </c>
      <c r="DC38" s="178" t="e">
        <f t="shared" si="51"/>
        <v>#DIV/0!</v>
      </c>
      <c r="DD38" s="178" t="e">
        <f t="shared" si="51"/>
        <v>#DIV/0!</v>
      </c>
      <c r="DE38" s="178" t="e">
        <f t="shared" si="51"/>
        <v>#DIV/0!</v>
      </c>
      <c r="DF38" s="178" t="e">
        <f t="shared" si="51"/>
        <v>#DIV/0!</v>
      </c>
      <c r="DG38" s="178" t="e">
        <f t="shared" si="51"/>
        <v>#DIV/0!</v>
      </c>
      <c r="DH38" s="178" t="e">
        <f t="shared" si="51"/>
        <v>#DIV/0!</v>
      </c>
      <c r="DI38" s="178" t="e">
        <f t="shared" si="51"/>
        <v>#DIV/0!</v>
      </c>
      <c r="DJ38" s="178" t="e">
        <f t="shared" si="51"/>
        <v>#DIV/0!</v>
      </c>
      <c r="DK38" s="178" t="e">
        <f t="shared" si="51"/>
        <v>#DIV/0!</v>
      </c>
      <c r="DL38" s="168" t="e">
        <f t="shared" si="51"/>
        <v>#DIV/0!</v>
      </c>
      <c r="DM38" s="169" t="e">
        <f t="shared" si="52"/>
        <v>#DIV/0!</v>
      </c>
      <c r="DN38" s="171" t="e">
        <f t="shared" si="53"/>
        <v>#DIV/0!</v>
      </c>
      <c r="DO38" s="180" t="e">
        <f t="shared" si="54"/>
        <v>#DIV/0!</v>
      </c>
      <c r="DP38" s="178" t="e">
        <f t="shared" si="54"/>
        <v>#DIV/0!</v>
      </c>
      <c r="DQ38" s="178" t="e">
        <f t="shared" si="54"/>
        <v>#DIV/0!</v>
      </c>
      <c r="DR38" s="178" t="e">
        <f t="shared" si="54"/>
        <v>#DIV/0!</v>
      </c>
      <c r="DS38" s="178" t="e">
        <f t="shared" si="54"/>
        <v>#DIV/0!</v>
      </c>
      <c r="DT38" s="178" t="e">
        <f t="shared" si="54"/>
        <v>#DIV/0!</v>
      </c>
      <c r="DU38" s="178" t="e">
        <f t="shared" si="54"/>
        <v>#DIV/0!</v>
      </c>
      <c r="DV38" s="178" t="e">
        <f t="shared" si="54"/>
        <v>#DIV/0!</v>
      </c>
      <c r="DW38" s="178" t="e">
        <f t="shared" si="54"/>
        <v>#DIV/0!</v>
      </c>
      <c r="DX38" s="178" t="e">
        <f t="shared" si="54"/>
        <v>#DIV/0!</v>
      </c>
      <c r="DY38" s="178" t="e">
        <f t="shared" si="54"/>
        <v>#DIV/0!</v>
      </c>
      <c r="DZ38" s="168" t="e">
        <f t="shared" si="54"/>
        <v>#DIV/0!</v>
      </c>
      <c r="EA38" s="169" t="e">
        <f t="shared" si="55"/>
        <v>#DIV/0!</v>
      </c>
      <c r="EB38" s="171" t="e">
        <f t="shared" si="56"/>
        <v>#DIV/0!</v>
      </c>
    </row>
    <row r="39" spans="1:132" s="177" customFormat="1" ht="15.75">
      <c r="A39" s="163">
        <v>43831</v>
      </c>
      <c r="B39" s="403" t="s">
        <v>88</v>
      </c>
      <c r="C39" s="406" t="s">
        <v>281</v>
      </c>
      <c r="D39" s="405">
        <v>10000</v>
      </c>
      <c r="E39" s="167"/>
      <c r="F39" s="168" t="e">
        <f t="shared" si="20"/>
        <v>#DIV/0!</v>
      </c>
      <c r="G39" s="169" t="e">
        <f t="shared" si="30"/>
        <v>#DIV/0!</v>
      </c>
      <c r="H39" s="178" t="e">
        <f t="shared" si="30"/>
        <v>#DIV/0!</v>
      </c>
      <c r="I39" s="178" t="e">
        <f t="shared" si="30"/>
        <v>#DIV/0!</v>
      </c>
      <c r="J39" s="178" t="e">
        <f t="shared" si="30"/>
        <v>#DIV/0!</v>
      </c>
      <c r="K39" s="178" t="e">
        <f t="shared" si="30"/>
        <v>#DIV/0!</v>
      </c>
      <c r="L39" s="178" t="e">
        <f t="shared" si="30"/>
        <v>#DIV/0!</v>
      </c>
      <c r="M39" s="178" t="e">
        <f t="shared" si="30"/>
        <v>#DIV/0!</v>
      </c>
      <c r="N39" s="178" t="e">
        <f t="shared" si="30"/>
        <v>#DIV/0!</v>
      </c>
      <c r="O39" s="178" t="e">
        <f t="shared" si="30"/>
        <v>#DIV/0!</v>
      </c>
      <c r="P39" s="178" t="e">
        <f t="shared" si="30"/>
        <v>#DIV/0!</v>
      </c>
      <c r="Q39" s="178" t="e">
        <f t="shared" si="30"/>
        <v>#DIV/0!</v>
      </c>
      <c r="R39" s="179" t="e">
        <f t="shared" si="30"/>
        <v>#DIV/0!</v>
      </c>
      <c r="S39" s="169" t="e">
        <f t="shared" si="31"/>
        <v>#DIV/0!</v>
      </c>
      <c r="T39" s="179" t="e">
        <f t="shared" si="32"/>
        <v>#DIV/0!</v>
      </c>
      <c r="U39" s="180" t="e">
        <f t="shared" si="33"/>
        <v>#DIV/0!</v>
      </c>
      <c r="V39" s="178" t="e">
        <f t="shared" si="33"/>
        <v>#DIV/0!</v>
      </c>
      <c r="W39" s="178" t="e">
        <f t="shared" si="33"/>
        <v>#DIV/0!</v>
      </c>
      <c r="X39" s="178" t="e">
        <f t="shared" si="33"/>
        <v>#DIV/0!</v>
      </c>
      <c r="Y39" s="178" t="e">
        <f t="shared" si="33"/>
        <v>#DIV/0!</v>
      </c>
      <c r="Z39" s="178" t="e">
        <f t="shared" si="33"/>
        <v>#DIV/0!</v>
      </c>
      <c r="AA39" s="178" t="e">
        <f t="shared" si="33"/>
        <v>#DIV/0!</v>
      </c>
      <c r="AB39" s="178" t="e">
        <f t="shared" si="33"/>
        <v>#DIV/0!</v>
      </c>
      <c r="AC39" s="178" t="e">
        <f t="shared" si="33"/>
        <v>#DIV/0!</v>
      </c>
      <c r="AD39" s="178" t="e">
        <f t="shared" si="33"/>
        <v>#DIV/0!</v>
      </c>
      <c r="AE39" s="178" t="e">
        <f t="shared" si="33"/>
        <v>#DIV/0!</v>
      </c>
      <c r="AF39" s="168" t="e">
        <f t="shared" si="33"/>
        <v>#DIV/0!</v>
      </c>
      <c r="AG39" s="169" t="e">
        <f t="shared" si="34"/>
        <v>#DIV/0!</v>
      </c>
      <c r="AH39" s="179" t="e">
        <f t="shared" si="35"/>
        <v>#DIV/0!</v>
      </c>
      <c r="AI39" s="180" t="e">
        <f t="shared" si="36"/>
        <v>#DIV/0!</v>
      </c>
      <c r="AJ39" s="178" t="e">
        <f t="shared" si="36"/>
        <v>#DIV/0!</v>
      </c>
      <c r="AK39" s="178" t="e">
        <f t="shared" si="36"/>
        <v>#DIV/0!</v>
      </c>
      <c r="AL39" s="178" t="e">
        <f t="shared" si="36"/>
        <v>#DIV/0!</v>
      </c>
      <c r="AM39" s="178" t="e">
        <f t="shared" si="36"/>
        <v>#DIV/0!</v>
      </c>
      <c r="AN39" s="178" t="e">
        <f t="shared" si="36"/>
        <v>#DIV/0!</v>
      </c>
      <c r="AO39" s="178" t="e">
        <f t="shared" si="36"/>
        <v>#DIV/0!</v>
      </c>
      <c r="AP39" s="178" t="e">
        <f t="shared" si="36"/>
        <v>#DIV/0!</v>
      </c>
      <c r="AQ39" s="178" t="e">
        <f t="shared" si="36"/>
        <v>#DIV/0!</v>
      </c>
      <c r="AR39" s="178" t="e">
        <f t="shared" si="36"/>
        <v>#DIV/0!</v>
      </c>
      <c r="AS39" s="178" t="e">
        <f t="shared" si="36"/>
        <v>#DIV/0!</v>
      </c>
      <c r="AT39" s="168" t="e">
        <f t="shared" si="36"/>
        <v>#DIV/0!</v>
      </c>
      <c r="AU39" s="169" t="e">
        <f t="shared" si="37"/>
        <v>#DIV/0!</v>
      </c>
      <c r="AV39" s="179" t="e">
        <f t="shared" si="38"/>
        <v>#DIV/0!</v>
      </c>
      <c r="AW39" s="180" t="e">
        <f t="shared" si="39"/>
        <v>#DIV/0!</v>
      </c>
      <c r="AX39" s="178" t="e">
        <f t="shared" si="39"/>
        <v>#DIV/0!</v>
      </c>
      <c r="AY39" s="178" t="e">
        <f t="shared" si="39"/>
        <v>#DIV/0!</v>
      </c>
      <c r="AZ39" s="178" t="e">
        <f t="shared" si="39"/>
        <v>#DIV/0!</v>
      </c>
      <c r="BA39" s="178" t="e">
        <f t="shared" si="39"/>
        <v>#DIV/0!</v>
      </c>
      <c r="BB39" s="178" t="e">
        <f t="shared" si="39"/>
        <v>#DIV/0!</v>
      </c>
      <c r="BC39" s="178" t="e">
        <f t="shared" si="39"/>
        <v>#DIV/0!</v>
      </c>
      <c r="BD39" s="178" t="e">
        <f t="shared" si="39"/>
        <v>#DIV/0!</v>
      </c>
      <c r="BE39" s="178" t="e">
        <f t="shared" si="39"/>
        <v>#DIV/0!</v>
      </c>
      <c r="BF39" s="178" t="e">
        <f t="shared" si="39"/>
        <v>#DIV/0!</v>
      </c>
      <c r="BG39" s="178" t="e">
        <f t="shared" si="39"/>
        <v>#DIV/0!</v>
      </c>
      <c r="BH39" s="168" t="e">
        <f t="shared" si="39"/>
        <v>#DIV/0!</v>
      </c>
      <c r="BI39" s="169" t="e">
        <f t="shared" si="40"/>
        <v>#DIV/0!</v>
      </c>
      <c r="BJ39" s="179" t="e">
        <f t="shared" si="41"/>
        <v>#DIV/0!</v>
      </c>
      <c r="BK39" s="180" t="e">
        <f t="shared" si="42"/>
        <v>#DIV/0!</v>
      </c>
      <c r="BL39" s="178" t="e">
        <f t="shared" si="42"/>
        <v>#DIV/0!</v>
      </c>
      <c r="BM39" s="178" t="e">
        <f t="shared" si="42"/>
        <v>#DIV/0!</v>
      </c>
      <c r="BN39" s="178" t="e">
        <f t="shared" si="42"/>
        <v>#DIV/0!</v>
      </c>
      <c r="BO39" s="178" t="e">
        <f t="shared" si="42"/>
        <v>#DIV/0!</v>
      </c>
      <c r="BP39" s="178" t="e">
        <f t="shared" si="42"/>
        <v>#DIV/0!</v>
      </c>
      <c r="BQ39" s="178" t="e">
        <f t="shared" si="42"/>
        <v>#DIV/0!</v>
      </c>
      <c r="BR39" s="178" t="e">
        <f t="shared" si="42"/>
        <v>#DIV/0!</v>
      </c>
      <c r="BS39" s="178" t="e">
        <f t="shared" si="42"/>
        <v>#DIV/0!</v>
      </c>
      <c r="BT39" s="178" t="e">
        <f t="shared" si="42"/>
        <v>#DIV/0!</v>
      </c>
      <c r="BU39" s="178" t="e">
        <f t="shared" si="42"/>
        <v>#DIV/0!</v>
      </c>
      <c r="BV39" s="168" t="e">
        <f t="shared" si="42"/>
        <v>#DIV/0!</v>
      </c>
      <c r="BW39" s="169" t="e">
        <f t="shared" si="43"/>
        <v>#DIV/0!</v>
      </c>
      <c r="BX39" s="179" t="e">
        <f t="shared" si="44"/>
        <v>#DIV/0!</v>
      </c>
      <c r="BY39" s="180" t="e">
        <f t="shared" si="45"/>
        <v>#DIV/0!</v>
      </c>
      <c r="BZ39" s="178" t="e">
        <f t="shared" si="45"/>
        <v>#DIV/0!</v>
      </c>
      <c r="CA39" s="178" t="e">
        <f t="shared" si="45"/>
        <v>#DIV/0!</v>
      </c>
      <c r="CB39" s="178" t="e">
        <f t="shared" si="45"/>
        <v>#DIV/0!</v>
      </c>
      <c r="CC39" s="178" t="e">
        <f t="shared" si="45"/>
        <v>#DIV/0!</v>
      </c>
      <c r="CD39" s="178" t="e">
        <f t="shared" si="45"/>
        <v>#DIV/0!</v>
      </c>
      <c r="CE39" s="178" t="e">
        <f t="shared" si="45"/>
        <v>#DIV/0!</v>
      </c>
      <c r="CF39" s="178" t="e">
        <f t="shared" si="45"/>
        <v>#DIV/0!</v>
      </c>
      <c r="CG39" s="178" t="e">
        <f t="shared" si="45"/>
        <v>#DIV/0!</v>
      </c>
      <c r="CH39" s="178" t="e">
        <f t="shared" si="45"/>
        <v>#DIV/0!</v>
      </c>
      <c r="CI39" s="178" t="e">
        <f t="shared" si="45"/>
        <v>#DIV/0!</v>
      </c>
      <c r="CJ39" s="168" t="e">
        <f t="shared" si="45"/>
        <v>#DIV/0!</v>
      </c>
      <c r="CK39" s="169" t="e">
        <f t="shared" si="46"/>
        <v>#DIV/0!</v>
      </c>
      <c r="CL39" s="179" t="e">
        <f t="shared" si="47"/>
        <v>#DIV/0!</v>
      </c>
      <c r="CM39" s="180" t="e">
        <f t="shared" si="48"/>
        <v>#DIV/0!</v>
      </c>
      <c r="CN39" s="178" t="e">
        <f t="shared" si="48"/>
        <v>#DIV/0!</v>
      </c>
      <c r="CO39" s="178" t="e">
        <f t="shared" si="48"/>
        <v>#DIV/0!</v>
      </c>
      <c r="CP39" s="178" t="e">
        <f t="shared" si="48"/>
        <v>#DIV/0!</v>
      </c>
      <c r="CQ39" s="178" t="e">
        <f t="shared" si="48"/>
        <v>#DIV/0!</v>
      </c>
      <c r="CR39" s="178" t="e">
        <f t="shared" si="48"/>
        <v>#DIV/0!</v>
      </c>
      <c r="CS39" s="178" t="e">
        <f t="shared" si="48"/>
        <v>#DIV/0!</v>
      </c>
      <c r="CT39" s="178" t="e">
        <f t="shared" si="48"/>
        <v>#DIV/0!</v>
      </c>
      <c r="CU39" s="178" t="e">
        <f t="shared" si="48"/>
        <v>#DIV/0!</v>
      </c>
      <c r="CV39" s="178" t="e">
        <f t="shared" si="48"/>
        <v>#DIV/0!</v>
      </c>
      <c r="CW39" s="178" t="e">
        <f t="shared" si="48"/>
        <v>#DIV/0!</v>
      </c>
      <c r="CX39" s="168" t="e">
        <f t="shared" si="48"/>
        <v>#DIV/0!</v>
      </c>
      <c r="CY39" s="169" t="e">
        <f t="shared" si="49"/>
        <v>#DIV/0!</v>
      </c>
      <c r="CZ39" s="179" t="e">
        <f t="shared" si="50"/>
        <v>#DIV/0!</v>
      </c>
      <c r="DA39" s="180" t="e">
        <f t="shared" si="51"/>
        <v>#DIV/0!</v>
      </c>
      <c r="DB39" s="178" t="e">
        <f t="shared" si="51"/>
        <v>#DIV/0!</v>
      </c>
      <c r="DC39" s="178" t="e">
        <f t="shared" si="51"/>
        <v>#DIV/0!</v>
      </c>
      <c r="DD39" s="178" t="e">
        <f t="shared" si="51"/>
        <v>#DIV/0!</v>
      </c>
      <c r="DE39" s="178" t="e">
        <f t="shared" si="51"/>
        <v>#DIV/0!</v>
      </c>
      <c r="DF39" s="178" t="e">
        <f t="shared" si="51"/>
        <v>#DIV/0!</v>
      </c>
      <c r="DG39" s="178" t="e">
        <f t="shared" si="51"/>
        <v>#DIV/0!</v>
      </c>
      <c r="DH39" s="178" t="e">
        <f t="shared" si="51"/>
        <v>#DIV/0!</v>
      </c>
      <c r="DI39" s="178" t="e">
        <f t="shared" si="51"/>
        <v>#DIV/0!</v>
      </c>
      <c r="DJ39" s="178" t="e">
        <f t="shared" si="51"/>
        <v>#DIV/0!</v>
      </c>
      <c r="DK39" s="178" t="e">
        <f t="shared" si="51"/>
        <v>#DIV/0!</v>
      </c>
      <c r="DL39" s="168" t="e">
        <f t="shared" si="51"/>
        <v>#DIV/0!</v>
      </c>
      <c r="DM39" s="169" t="e">
        <f t="shared" si="52"/>
        <v>#DIV/0!</v>
      </c>
      <c r="DN39" s="171" t="e">
        <f t="shared" si="53"/>
        <v>#DIV/0!</v>
      </c>
      <c r="DO39" s="180" t="e">
        <f t="shared" si="54"/>
        <v>#DIV/0!</v>
      </c>
      <c r="DP39" s="178" t="e">
        <f t="shared" si="54"/>
        <v>#DIV/0!</v>
      </c>
      <c r="DQ39" s="178" t="e">
        <f t="shared" si="54"/>
        <v>#DIV/0!</v>
      </c>
      <c r="DR39" s="178" t="e">
        <f t="shared" si="54"/>
        <v>#DIV/0!</v>
      </c>
      <c r="DS39" s="178" t="e">
        <f t="shared" si="54"/>
        <v>#DIV/0!</v>
      </c>
      <c r="DT39" s="178" t="e">
        <f t="shared" si="54"/>
        <v>#DIV/0!</v>
      </c>
      <c r="DU39" s="178" t="e">
        <f t="shared" si="54"/>
        <v>#DIV/0!</v>
      </c>
      <c r="DV39" s="178" t="e">
        <f t="shared" si="54"/>
        <v>#DIV/0!</v>
      </c>
      <c r="DW39" s="178" t="e">
        <f t="shared" si="54"/>
        <v>#DIV/0!</v>
      </c>
      <c r="DX39" s="178" t="e">
        <f t="shared" si="54"/>
        <v>#DIV/0!</v>
      </c>
      <c r="DY39" s="178" t="e">
        <f t="shared" si="54"/>
        <v>#DIV/0!</v>
      </c>
      <c r="DZ39" s="168" t="e">
        <f t="shared" si="54"/>
        <v>#DIV/0!</v>
      </c>
      <c r="EA39" s="169" t="e">
        <f t="shared" si="55"/>
        <v>#DIV/0!</v>
      </c>
      <c r="EB39" s="171" t="e">
        <f t="shared" si="56"/>
        <v>#DIV/0!</v>
      </c>
    </row>
    <row r="40" spans="1:132" s="177" customFormat="1" ht="15.75">
      <c r="A40" s="163">
        <v>43831</v>
      </c>
      <c r="B40" s="403" t="s">
        <v>90</v>
      </c>
      <c r="C40" s="406" t="s">
        <v>200</v>
      </c>
      <c r="D40" s="405">
        <v>18000</v>
      </c>
      <c r="E40" s="167"/>
      <c r="F40" s="168" t="e">
        <f t="shared" si="20"/>
        <v>#DIV/0!</v>
      </c>
      <c r="G40" s="169" t="e">
        <f t="shared" si="30"/>
        <v>#DIV/0!</v>
      </c>
      <c r="H40" s="178" t="e">
        <f t="shared" si="30"/>
        <v>#DIV/0!</v>
      </c>
      <c r="I40" s="178" t="e">
        <f t="shared" si="30"/>
        <v>#DIV/0!</v>
      </c>
      <c r="J40" s="178" t="e">
        <f t="shared" si="30"/>
        <v>#DIV/0!</v>
      </c>
      <c r="K40" s="178" t="e">
        <f t="shared" si="30"/>
        <v>#DIV/0!</v>
      </c>
      <c r="L40" s="178" t="e">
        <f t="shared" si="30"/>
        <v>#DIV/0!</v>
      </c>
      <c r="M40" s="178" t="e">
        <f t="shared" si="30"/>
        <v>#DIV/0!</v>
      </c>
      <c r="N40" s="178" t="e">
        <f t="shared" si="30"/>
        <v>#DIV/0!</v>
      </c>
      <c r="O40" s="178" t="e">
        <f t="shared" si="30"/>
        <v>#DIV/0!</v>
      </c>
      <c r="P40" s="178" t="e">
        <f t="shared" si="30"/>
        <v>#DIV/0!</v>
      </c>
      <c r="Q40" s="178" t="e">
        <f t="shared" si="30"/>
        <v>#DIV/0!</v>
      </c>
      <c r="R40" s="179" t="e">
        <f t="shared" si="30"/>
        <v>#DIV/0!</v>
      </c>
      <c r="S40" s="169" t="e">
        <f t="shared" si="31"/>
        <v>#DIV/0!</v>
      </c>
      <c r="T40" s="179" t="e">
        <f t="shared" si="32"/>
        <v>#DIV/0!</v>
      </c>
      <c r="U40" s="180" t="e">
        <f t="shared" si="33"/>
        <v>#DIV/0!</v>
      </c>
      <c r="V40" s="178" t="e">
        <f t="shared" si="33"/>
        <v>#DIV/0!</v>
      </c>
      <c r="W40" s="178" t="e">
        <f t="shared" si="33"/>
        <v>#DIV/0!</v>
      </c>
      <c r="X40" s="178" t="e">
        <f t="shared" si="33"/>
        <v>#DIV/0!</v>
      </c>
      <c r="Y40" s="178" t="e">
        <f t="shared" si="33"/>
        <v>#DIV/0!</v>
      </c>
      <c r="Z40" s="178" t="e">
        <f t="shared" si="33"/>
        <v>#DIV/0!</v>
      </c>
      <c r="AA40" s="178" t="e">
        <f t="shared" si="33"/>
        <v>#DIV/0!</v>
      </c>
      <c r="AB40" s="178" t="e">
        <f t="shared" si="33"/>
        <v>#DIV/0!</v>
      </c>
      <c r="AC40" s="178" t="e">
        <f t="shared" si="33"/>
        <v>#DIV/0!</v>
      </c>
      <c r="AD40" s="178" t="e">
        <f t="shared" si="33"/>
        <v>#DIV/0!</v>
      </c>
      <c r="AE40" s="178" t="e">
        <f t="shared" si="33"/>
        <v>#DIV/0!</v>
      </c>
      <c r="AF40" s="168" t="e">
        <f t="shared" si="33"/>
        <v>#DIV/0!</v>
      </c>
      <c r="AG40" s="169" t="e">
        <f t="shared" si="34"/>
        <v>#DIV/0!</v>
      </c>
      <c r="AH40" s="179" t="e">
        <f t="shared" si="35"/>
        <v>#DIV/0!</v>
      </c>
      <c r="AI40" s="180" t="e">
        <f t="shared" si="36"/>
        <v>#DIV/0!</v>
      </c>
      <c r="AJ40" s="178" t="e">
        <f t="shared" si="36"/>
        <v>#DIV/0!</v>
      </c>
      <c r="AK40" s="178" t="e">
        <f t="shared" si="36"/>
        <v>#DIV/0!</v>
      </c>
      <c r="AL40" s="178" t="e">
        <f t="shared" si="36"/>
        <v>#DIV/0!</v>
      </c>
      <c r="AM40" s="178" t="e">
        <f t="shared" si="36"/>
        <v>#DIV/0!</v>
      </c>
      <c r="AN40" s="178" t="e">
        <f t="shared" si="36"/>
        <v>#DIV/0!</v>
      </c>
      <c r="AO40" s="178" t="e">
        <f t="shared" si="36"/>
        <v>#DIV/0!</v>
      </c>
      <c r="AP40" s="178" t="e">
        <f t="shared" si="36"/>
        <v>#DIV/0!</v>
      </c>
      <c r="AQ40" s="178" t="e">
        <f t="shared" si="36"/>
        <v>#DIV/0!</v>
      </c>
      <c r="AR40" s="178" t="e">
        <f t="shared" si="36"/>
        <v>#DIV/0!</v>
      </c>
      <c r="AS40" s="178" t="e">
        <f t="shared" si="36"/>
        <v>#DIV/0!</v>
      </c>
      <c r="AT40" s="168" t="e">
        <f t="shared" si="36"/>
        <v>#DIV/0!</v>
      </c>
      <c r="AU40" s="169" t="e">
        <f t="shared" si="37"/>
        <v>#DIV/0!</v>
      </c>
      <c r="AV40" s="179" t="e">
        <f t="shared" si="38"/>
        <v>#DIV/0!</v>
      </c>
      <c r="AW40" s="180" t="e">
        <f t="shared" si="39"/>
        <v>#DIV/0!</v>
      </c>
      <c r="AX40" s="178" t="e">
        <f t="shared" si="39"/>
        <v>#DIV/0!</v>
      </c>
      <c r="AY40" s="178" t="e">
        <f t="shared" si="39"/>
        <v>#DIV/0!</v>
      </c>
      <c r="AZ40" s="178" t="e">
        <f t="shared" si="39"/>
        <v>#DIV/0!</v>
      </c>
      <c r="BA40" s="178" t="e">
        <f t="shared" si="39"/>
        <v>#DIV/0!</v>
      </c>
      <c r="BB40" s="178" t="e">
        <f t="shared" si="39"/>
        <v>#DIV/0!</v>
      </c>
      <c r="BC40" s="178" t="e">
        <f t="shared" si="39"/>
        <v>#DIV/0!</v>
      </c>
      <c r="BD40" s="178" t="e">
        <f t="shared" si="39"/>
        <v>#DIV/0!</v>
      </c>
      <c r="BE40" s="178" t="e">
        <f t="shared" si="39"/>
        <v>#DIV/0!</v>
      </c>
      <c r="BF40" s="178" t="e">
        <f t="shared" si="39"/>
        <v>#DIV/0!</v>
      </c>
      <c r="BG40" s="178" t="e">
        <f t="shared" si="39"/>
        <v>#DIV/0!</v>
      </c>
      <c r="BH40" s="168" t="e">
        <f t="shared" si="39"/>
        <v>#DIV/0!</v>
      </c>
      <c r="BI40" s="169" t="e">
        <f t="shared" si="40"/>
        <v>#DIV/0!</v>
      </c>
      <c r="BJ40" s="179" t="e">
        <f t="shared" si="41"/>
        <v>#DIV/0!</v>
      </c>
      <c r="BK40" s="180" t="e">
        <f t="shared" si="42"/>
        <v>#DIV/0!</v>
      </c>
      <c r="BL40" s="178" t="e">
        <f t="shared" si="42"/>
        <v>#DIV/0!</v>
      </c>
      <c r="BM40" s="178" t="e">
        <f t="shared" si="42"/>
        <v>#DIV/0!</v>
      </c>
      <c r="BN40" s="178" t="e">
        <f t="shared" si="42"/>
        <v>#DIV/0!</v>
      </c>
      <c r="BO40" s="178" t="e">
        <f t="shared" si="42"/>
        <v>#DIV/0!</v>
      </c>
      <c r="BP40" s="178" t="e">
        <f t="shared" si="42"/>
        <v>#DIV/0!</v>
      </c>
      <c r="BQ40" s="178" t="e">
        <f t="shared" si="42"/>
        <v>#DIV/0!</v>
      </c>
      <c r="BR40" s="178" t="e">
        <f t="shared" si="42"/>
        <v>#DIV/0!</v>
      </c>
      <c r="BS40" s="178" t="e">
        <f t="shared" si="42"/>
        <v>#DIV/0!</v>
      </c>
      <c r="BT40" s="178" t="e">
        <f t="shared" si="42"/>
        <v>#DIV/0!</v>
      </c>
      <c r="BU40" s="178" t="e">
        <f t="shared" si="42"/>
        <v>#DIV/0!</v>
      </c>
      <c r="BV40" s="168" t="e">
        <f t="shared" si="42"/>
        <v>#DIV/0!</v>
      </c>
      <c r="BW40" s="169" t="e">
        <f t="shared" si="43"/>
        <v>#DIV/0!</v>
      </c>
      <c r="BX40" s="179" t="e">
        <f t="shared" si="44"/>
        <v>#DIV/0!</v>
      </c>
      <c r="BY40" s="180" t="e">
        <f t="shared" si="45"/>
        <v>#DIV/0!</v>
      </c>
      <c r="BZ40" s="178" t="e">
        <f t="shared" si="45"/>
        <v>#DIV/0!</v>
      </c>
      <c r="CA40" s="178" t="e">
        <f t="shared" si="45"/>
        <v>#DIV/0!</v>
      </c>
      <c r="CB40" s="178" t="e">
        <f t="shared" si="45"/>
        <v>#DIV/0!</v>
      </c>
      <c r="CC40" s="178" t="e">
        <f t="shared" si="45"/>
        <v>#DIV/0!</v>
      </c>
      <c r="CD40" s="178" t="e">
        <f t="shared" si="45"/>
        <v>#DIV/0!</v>
      </c>
      <c r="CE40" s="178" t="e">
        <f t="shared" si="45"/>
        <v>#DIV/0!</v>
      </c>
      <c r="CF40" s="178" t="e">
        <f t="shared" si="45"/>
        <v>#DIV/0!</v>
      </c>
      <c r="CG40" s="178" t="e">
        <f t="shared" si="45"/>
        <v>#DIV/0!</v>
      </c>
      <c r="CH40" s="178" t="e">
        <f t="shared" si="45"/>
        <v>#DIV/0!</v>
      </c>
      <c r="CI40" s="178" t="e">
        <f t="shared" si="45"/>
        <v>#DIV/0!</v>
      </c>
      <c r="CJ40" s="168" t="e">
        <f t="shared" si="45"/>
        <v>#DIV/0!</v>
      </c>
      <c r="CK40" s="169" t="e">
        <f t="shared" si="46"/>
        <v>#DIV/0!</v>
      </c>
      <c r="CL40" s="179" t="e">
        <f t="shared" si="47"/>
        <v>#DIV/0!</v>
      </c>
      <c r="CM40" s="180" t="e">
        <f t="shared" si="48"/>
        <v>#DIV/0!</v>
      </c>
      <c r="CN40" s="178" t="e">
        <f t="shared" si="48"/>
        <v>#DIV/0!</v>
      </c>
      <c r="CO40" s="178" t="e">
        <f t="shared" si="48"/>
        <v>#DIV/0!</v>
      </c>
      <c r="CP40" s="178" t="e">
        <f t="shared" si="48"/>
        <v>#DIV/0!</v>
      </c>
      <c r="CQ40" s="178" t="e">
        <f t="shared" si="48"/>
        <v>#DIV/0!</v>
      </c>
      <c r="CR40" s="178" t="e">
        <f t="shared" si="48"/>
        <v>#DIV/0!</v>
      </c>
      <c r="CS40" s="178" t="e">
        <f t="shared" si="48"/>
        <v>#DIV/0!</v>
      </c>
      <c r="CT40" s="178" t="e">
        <f t="shared" si="48"/>
        <v>#DIV/0!</v>
      </c>
      <c r="CU40" s="178" t="e">
        <f t="shared" si="48"/>
        <v>#DIV/0!</v>
      </c>
      <c r="CV40" s="178" t="e">
        <f t="shared" si="48"/>
        <v>#DIV/0!</v>
      </c>
      <c r="CW40" s="178" t="e">
        <f t="shared" si="48"/>
        <v>#DIV/0!</v>
      </c>
      <c r="CX40" s="168" t="e">
        <f t="shared" si="48"/>
        <v>#DIV/0!</v>
      </c>
      <c r="CY40" s="169" t="e">
        <f t="shared" si="49"/>
        <v>#DIV/0!</v>
      </c>
      <c r="CZ40" s="179" t="e">
        <f t="shared" si="50"/>
        <v>#DIV/0!</v>
      </c>
      <c r="DA40" s="180" t="e">
        <f t="shared" si="51"/>
        <v>#DIV/0!</v>
      </c>
      <c r="DB40" s="178" t="e">
        <f t="shared" si="51"/>
        <v>#DIV/0!</v>
      </c>
      <c r="DC40" s="178" t="e">
        <f t="shared" si="51"/>
        <v>#DIV/0!</v>
      </c>
      <c r="DD40" s="178" t="e">
        <f t="shared" si="51"/>
        <v>#DIV/0!</v>
      </c>
      <c r="DE40" s="178" t="e">
        <f t="shared" si="51"/>
        <v>#DIV/0!</v>
      </c>
      <c r="DF40" s="178" t="e">
        <f t="shared" si="51"/>
        <v>#DIV/0!</v>
      </c>
      <c r="DG40" s="178" t="e">
        <f t="shared" si="51"/>
        <v>#DIV/0!</v>
      </c>
      <c r="DH40" s="178" t="e">
        <f t="shared" si="51"/>
        <v>#DIV/0!</v>
      </c>
      <c r="DI40" s="178" t="e">
        <f t="shared" si="51"/>
        <v>#DIV/0!</v>
      </c>
      <c r="DJ40" s="178" t="e">
        <f t="shared" si="51"/>
        <v>#DIV/0!</v>
      </c>
      <c r="DK40" s="178" t="e">
        <f t="shared" si="51"/>
        <v>#DIV/0!</v>
      </c>
      <c r="DL40" s="168" t="e">
        <f t="shared" si="51"/>
        <v>#DIV/0!</v>
      </c>
      <c r="DM40" s="169" t="e">
        <f t="shared" si="52"/>
        <v>#DIV/0!</v>
      </c>
      <c r="DN40" s="171" t="e">
        <f t="shared" si="53"/>
        <v>#DIV/0!</v>
      </c>
      <c r="DO40" s="180" t="e">
        <f t="shared" si="54"/>
        <v>#DIV/0!</v>
      </c>
      <c r="DP40" s="178" t="e">
        <f t="shared" si="54"/>
        <v>#DIV/0!</v>
      </c>
      <c r="DQ40" s="178" t="e">
        <f t="shared" si="54"/>
        <v>#DIV/0!</v>
      </c>
      <c r="DR40" s="178" t="e">
        <f t="shared" si="54"/>
        <v>#DIV/0!</v>
      </c>
      <c r="DS40" s="178" t="e">
        <f t="shared" si="54"/>
        <v>#DIV/0!</v>
      </c>
      <c r="DT40" s="178" t="e">
        <f t="shared" si="54"/>
        <v>#DIV/0!</v>
      </c>
      <c r="DU40" s="178" t="e">
        <f t="shared" si="54"/>
        <v>#DIV/0!</v>
      </c>
      <c r="DV40" s="178" t="e">
        <f t="shared" si="54"/>
        <v>#DIV/0!</v>
      </c>
      <c r="DW40" s="178" t="e">
        <f t="shared" si="54"/>
        <v>#DIV/0!</v>
      </c>
      <c r="DX40" s="178" t="e">
        <f t="shared" si="54"/>
        <v>#DIV/0!</v>
      </c>
      <c r="DY40" s="178" t="e">
        <f t="shared" si="54"/>
        <v>#DIV/0!</v>
      </c>
      <c r="DZ40" s="168" t="e">
        <f t="shared" si="54"/>
        <v>#DIV/0!</v>
      </c>
      <c r="EA40" s="169" t="e">
        <f t="shared" si="55"/>
        <v>#DIV/0!</v>
      </c>
      <c r="EB40" s="171" t="e">
        <f t="shared" si="56"/>
        <v>#DIV/0!</v>
      </c>
    </row>
    <row r="41" spans="1:132" s="177" customFormat="1" ht="15.75">
      <c r="A41" s="163">
        <v>43831</v>
      </c>
      <c r="B41" s="403" t="s">
        <v>88</v>
      </c>
      <c r="C41" s="406" t="s">
        <v>202</v>
      </c>
      <c r="D41" s="405">
        <v>400</v>
      </c>
      <c r="E41" s="167"/>
      <c r="F41" s="168" t="e">
        <f t="shared" si="20"/>
        <v>#DIV/0!</v>
      </c>
      <c r="G41" s="169" t="e">
        <f t="shared" si="30"/>
        <v>#DIV/0!</v>
      </c>
      <c r="H41" s="178" t="e">
        <f t="shared" si="30"/>
        <v>#DIV/0!</v>
      </c>
      <c r="I41" s="178" t="e">
        <f t="shared" si="30"/>
        <v>#DIV/0!</v>
      </c>
      <c r="J41" s="178" t="e">
        <f t="shared" si="30"/>
        <v>#DIV/0!</v>
      </c>
      <c r="K41" s="178" t="e">
        <f t="shared" si="30"/>
        <v>#DIV/0!</v>
      </c>
      <c r="L41" s="178" t="e">
        <f t="shared" si="30"/>
        <v>#DIV/0!</v>
      </c>
      <c r="M41" s="178" t="e">
        <f t="shared" si="30"/>
        <v>#DIV/0!</v>
      </c>
      <c r="N41" s="178" t="e">
        <f t="shared" si="30"/>
        <v>#DIV/0!</v>
      </c>
      <c r="O41" s="178" t="e">
        <f t="shared" si="30"/>
        <v>#DIV/0!</v>
      </c>
      <c r="P41" s="178" t="e">
        <f t="shared" si="30"/>
        <v>#DIV/0!</v>
      </c>
      <c r="Q41" s="178" t="e">
        <f t="shared" si="30"/>
        <v>#DIV/0!</v>
      </c>
      <c r="R41" s="179" t="e">
        <f t="shared" si="30"/>
        <v>#DIV/0!</v>
      </c>
      <c r="S41" s="169" t="e">
        <f t="shared" si="31"/>
        <v>#DIV/0!</v>
      </c>
      <c r="T41" s="179" t="e">
        <f t="shared" si="32"/>
        <v>#DIV/0!</v>
      </c>
      <c r="U41" s="180" t="e">
        <f t="shared" si="33"/>
        <v>#DIV/0!</v>
      </c>
      <c r="V41" s="178" t="e">
        <f t="shared" si="33"/>
        <v>#DIV/0!</v>
      </c>
      <c r="W41" s="178" t="e">
        <f t="shared" si="33"/>
        <v>#DIV/0!</v>
      </c>
      <c r="X41" s="178" t="e">
        <f t="shared" si="33"/>
        <v>#DIV/0!</v>
      </c>
      <c r="Y41" s="178" t="e">
        <f t="shared" si="33"/>
        <v>#DIV/0!</v>
      </c>
      <c r="Z41" s="178" t="e">
        <f t="shared" si="33"/>
        <v>#DIV/0!</v>
      </c>
      <c r="AA41" s="178" t="e">
        <f t="shared" si="33"/>
        <v>#DIV/0!</v>
      </c>
      <c r="AB41" s="178" t="e">
        <f t="shared" si="33"/>
        <v>#DIV/0!</v>
      </c>
      <c r="AC41" s="178" t="e">
        <f t="shared" si="33"/>
        <v>#DIV/0!</v>
      </c>
      <c r="AD41" s="178" t="e">
        <f t="shared" si="33"/>
        <v>#DIV/0!</v>
      </c>
      <c r="AE41" s="178" t="e">
        <f t="shared" si="33"/>
        <v>#DIV/0!</v>
      </c>
      <c r="AF41" s="168" t="e">
        <f t="shared" si="33"/>
        <v>#DIV/0!</v>
      </c>
      <c r="AG41" s="169" t="e">
        <f t="shared" si="34"/>
        <v>#DIV/0!</v>
      </c>
      <c r="AH41" s="179" t="e">
        <f t="shared" si="35"/>
        <v>#DIV/0!</v>
      </c>
      <c r="AI41" s="180" t="e">
        <f t="shared" si="36"/>
        <v>#DIV/0!</v>
      </c>
      <c r="AJ41" s="178" t="e">
        <f t="shared" si="36"/>
        <v>#DIV/0!</v>
      </c>
      <c r="AK41" s="178" t="e">
        <f t="shared" si="36"/>
        <v>#DIV/0!</v>
      </c>
      <c r="AL41" s="178" t="e">
        <f t="shared" si="36"/>
        <v>#DIV/0!</v>
      </c>
      <c r="AM41" s="178" t="e">
        <f t="shared" si="36"/>
        <v>#DIV/0!</v>
      </c>
      <c r="AN41" s="178" t="e">
        <f t="shared" si="36"/>
        <v>#DIV/0!</v>
      </c>
      <c r="AO41" s="178" t="e">
        <f t="shared" si="36"/>
        <v>#DIV/0!</v>
      </c>
      <c r="AP41" s="178" t="e">
        <f t="shared" si="36"/>
        <v>#DIV/0!</v>
      </c>
      <c r="AQ41" s="178" t="e">
        <f t="shared" si="36"/>
        <v>#DIV/0!</v>
      </c>
      <c r="AR41" s="178" t="e">
        <f t="shared" si="36"/>
        <v>#DIV/0!</v>
      </c>
      <c r="AS41" s="178" t="e">
        <f t="shared" si="36"/>
        <v>#DIV/0!</v>
      </c>
      <c r="AT41" s="168" t="e">
        <f t="shared" si="36"/>
        <v>#DIV/0!</v>
      </c>
      <c r="AU41" s="169" t="e">
        <f t="shared" si="37"/>
        <v>#DIV/0!</v>
      </c>
      <c r="AV41" s="179" t="e">
        <f t="shared" si="38"/>
        <v>#DIV/0!</v>
      </c>
      <c r="AW41" s="180" t="e">
        <f t="shared" si="39"/>
        <v>#DIV/0!</v>
      </c>
      <c r="AX41" s="178" t="e">
        <f t="shared" si="39"/>
        <v>#DIV/0!</v>
      </c>
      <c r="AY41" s="178" t="e">
        <f t="shared" si="39"/>
        <v>#DIV/0!</v>
      </c>
      <c r="AZ41" s="178" t="e">
        <f t="shared" si="39"/>
        <v>#DIV/0!</v>
      </c>
      <c r="BA41" s="178" t="e">
        <f t="shared" si="39"/>
        <v>#DIV/0!</v>
      </c>
      <c r="BB41" s="178" t="e">
        <f t="shared" si="39"/>
        <v>#DIV/0!</v>
      </c>
      <c r="BC41" s="178" t="e">
        <f t="shared" si="39"/>
        <v>#DIV/0!</v>
      </c>
      <c r="BD41" s="178" t="e">
        <f t="shared" si="39"/>
        <v>#DIV/0!</v>
      </c>
      <c r="BE41" s="178" t="e">
        <f t="shared" si="39"/>
        <v>#DIV/0!</v>
      </c>
      <c r="BF41" s="178" t="e">
        <f t="shared" si="39"/>
        <v>#DIV/0!</v>
      </c>
      <c r="BG41" s="178" t="e">
        <f t="shared" si="39"/>
        <v>#DIV/0!</v>
      </c>
      <c r="BH41" s="168" t="e">
        <f t="shared" si="39"/>
        <v>#DIV/0!</v>
      </c>
      <c r="BI41" s="169" t="e">
        <f t="shared" si="40"/>
        <v>#DIV/0!</v>
      </c>
      <c r="BJ41" s="179" t="e">
        <f t="shared" si="41"/>
        <v>#DIV/0!</v>
      </c>
      <c r="BK41" s="180" t="e">
        <f t="shared" si="42"/>
        <v>#DIV/0!</v>
      </c>
      <c r="BL41" s="178" t="e">
        <f t="shared" si="42"/>
        <v>#DIV/0!</v>
      </c>
      <c r="BM41" s="178" t="e">
        <f t="shared" si="42"/>
        <v>#DIV/0!</v>
      </c>
      <c r="BN41" s="178" t="e">
        <f t="shared" si="42"/>
        <v>#DIV/0!</v>
      </c>
      <c r="BO41" s="178" t="e">
        <f t="shared" si="42"/>
        <v>#DIV/0!</v>
      </c>
      <c r="BP41" s="178" t="e">
        <f t="shared" si="42"/>
        <v>#DIV/0!</v>
      </c>
      <c r="BQ41" s="178" t="e">
        <f t="shared" si="42"/>
        <v>#DIV/0!</v>
      </c>
      <c r="BR41" s="178" t="e">
        <f t="shared" si="42"/>
        <v>#DIV/0!</v>
      </c>
      <c r="BS41" s="178" t="e">
        <f t="shared" si="42"/>
        <v>#DIV/0!</v>
      </c>
      <c r="BT41" s="178" t="e">
        <f t="shared" si="42"/>
        <v>#DIV/0!</v>
      </c>
      <c r="BU41" s="178" t="e">
        <f t="shared" si="42"/>
        <v>#DIV/0!</v>
      </c>
      <c r="BV41" s="168" t="e">
        <f t="shared" si="42"/>
        <v>#DIV/0!</v>
      </c>
      <c r="BW41" s="169" t="e">
        <f t="shared" si="43"/>
        <v>#DIV/0!</v>
      </c>
      <c r="BX41" s="179" t="e">
        <f t="shared" si="44"/>
        <v>#DIV/0!</v>
      </c>
      <c r="BY41" s="180" t="e">
        <f t="shared" si="45"/>
        <v>#DIV/0!</v>
      </c>
      <c r="BZ41" s="178" t="e">
        <f t="shared" si="45"/>
        <v>#DIV/0!</v>
      </c>
      <c r="CA41" s="178" t="e">
        <f t="shared" si="45"/>
        <v>#DIV/0!</v>
      </c>
      <c r="CB41" s="178" t="e">
        <f t="shared" si="45"/>
        <v>#DIV/0!</v>
      </c>
      <c r="CC41" s="178" t="e">
        <f t="shared" si="45"/>
        <v>#DIV/0!</v>
      </c>
      <c r="CD41" s="178" t="e">
        <f t="shared" si="45"/>
        <v>#DIV/0!</v>
      </c>
      <c r="CE41" s="178" t="e">
        <f t="shared" si="45"/>
        <v>#DIV/0!</v>
      </c>
      <c r="CF41" s="178" t="e">
        <f t="shared" si="45"/>
        <v>#DIV/0!</v>
      </c>
      <c r="CG41" s="178" t="e">
        <f t="shared" si="45"/>
        <v>#DIV/0!</v>
      </c>
      <c r="CH41" s="178" t="e">
        <f t="shared" si="45"/>
        <v>#DIV/0!</v>
      </c>
      <c r="CI41" s="178" t="e">
        <f t="shared" si="45"/>
        <v>#DIV/0!</v>
      </c>
      <c r="CJ41" s="168" t="e">
        <f t="shared" si="45"/>
        <v>#DIV/0!</v>
      </c>
      <c r="CK41" s="169" t="e">
        <f t="shared" si="46"/>
        <v>#DIV/0!</v>
      </c>
      <c r="CL41" s="179" t="e">
        <f t="shared" si="47"/>
        <v>#DIV/0!</v>
      </c>
      <c r="CM41" s="180" t="e">
        <f t="shared" si="48"/>
        <v>#DIV/0!</v>
      </c>
      <c r="CN41" s="178" t="e">
        <f t="shared" si="48"/>
        <v>#DIV/0!</v>
      </c>
      <c r="CO41" s="178" t="e">
        <f t="shared" si="48"/>
        <v>#DIV/0!</v>
      </c>
      <c r="CP41" s="178" t="e">
        <f t="shared" si="48"/>
        <v>#DIV/0!</v>
      </c>
      <c r="CQ41" s="178" t="e">
        <f t="shared" si="48"/>
        <v>#DIV/0!</v>
      </c>
      <c r="CR41" s="178" t="e">
        <f t="shared" si="48"/>
        <v>#DIV/0!</v>
      </c>
      <c r="CS41" s="178" t="e">
        <f t="shared" si="48"/>
        <v>#DIV/0!</v>
      </c>
      <c r="CT41" s="178" t="e">
        <f t="shared" si="48"/>
        <v>#DIV/0!</v>
      </c>
      <c r="CU41" s="178" t="e">
        <f t="shared" si="48"/>
        <v>#DIV/0!</v>
      </c>
      <c r="CV41" s="178" t="e">
        <f t="shared" si="48"/>
        <v>#DIV/0!</v>
      </c>
      <c r="CW41" s="178" t="e">
        <f t="shared" si="48"/>
        <v>#DIV/0!</v>
      </c>
      <c r="CX41" s="168" t="e">
        <f t="shared" si="48"/>
        <v>#DIV/0!</v>
      </c>
      <c r="CY41" s="169" t="e">
        <f t="shared" si="49"/>
        <v>#DIV/0!</v>
      </c>
      <c r="CZ41" s="179" t="e">
        <f t="shared" si="50"/>
        <v>#DIV/0!</v>
      </c>
      <c r="DA41" s="180" t="e">
        <f t="shared" si="51"/>
        <v>#DIV/0!</v>
      </c>
      <c r="DB41" s="178" t="e">
        <f t="shared" si="51"/>
        <v>#DIV/0!</v>
      </c>
      <c r="DC41" s="178" t="e">
        <f t="shared" si="51"/>
        <v>#DIV/0!</v>
      </c>
      <c r="DD41" s="178" t="e">
        <f t="shared" si="51"/>
        <v>#DIV/0!</v>
      </c>
      <c r="DE41" s="178" t="e">
        <f t="shared" si="51"/>
        <v>#DIV/0!</v>
      </c>
      <c r="DF41" s="178" t="e">
        <f t="shared" si="51"/>
        <v>#DIV/0!</v>
      </c>
      <c r="DG41" s="178" t="e">
        <f t="shared" si="51"/>
        <v>#DIV/0!</v>
      </c>
      <c r="DH41" s="178" t="e">
        <f t="shared" si="51"/>
        <v>#DIV/0!</v>
      </c>
      <c r="DI41" s="178" t="e">
        <f t="shared" si="51"/>
        <v>#DIV/0!</v>
      </c>
      <c r="DJ41" s="178" t="e">
        <f t="shared" si="51"/>
        <v>#DIV/0!</v>
      </c>
      <c r="DK41" s="178" t="e">
        <f t="shared" si="51"/>
        <v>#DIV/0!</v>
      </c>
      <c r="DL41" s="168" t="e">
        <f t="shared" si="51"/>
        <v>#DIV/0!</v>
      </c>
      <c r="DM41" s="169" t="e">
        <f t="shared" si="52"/>
        <v>#DIV/0!</v>
      </c>
      <c r="DN41" s="171" t="e">
        <f t="shared" si="53"/>
        <v>#DIV/0!</v>
      </c>
      <c r="DO41" s="180" t="e">
        <f t="shared" si="54"/>
        <v>#DIV/0!</v>
      </c>
      <c r="DP41" s="178" t="e">
        <f t="shared" si="54"/>
        <v>#DIV/0!</v>
      </c>
      <c r="DQ41" s="178" t="e">
        <f t="shared" si="54"/>
        <v>#DIV/0!</v>
      </c>
      <c r="DR41" s="178" t="e">
        <f t="shared" si="54"/>
        <v>#DIV/0!</v>
      </c>
      <c r="DS41" s="178" t="e">
        <f t="shared" si="54"/>
        <v>#DIV/0!</v>
      </c>
      <c r="DT41" s="178" t="e">
        <f t="shared" si="54"/>
        <v>#DIV/0!</v>
      </c>
      <c r="DU41" s="178" t="e">
        <f t="shared" si="54"/>
        <v>#DIV/0!</v>
      </c>
      <c r="DV41" s="178" t="e">
        <f t="shared" si="54"/>
        <v>#DIV/0!</v>
      </c>
      <c r="DW41" s="178" t="e">
        <f t="shared" si="54"/>
        <v>#DIV/0!</v>
      </c>
      <c r="DX41" s="178" t="e">
        <f t="shared" si="54"/>
        <v>#DIV/0!</v>
      </c>
      <c r="DY41" s="178" t="e">
        <f t="shared" si="54"/>
        <v>#DIV/0!</v>
      </c>
      <c r="DZ41" s="168" t="e">
        <f t="shared" si="54"/>
        <v>#DIV/0!</v>
      </c>
      <c r="EA41" s="169" t="e">
        <f t="shared" si="55"/>
        <v>#DIV/0!</v>
      </c>
      <c r="EB41" s="171" t="e">
        <f t="shared" si="56"/>
        <v>#DIV/0!</v>
      </c>
    </row>
    <row r="42" spans="1:132" s="177" customFormat="1" ht="15.75">
      <c r="A42" s="163">
        <v>43831</v>
      </c>
      <c r="B42" s="403" t="s">
        <v>90</v>
      </c>
      <c r="C42" s="406" t="s">
        <v>282</v>
      </c>
      <c r="D42" s="405">
        <v>35000</v>
      </c>
      <c r="E42" s="167"/>
      <c r="F42" s="168" t="e">
        <f t="shared" si="20"/>
        <v>#DIV/0!</v>
      </c>
      <c r="G42" s="169" t="e">
        <f t="shared" si="30"/>
        <v>#DIV/0!</v>
      </c>
      <c r="H42" s="178" t="e">
        <f t="shared" si="30"/>
        <v>#DIV/0!</v>
      </c>
      <c r="I42" s="178" t="e">
        <f t="shared" si="30"/>
        <v>#DIV/0!</v>
      </c>
      <c r="J42" s="178" t="e">
        <f t="shared" si="30"/>
        <v>#DIV/0!</v>
      </c>
      <c r="K42" s="178" t="e">
        <f t="shared" si="30"/>
        <v>#DIV/0!</v>
      </c>
      <c r="L42" s="178" t="e">
        <f t="shared" si="30"/>
        <v>#DIV/0!</v>
      </c>
      <c r="M42" s="178" t="e">
        <f t="shared" si="30"/>
        <v>#DIV/0!</v>
      </c>
      <c r="N42" s="178" t="e">
        <f t="shared" si="30"/>
        <v>#DIV/0!</v>
      </c>
      <c r="O42" s="178" t="e">
        <f t="shared" si="30"/>
        <v>#DIV/0!</v>
      </c>
      <c r="P42" s="178" t="e">
        <f t="shared" si="30"/>
        <v>#DIV/0!</v>
      </c>
      <c r="Q42" s="178" t="e">
        <f t="shared" si="30"/>
        <v>#DIV/0!</v>
      </c>
      <c r="R42" s="179" t="e">
        <f t="shared" si="30"/>
        <v>#DIV/0!</v>
      </c>
      <c r="S42" s="169" t="e">
        <f t="shared" si="31"/>
        <v>#DIV/0!</v>
      </c>
      <c r="T42" s="179" t="e">
        <f t="shared" si="32"/>
        <v>#DIV/0!</v>
      </c>
      <c r="U42" s="180" t="e">
        <f t="shared" si="33"/>
        <v>#DIV/0!</v>
      </c>
      <c r="V42" s="178" t="e">
        <f t="shared" si="33"/>
        <v>#DIV/0!</v>
      </c>
      <c r="W42" s="178" t="e">
        <f t="shared" si="33"/>
        <v>#DIV/0!</v>
      </c>
      <c r="X42" s="178" t="e">
        <f t="shared" si="33"/>
        <v>#DIV/0!</v>
      </c>
      <c r="Y42" s="178" t="e">
        <f t="shared" si="33"/>
        <v>#DIV/0!</v>
      </c>
      <c r="Z42" s="178" t="e">
        <f t="shared" si="33"/>
        <v>#DIV/0!</v>
      </c>
      <c r="AA42" s="178" t="e">
        <f t="shared" si="33"/>
        <v>#DIV/0!</v>
      </c>
      <c r="AB42" s="178" t="e">
        <f t="shared" si="33"/>
        <v>#DIV/0!</v>
      </c>
      <c r="AC42" s="178" t="e">
        <f t="shared" si="33"/>
        <v>#DIV/0!</v>
      </c>
      <c r="AD42" s="178" t="e">
        <f t="shared" si="33"/>
        <v>#DIV/0!</v>
      </c>
      <c r="AE42" s="178" t="e">
        <f t="shared" si="33"/>
        <v>#DIV/0!</v>
      </c>
      <c r="AF42" s="168" t="e">
        <f t="shared" si="33"/>
        <v>#DIV/0!</v>
      </c>
      <c r="AG42" s="169" t="e">
        <f t="shared" si="34"/>
        <v>#DIV/0!</v>
      </c>
      <c r="AH42" s="179" t="e">
        <f t="shared" si="35"/>
        <v>#DIV/0!</v>
      </c>
      <c r="AI42" s="180" t="e">
        <f t="shared" si="36"/>
        <v>#DIV/0!</v>
      </c>
      <c r="AJ42" s="178" t="e">
        <f t="shared" si="36"/>
        <v>#DIV/0!</v>
      </c>
      <c r="AK42" s="178" t="e">
        <f t="shared" si="36"/>
        <v>#DIV/0!</v>
      </c>
      <c r="AL42" s="178" t="e">
        <f t="shared" si="36"/>
        <v>#DIV/0!</v>
      </c>
      <c r="AM42" s="178" t="e">
        <f t="shared" si="36"/>
        <v>#DIV/0!</v>
      </c>
      <c r="AN42" s="178" t="e">
        <f t="shared" si="36"/>
        <v>#DIV/0!</v>
      </c>
      <c r="AO42" s="178" t="e">
        <f t="shared" si="36"/>
        <v>#DIV/0!</v>
      </c>
      <c r="AP42" s="178" t="e">
        <f t="shared" si="36"/>
        <v>#DIV/0!</v>
      </c>
      <c r="AQ42" s="178" t="e">
        <f t="shared" si="36"/>
        <v>#DIV/0!</v>
      </c>
      <c r="AR42" s="178" t="e">
        <f t="shared" si="36"/>
        <v>#DIV/0!</v>
      </c>
      <c r="AS42" s="178" t="e">
        <f t="shared" si="36"/>
        <v>#DIV/0!</v>
      </c>
      <c r="AT42" s="168" t="e">
        <f t="shared" si="36"/>
        <v>#DIV/0!</v>
      </c>
      <c r="AU42" s="169" t="e">
        <f t="shared" si="37"/>
        <v>#DIV/0!</v>
      </c>
      <c r="AV42" s="179" t="e">
        <f t="shared" si="38"/>
        <v>#DIV/0!</v>
      </c>
      <c r="AW42" s="180" t="e">
        <f t="shared" si="39"/>
        <v>#DIV/0!</v>
      </c>
      <c r="AX42" s="178" t="e">
        <f t="shared" si="39"/>
        <v>#DIV/0!</v>
      </c>
      <c r="AY42" s="178" t="e">
        <f t="shared" si="39"/>
        <v>#DIV/0!</v>
      </c>
      <c r="AZ42" s="178" t="e">
        <f t="shared" si="39"/>
        <v>#DIV/0!</v>
      </c>
      <c r="BA42" s="178" t="e">
        <f t="shared" si="39"/>
        <v>#DIV/0!</v>
      </c>
      <c r="BB42" s="178" t="e">
        <f t="shared" si="39"/>
        <v>#DIV/0!</v>
      </c>
      <c r="BC42" s="178" t="e">
        <f t="shared" si="39"/>
        <v>#DIV/0!</v>
      </c>
      <c r="BD42" s="178" t="e">
        <f t="shared" si="39"/>
        <v>#DIV/0!</v>
      </c>
      <c r="BE42" s="178" t="e">
        <f t="shared" si="39"/>
        <v>#DIV/0!</v>
      </c>
      <c r="BF42" s="178" t="e">
        <f t="shared" si="39"/>
        <v>#DIV/0!</v>
      </c>
      <c r="BG42" s="178" t="e">
        <f t="shared" si="39"/>
        <v>#DIV/0!</v>
      </c>
      <c r="BH42" s="168" t="e">
        <f t="shared" si="39"/>
        <v>#DIV/0!</v>
      </c>
      <c r="BI42" s="169" t="e">
        <f t="shared" si="40"/>
        <v>#DIV/0!</v>
      </c>
      <c r="BJ42" s="179" t="e">
        <f t="shared" si="41"/>
        <v>#DIV/0!</v>
      </c>
      <c r="BK42" s="180" t="e">
        <f t="shared" si="42"/>
        <v>#DIV/0!</v>
      </c>
      <c r="BL42" s="178" t="e">
        <f t="shared" si="42"/>
        <v>#DIV/0!</v>
      </c>
      <c r="BM42" s="178" t="e">
        <f t="shared" si="42"/>
        <v>#DIV/0!</v>
      </c>
      <c r="BN42" s="178" t="e">
        <f t="shared" si="42"/>
        <v>#DIV/0!</v>
      </c>
      <c r="BO42" s="178" t="e">
        <f t="shared" si="42"/>
        <v>#DIV/0!</v>
      </c>
      <c r="BP42" s="178" t="e">
        <f t="shared" si="42"/>
        <v>#DIV/0!</v>
      </c>
      <c r="BQ42" s="178" t="e">
        <f t="shared" si="42"/>
        <v>#DIV/0!</v>
      </c>
      <c r="BR42" s="178" t="e">
        <f t="shared" si="42"/>
        <v>#DIV/0!</v>
      </c>
      <c r="BS42" s="178" t="e">
        <f t="shared" si="42"/>
        <v>#DIV/0!</v>
      </c>
      <c r="BT42" s="178" t="e">
        <f t="shared" si="42"/>
        <v>#DIV/0!</v>
      </c>
      <c r="BU42" s="178" t="e">
        <f t="shared" si="42"/>
        <v>#DIV/0!</v>
      </c>
      <c r="BV42" s="168" t="e">
        <f t="shared" si="42"/>
        <v>#DIV/0!</v>
      </c>
      <c r="BW42" s="169" t="e">
        <f t="shared" si="43"/>
        <v>#DIV/0!</v>
      </c>
      <c r="BX42" s="179" t="e">
        <f t="shared" si="44"/>
        <v>#DIV/0!</v>
      </c>
      <c r="BY42" s="180" t="e">
        <f t="shared" si="45"/>
        <v>#DIV/0!</v>
      </c>
      <c r="BZ42" s="178" t="e">
        <f t="shared" si="45"/>
        <v>#DIV/0!</v>
      </c>
      <c r="CA42" s="178" t="e">
        <f t="shared" si="45"/>
        <v>#DIV/0!</v>
      </c>
      <c r="CB42" s="178" t="e">
        <f t="shared" si="45"/>
        <v>#DIV/0!</v>
      </c>
      <c r="CC42" s="178" t="e">
        <f t="shared" si="45"/>
        <v>#DIV/0!</v>
      </c>
      <c r="CD42" s="178" t="e">
        <f t="shared" si="45"/>
        <v>#DIV/0!</v>
      </c>
      <c r="CE42" s="178" t="e">
        <f t="shared" si="45"/>
        <v>#DIV/0!</v>
      </c>
      <c r="CF42" s="178" t="e">
        <f t="shared" si="45"/>
        <v>#DIV/0!</v>
      </c>
      <c r="CG42" s="178" t="e">
        <f t="shared" si="45"/>
        <v>#DIV/0!</v>
      </c>
      <c r="CH42" s="178" t="e">
        <f t="shared" si="45"/>
        <v>#DIV/0!</v>
      </c>
      <c r="CI42" s="178" t="e">
        <f t="shared" si="45"/>
        <v>#DIV/0!</v>
      </c>
      <c r="CJ42" s="168" t="e">
        <f t="shared" si="45"/>
        <v>#DIV/0!</v>
      </c>
      <c r="CK42" s="169" t="e">
        <f t="shared" si="46"/>
        <v>#DIV/0!</v>
      </c>
      <c r="CL42" s="179" t="e">
        <f t="shared" si="47"/>
        <v>#DIV/0!</v>
      </c>
      <c r="CM42" s="180" t="e">
        <f t="shared" si="48"/>
        <v>#DIV/0!</v>
      </c>
      <c r="CN42" s="178" t="e">
        <f t="shared" si="48"/>
        <v>#DIV/0!</v>
      </c>
      <c r="CO42" s="178" t="e">
        <f t="shared" si="48"/>
        <v>#DIV/0!</v>
      </c>
      <c r="CP42" s="178" t="e">
        <f t="shared" si="48"/>
        <v>#DIV/0!</v>
      </c>
      <c r="CQ42" s="178" t="e">
        <f t="shared" si="48"/>
        <v>#DIV/0!</v>
      </c>
      <c r="CR42" s="178" t="e">
        <f t="shared" si="48"/>
        <v>#DIV/0!</v>
      </c>
      <c r="CS42" s="178" t="e">
        <f t="shared" si="48"/>
        <v>#DIV/0!</v>
      </c>
      <c r="CT42" s="178" t="e">
        <f t="shared" si="48"/>
        <v>#DIV/0!</v>
      </c>
      <c r="CU42" s="178" t="e">
        <f t="shared" si="48"/>
        <v>#DIV/0!</v>
      </c>
      <c r="CV42" s="178" t="e">
        <f t="shared" si="48"/>
        <v>#DIV/0!</v>
      </c>
      <c r="CW42" s="178" t="e">
        <f t="shared" si="48"/>
        <v>#DIV/0!</v>
      </c>
      <c r="CX42" s="168" t="e">
        <f t="shared" si="48"/>
        <v>#DIV/0!</v>
      </c>
      <c r="CY42" s="169" t="e">
        <f t="shared" si="49"/>
        <v>#DIV/0!</v>
      </c>
      <c r="CZ42" s="179" t="e">
        <f t="shared" si="50"/>
        <v>#DIV/0!</v>
      </c>
      <c r="DA42" s="180" t="e">
        <f t="shared" si="51"/>
        <v>#DIV/0!</v>
      </c>
      <c r="DB42" s="178" t="e">
        <f t="shared" si="51"/>
        <v>#DIV/0!</v>
      </c>
      <c r="DC42" s="178" t="e">
        <f t="shared" si="51"/>
        <v>#DIV/0!</v>
      </c>
      <c r="DD42" s="178" t="e">
        <f t="shared" si="51"/>
        <v>#DIV/0!</v>
      </c>
      <c r="DE42" s="178" t="e">
        <f t="shared" si="51"/>
        <v>#DIV/0!</v>
      </c>
      <c r="DF42" s="178" t="e">
        <f t="shared" si="51"/>
        <v>#DIV/0!</v>
      </c>
      <c r="DG42" s="178" t="e">
        <f t="shared" si="51"/>
        <v>#DIV/0!</v>
      </c>
      <c r="DH42" s="178" t="e">
        <f t="shared" si="51"/>
        <v>#DIV/0!</v>
      </c>
      <c r="DI42" s="178" t="e">
        <f t="shared" si="51"/>
        <v>#DIV/0!</v>
      </c>
      <c r="DJ42" s="178" t="e">
        <f t="shared" si="51"/>
        <v>#DIV/0!</v>
      </c>
      <c r="DK42" s="178" t="e">
        <f t="shared" si="51"/>
        <v>#DIV/0!</v>
      </c>
      <c r="DL42" s="168" t="e">
        <f t="shared" si="51"/>
        <v>#DIV/0!</v>
      </c>
      <c r="DM42" s="169" t="e">
        <f t="shared" si="52"/>
        <v>#DIV/0!</v>
      </c>
      <c r="DN42" s="171" t="e">
        <f t="shared" si="53"/>
        <v>#DIV/0!</v>
      </c>
      <c r="DO42" s="180" t="e">
        <f t="shared" si="54"/>
        <v>#DIV/0!</v>
      </c>
      <c r="DP42" s="178" t="e">
        <f t="shared" si="54"/>
        <v>#DIV/0!</v>
      </c>
      <c r="DQ42" s="178" t="e">
        <f t="shared" si="54"/>
        <v>#DIV/0!</v>
      </c>
      <c r="DR42" s="178" t="e">
        <f t="shared" si="54"/>
        <v>#DIV/0!</v>
      </c>
      <c r="DS42" s="178" t="e">
        <f t="shared" si="54"/>
        <v>#DIV/0!</v>
      </c>
      <c r="DT42" s="178" t="e">
        <f t="shared" si="54"/>
        <v>#DIV/0!</v>
      </c>
      <c r="DU42" s="178" t="e">
        <f t="shared" si="54"/>
        <v>#DIV/0!</v>
      </c>
      <c r="DV42" s="178" t="e">
        <f t="shared" si="54"/>
        <v>#DIV/0!</v>
      </c>
      <c r="DW42" s="178" t="e">
        <f t="shared" si="54"/>
        <v>#DIV/0!</v>
      </c>
      <c r="DX42" s="178" t="e">
        <f t="shared" si="54"/>
        <v>#DIV/0!</v>
      </c>
      <c r="DY42" s="178" t="e">
        <f t="shared" si="54"/>
        <v>#DIV/0!</v>
      </c>
      <c r="DZ42" s="168" t="e">
        <f t="shared" si="54"/>
        <v>#DIV/0!</v>
      </c>
      <c r="EA42" s="169" t="e">
        <f t="shared" si="55"/>
        <v>#DIV/0!</v>
      </c>
      <c r="EB42" s="171" t="e">
        <f t="shared" si="56"/>
        <v>#DIV/0!</v>
      </c>
    </row>
    <row r="43" spans="1:132" s="177" customFormat="1" ht="15.75">
      <c r="A43" s="163">
        <v>43831</v>
      </c>
      <c r="B43" s="403" t="s">
        <v>88</v>
      </c>
      <c r="C43" s="406" t="s">
        <v>283</v>
      </c>
      <c r="D43" s="405">
        <v>2000</v>
      </c>
      <c r="E43" s="167"/>
      <c r="F43" s="168" t="e">
        <f t="shared" si="20"/>
        <v>#DIV/0!</v>
      </c>
      <c r="G43" s="169" t="e">
        <f t="shared" si="30"/>
        <v>#DIV/0!</v>
      </c>
      <c r="H43" s="178" t="e">
        <f t="shared" si="30"/>
        <v>#DIV/0!</v>
      </c>
      <c r="I43" s="178" t="e">
        <f t="shared" si="30"/>
        <v>#DIV/0!</v>
      </c>
      <c r="J43" s="178" t="e">
        <f t="shared" si="30"/>
        <v>#DIV/0!</v>
      </c>
      <c r="K43" s="178" t="e">
        <f t="shared" si="30"/>
        <v>#DIV/0!</v>
      </c>
      <c r="L43" s="178" t="e">
        <f t="shared" si="30"/>
        <v>#DIV/0!</v>
      </c>
      <c r="M43" s="178" t="e">
        <f t="shared" si="30"/>
        <v>#DIV/0!</v>
      </c>
      <c r="N43" s="178" t="e">
        <f t="shared" si="30"/>
        <v>#DIV/0!</v>
      </c>
      <c r="O43" s="178" t="e">
        <f t="shared" si="30"/>
        <v>#DIV/0!</v>
      </c>
      <c r="P43" s="178" t="e">
        <f t="shared" si="30"/>
        <v>#DIV/0!</v>
      </c>
      <c r="Q43" s="178" t="e">
        <f t="shared" si="30"/>
        <v>#DIV/0!</v>
      </c>
      <c r="R43" s="179" t="e">
        <f t="shared" si="30"/>
        <v>#DIV/0!</v>
      </c>
      <c r="S43" s="169" t="e">
        <f t="shared" si="31"/>
        <v>#DIV/0!</v>
      </c>
      <c r="T43" s="179" t="e">
        <f t="shared" si="32"/>
        <v>#DIV/0!</v>
      </c>
      <c r="U43" s="180" t="e">
        <f t="shared" ref="U43:AF64" si="57">IF(OR($F43&lt;=0,(U$9-$A43)&gt;(365*$E43)),0,IF($A43&lt;=U$9,$F43/12,0))</f>
        <v>#DIV/0!</v>
      </c>
      <c r="V43" s="178" t="e">
        <f t="shared" si="57"/>
        <v>#DIV/0!</v>
      </c>
      <c r="W43" s="178" t="e">
        <f t="shared" si="57"/>
        <v>#DIV/0!</v>
      </c>
      <c r="X43" s="178" t="e">
        <f t="shared" si="57"/>
        <v>#DIV/0!</v>
      </c>
      <c r="Y43" s="178" t="e">
        <f t="shared" si="57"/>
        <v>#DIV/0!</v>
      </c>
      <c r="Z43" s="178" t="e">
        <f t="shared" si="57"/>
        <v>#DIV/0!</v>
      </c>
      <c r="AA43" s="178" t="e">
        <f t="shared" si="57"/>
        <v>#DIV/0!</v>
      </c>
      <c r="AB43" s="178" t="e">
        <f t="shared" si="57"/>
        <v>#DIV/0!</v>
      </c>
      <c r="AC43" s="178" t="e">
        <f t="shared" si="57"/>
        <v>#DIV/0!</v>
      </c>
      <c r="AD43" s="178" t="e">
        <f t="shared" si="57"/>
        <v>#DIV/0!</v>
      </c>
      <c r="AE43" s="178" t="e">
        <f t="shared" si="57"/>
        <v>#DIV/0!</v>
      </c>
      <c r="AF43" s="168" t="e">
        <f t="shared" si="57"/>
        <v>#DIV/0!</v>
      </c>
      <c r="AG43" s="169" t="e">
        <f t="shared" si="34"/>
        <v>#DIV/0!</v>
      </c>
      <c r="AH43" s="179" t="e">
        <f t="shared" si="35"/>
        <v>#DIV/0!</v>
      </c>
      <c r="AI43" s="180" t="e">
        <f t="shared" ref="AI43:AT64" si="58">IF(OR($F43&lt;=0,(AI$9-$A43)&gt;(365*$E43)),0,IF($A43&lt;=AI$9,$F43/12,0))</f>
        <v>#DIV/0!</v>
      </c>
      <c r="AJ43" s="178" t="e">
        <f t="shared" si="58"/>
        <v>#DIV/0!</v>
      </c>
      <c r="AK43" s="178" t="e">
        <f t="shared" si="58"/>
        <v>#DIV/0!</v>
      </c>
      <c r="AL43" s="178" t="e">
        <f t="shared" si="58"/>
        <v>#DIV/0!</v>
      </c>
      <c r="AM43" s="178" t="e">
        <f t="shared" si="58"/>
        <v>#DIV/0!</v>
      </c>
      <c r="AN43" s="178" t="e">
        <f t="shared" si="58"/>
        <v>#DIV/0!</v>
      </c>
      <c r="AO43" s="178" t="e">
        <f t="shared" si="58"/>
        <v>#DIV/0!</v>
      </c>
      <c r="AP43" s="178" t="e">
        <f t="shared" si="58"/>
        <v>#DIV/0!</v>
      </c>
      <c r="AQ43" s="178" t="e">
        <f t="shared" si="58"/>
        <v>#DIV/0!</v>
      </c>
      <c r="AR43" s="178" t="e">
        <f t="shared" si="58"/>
        <v>#DIV/0!</v>
      </c>
      <c r="AS43" s="178" t="e">
        <f t="shared" si="58"/>
        <v>#DIV/0!</v>
      </c>
      <c r="AT43" s="168" t="e">
        <f t="shared" si="58"/>
        <v>#DIV/0!</v>
      </c>
      <c r="AU43" s="169" t="e">
        <f t="shared" si="37"/>
        <v>#DIV/0!</v>
      </c>
      <c r="AV43" s="179" t="e">
        <f t="shared" si="38"/>
        <v>#DIV/0!</v>
      </c>
      <c r="AW43" s="180" t="e">
        <f t="shared" ref="AW43:BH64" si="59">IF(OR($F43&lt;=0,(AW$9-$A43)&gt;(365*$E43)),0,IF($A43&lt;=AW$9,$F43/12,0))</f>
        <v>#DIV/0!</v>
      </c>
      <c r="AX43" s="178" t="e">
        <f t="shared" si="59"/>
        <v>#DIV/0!</v>
      </c>
      <c r="AY43" s="178" t="e">
        <f t="shared" si="59"/>
        <v>#DIV/0!</v>
      </c>
      <c r="AZ43" s="178" t="e">
        <f t="shared" si="59"/>
        <v>#DIV/0!</v>
      </c>
      <c r="BA43" s="178" t="e">
        <f t="shared" si="59"/>
        <v>#DIV/0!</v>
      </c>
      <c r="BB43" s="178" t="e">
        <f t="shared" si="59"/>
        <v>#DIV/0!</v>
      </c>
      <c r="BC43" s="178" t="e">
        <f t="shared" si="59"/>
        <v>#DIV/0!</v>
      </c>
      <c r="BD43" s="178" t="e">
        <f t="shared" si="59"/>
        <v>#DIV/0!</v>
      </c>
      <c r="BE43" s="178" t="e">
        <f t="shared" si="59"/>
        <v>#DIV/0!</v>
      </c>
      <c r="BF43" s="178" t="e">
        <f t="shared" si="59"/>
        <v>#DIV/0!</v>
      </c>
      <c r="BG43" s="178" t="e">
        <f t="shared" si="59"/>
        <v>#DIV/0!</v>
      </c>
      <c r="BH43" s="168" t="e">
        <f t="shared" si="59"/>
        <v>#DIV/0!</v>
      </c>
      <c r="BI43" s="169" t="e">
        <f t="shared" si="40"/>
        <v>#DIV/0!</v>
      </c>
      <c r="BJ43" s="179" t="e">
        <f t="shared" si="41"/>
        <v>#DIV/0!</v>
      </c>
      <c r="BK43" s="180" t="e">
        <f t="shared" ref="BK43:BV64" si="60">IF(OR($BJ43&lt;=0,(BK$9-$A43)&gt;($E43*365)),0,IF($A43&lt;=BK$9,$F43/12))</f>
        <v>#DIV/0!</v>
      </c>
      <c r="BL43" s="178" t="e">
        <f t="shared" si="60"/>
        <v>#DIV/0!</v>
      </c>
      <c r="BM43" s="178" t="e">
        <f t="shared" si="60"/>
        <v>#DIV/0!</v>
      </c>
      <c r="BN43" s="178" t="e">
        <f t="shared" si="60"/>
        <v>#DIV/0!</v>
      </c>
      <c r="BO43" s="178" t="e">
        <f t="shared" si="60"/>
        <v>#DIV/0!</v>
      </c>
      <c r="BP43" s="178" t="e">
        <f t="shared" si="60"/>
        <v>#DIV/0!</v>
      </c>
      <c r="BQ43" s="178" t="e">
        <f t="shared" si="60"/>
        <v>#DIV/0!</v>
      </c>
      <c r="BR43" s="178" t="e">
        <f t="shared" si="60"/>
        <v>#DIV/0!</v>
      </c>
      <c r="BS43" s="178" t="e">
        <f t="shared" si="60"/>
        <v>#DIV/0!</v>
      </c>
      <c r="BT43" s="178" t="e">
        <f t="shared" si="60"/>
        <v>#DIV/0!</v>
      </c>
      <c r="BU43" s="178" t="e">
        <f t="shared" si="60"/>
        <v>#DIV/0!</v>
      </c>
      <c r="BV43" s="168" t="e">
        <f t="shared" si="60"/>
        <v>#DIV/0!</v>
      </c>
      <c r="BW43" s="169" t="e">
        <f t="shared" si="43"/>
        <v>#DIV/0!</v>
      </c>
      <c r="BX43" s="179" t="e">
        <f t="shared" si="44"/>
        <v>#DIV/0!</v>
      </c>
      <c r="BY43" s="180" t="e">
        <f t="shared" ref="BY43:CJ64" si="61">IF(OR($BX43&lt;=0,(BY$9-$A43)&gt;($E43*365)),0,IF($A43&lt;=BY$9,$F43/12))</f>
        <v>#DIV/0!</v>
      </c>
      <c r="BZ43" s="178" t="e">
        <f t="shared" si="61"/>
        <v>#DIV/0!</v>
      </c>
      <c r="CA43" s="178" t="e">
        <f t="shared" si="61"/>
        <v>#DIV/0!</v>
      </c>
      <c r="CB43" s="178" t="e">
        <f t="shared" si="61"/>
        <v>#DIV/0!</v>
      </c>
      <c r="CC43" s="178" t="e">
        <f t="shared" si="61"/>
        <v>#DIV/0!</v>
      </c>
      <c r="CD43" s="178" t="e">
        <f t="shared" si="61"/>
        <v>#DIV/0!</v>
      </c>
      <c r="CE43" s="178" t="e">
        <f t="shared" si="61"/>
        <v>#DIV/0!</v>
      </c>
      <c r="CF43" s="178" t="e">
        <f t="shared" si="61"/>
        <v>#DIV/0!</v>
      </c>
      <c r="CG43" s="178" t="e">
        <f t="shared" si="61"/>
        <v>#DIV/0!</v>
      </c>
      <c r="CH43" s="178" t="e">
        <f t="shared" si="61"/>
        <v>#DIV/0!</v>
      </c>
      <c r="CI43" s="178" t="e">
        <f t="shared" si="61"/>
        <v>#DIV/0!</v>
      </c>
      <c r="CJ43" s="168" t="e">
        <f t="shared" si="61"/>
        <v>#DIV/0!</v>
      </c>
      <c r="CK43" s="169" t="e">
        <f t="shared" si="46"/>
        <v>#DIV/0!</v>
      </c>
      <c r="CL43" s="179" t="e">
        <f t="shared" si="47"/>
        <v>#DIV/0!</v>
      </c>
      <c r="CM43" s="180" t="e">
        <f t="shared" ref="CM43:CX64" si="62">IF(OR($CL43&lt;=0,(CM$9-$A43)&gt;($E43*365)),0,IF($A43&lt;=CM$9,$F43/12))</f>
        <v>#DIV/0!</v>
      </c>
      <c r="CN43" s="178" t="e">
        <f t="shared" si="62"/>
        <v>#DIV/0!</v>
      </c>
      <c r="CO43" s="178" t="e">
        <f t="shared" si="62"/>
        <v>#DIV/0!</v>
      </c>
      <c r="CP43" s="178" t="e">
        <f t="shared" si="62"/>
        <v>#DIV/0!</v>
      </c>
      <c r="CQ43" s="178" t="e">
        <f t="shared" si="62"/>
        <v>#DIV/0!</v>
      </c>
      <c r="CR43" s="178" t="e">
        <f t="shared" si="62"/>
        <v>#DIV/0!</v>
      </c>
      <c r="CS43" s="178" t="e">
        <f t="shared" si="62"/>
        <v>#DIV/0!</v>
      </c>
      <c r="CT43" s="178" t="e">
        <f t="shared" si="62"/>
        <v>#DIV/0!</v>
      </c>
      <c r="CU43" s="178" t="e">
        <f t="shared" si="62"/>
        <v>#DIV/0!</v>
      </c>
      <c r="CV43" s="178" t="e">
        <f t="shared" si="62"/>
        <v>#DIV/0!</v>
      </c>
      <c r="CW43" s="178" t="e">
        <f t="shared" si="62"/>
        <v>#DIV/0!</v>
      </c>
      <c r="CX43" s="168" t="e">
        <f t="shared" si="62"/>
        <v>#DIV/0!</v>
      </c>
      <c r="CY43" s="169" t="e">
        <f t="shared" si="49"/>
        <v>#DIV/0!</v>
      </c>
      <c r="CZ43" s="179" t="e">
        <f t="shared" si="50"/>
        <v>#DIV/0!</v>
      </c>
      <c r="DA43" s="180" t="e">
        <f t="shared" ref="DA43:DL64" si="63">IF(OR($CZ43&lt;=0,(DA$9-$A43)&gt;($E43*365)),0,IF($A43&lt;=DA$9,$F43/12))</f>
        <v>#DIV/0!</v>
      </c>
      <c r="DB43" s="178" t="e">
        <f t="shared" si="63"/>
        <v>#DIV/0!</v>
      </c>
      <c r="DC43" s="178" t="e">
        <f t="shared" si="63"/>
        <v>#DIV/0!</v>
      </c>
      <c r="DD43" s="178" t="e">
        <f t="shared" si="63"/>
        <v>#DIV/0!</v>
      </c>
      <c r="DE43" s="178" t="e">
        <f t="shared" si="63"/>
        <v>#DIV/0!</v>
      </c>
      <c r="DF43" s="178" t="e">
        <f t="shared" si="63"/>
        <v>#DIV/0!</v>
      </c>
      <c r="DG43" s="178" t="e">
        <f t="shared" si="63"/>
        <v>#DIV/0!</v>
      </c>
      <c r="DH43" s="178" t="e">
        <f t="shared" si="63"/>
        <v>#DIV/0!</v>
      </c>
      <c r="DI43" s="178" t="e">
        <f t="shared" si="63"/>
        <v>#DIV/0!</v>
      </c>
      <c r="DJ43" s="178" t="e">
        <f t="shared" si="63"/>
        <v>#DIV/0!</v>
      </c>
      <c r="DK43" s="178" t="e">
        <f t="shared" si="63"/>
        <v>#DIV/0!</v>
      </c>
      <c r="DL43" s="168" t="e">
        <f t="shared" si="63"/>
        <v>#DIV/0!</v>
      </c>
      <c r="DM43" s="169" t="e">
        <f t="shared" si="52"/>
        <v>#DIV/0!</v>
      </c>
      <c r="DN43" s="171" t="e">
        <f t="shared" si="53"/>
        <v>#DIV/0!</v>
      </c>
      <c r="DO43" s="180" t="e">
        <f t="shared" ref="DO43:DZ64" si="64">IF(OR($DN43&lt;=0,(DO$9-$A43)&gt;($E43*365)),0,IF($A43&lt;=DO$9,$F43/12))</f>
        <v>#DIV/0!</v>
      </c>
      <c r="DP43" s="178" t="e">
        <f t="shared" si="64"/>
        <v>#DIV/0!</v>
      </c>
      <c r="DQ43" s="178" t="e">
        <f t="shared" si="64"/>
        <v>#DIV/0!</v>
      </c>
      <c r="DR43" s="178" t="e">
        <f t="shared" si="64"/>
        <v>#DIV/0!</v>
      </c>
      <c r="DS43" s="178" t="e">
        <f t="shared" si="64"/>
        <v>#DIV/0!</v>
      </c>
      <c r="DT43" s="178" t="e">
        <f t="shared" si="64"/>
        <v>#DIV/0!</v>
      </c>
      <c r="DU43" s="178" t="e">
        <f t="shared" si="64"/>
        <v>#DIV/0!</v>
      </c>
      <c r="DV43" s="178" t="e">
        <f t="shared" si="64"/>
        <v>#DIV/0!</v>
      </c>
      <c r="DW43" s="178" t="e">
        <f t="shared" si="64"/>
        <v>#DIV/0!</v>
      </c>
      <c r="DX43" s="178" t="e">
        <f t="shared" si="64"/>
        <v>#DIV/0!</v>
      </c>
      <c r="DY43" s="178" t="e">
        <f t="shared" si="64"/>
        <v>#DIV/0!</v>
      </c>
      <c r="DZ43" s="168" t="e">
        <f t="shared" si="64"/>
        <v>#DIV/0!</v>
      </c>
      <c r="EA43" s="169" t="e">
        <f t="shared" si="55"/>
        <v>#DIV/0!</v>
      </c>
      <c r="EB43" s="171" t="e">
        <f t="shared" si="56"/>
        <v>#DIV/0!</v>
      </c>
    </row>
    <row r="44" spans="1:132" s="177" customFormat="1" ht="15.75">
      <c r="A44" s="163">
        <v>43831</v>
      </c>
      <c r="B44" s="403" t="s">
        <v>90</v>
      </c>
      <c r="C44" s="406" t="s">
        <v>203</v>
      </c>
      <c r="D44" s="405">
        <v>13500</v>
      </c>
      <c r="E44" s="167"/>
      <c r="F44" s="168" t="e">
        <f t="shared" si="20"/>
        <v>#DIV/0!</v>
      </c>
      <c r="G44" s="169" t="e">
        <f t="shared" si="30"/>
        <v>#DIV/0!</v>
      </c>
      <c r="H44" s="178" t="e">
        <f t="shared" si="30"/>
        <v>#DIV/0!</v>
      </c>
      <c r="I44" s="178" t="e">
        <f t="shared" si="30"/>
        <v>#DIV/0!</v>
      </c>
      <c r="J44" s="178" t="e">
        <f t="shared" si="30"/>
        <v>#DIV/0!</v>
      </c>
      <c r="K44" s="178" t="e">
        <f t="shared" si="30"/>
        <v>#DIV/0!</v>
      </c>
      <c r="L44" s="178" t="e">
        <f t="shared" si="30"/>
        <v>#DIV/0!</v>
      </c>
      <c r="M44" s="178" t="e">
        <f t="shared" si="30"/>
        <v>#DIV/0!</v>
      </c>
      <c r="N44" s="178" t="e">
        <f t="shared" si="30"/>
        <v>#DIV/0!</v>
      </c>
      <c r="O44" s="178" t="e">
        <f t="shared" si="30"/>
        <v>#DIV/0!</v>
      </c>
      <c r="P44" s="178" t="e">
        <f t="shared" si="30"/>
        <v>#DIV/0!</v>
      </c>
      <c r="Q44" s="178" t="e">
        <f t="shared" si="30"/>
        <v>#DIV/0!</v>
      </c>
      <c r="R44" s="179" t="e">
        <f t="shared" si="30"/>
        <v>#DIV/0!</v>
      </c>
      <c r="S44" s="169" t="e">
        <f t="shared" si="31"/>
        <v>#DIV/0!</v>
      </c>
      <c r="T44" s="179" t="e">
        <f t="shared" si="32"/>
        <v>#DIV/0!</v>
      </c>
      <c r="U44" s="180" t="e">
        <f t="shared" si="57"/>
        <v>#DIV/0!</v>
      </c>
      <c r="V44" s="178" t="e">
        <f t="shared" si="57"/>
        <v>#DIV/0!</v>
      </c>
      <c r="W44" s="178" t="e">
        <f t="shared" si="57"/>
        <v>#DIV/0!</v>
      </c>
      <c r="X44" s="178" t="e">
        <f t="shared" si="57"/>
        <v>#DIV/0!</v>
      </c>
      <c r="Y44" s="178" t="e">
        <f t="shared" si="57"/>
        <v>#DIV/0!</v>
      </c>
      <c r="Z44" s="178" t="e">
        <f t="shared" si="57"/>
        <v>#DIV/0!</v>
      </c>
      <c r="AA44" s="178" t="e">
        <f t="shared" si="57"/>
        <v>#DIV/0!</v>
      </c>
      <c r="AB44" s="178" t="e">
        <f t="shared" si="57"/>
        <v>#DIV/0!</v>
      </c>
      <c r="AC44" s="178" t="e">
        <f t="shared" si="57"/>
        <v>#DIV/0!</v>
      </c>
      <c r="AD44" s="178" t="e">
        <f t="shared" si="57"/>
        <v>#DIV/0!</v>
      </c>
      <c r="AE44" s="178" t="e">
        <f t="shared" si="57"/>
        <v>#DIV/0!</v>
      </c>
      <c r="AF44" s="168" t="e">
        <f t="shared" si="57"/>
        <v>#DIV/0!</v>
      </c>
      <c r="AG44" s="169" t="e">
        <f t="shared" si="34"/>
        <v>#DIV/0!</v>
      </c>
      <c r="AH44" s="179" t="e">
        <f t="shared" si="35"/>
        <v>#DIV/0!</v>
      </c>
      <c r="AI44" s="180" t="e">
        <f t="shared" si="58"/>
        <v>#DIV/0!</v>
      </c>
      <c r="AJ44" s="178" t="e">
        <f t="shared" si="58"/>
        <v>#DIV/0!</v>
      </c>
      <c r="AK44" s="178" t="e">
        <f t="shared" si="58"/>
        <v>#DIV/0!</v>
      </c>
      <c r="AL44" s="178" t="e">
        <f t="shared" si="58"/>
        <v>#DIV/0!</v>
      </c>
      <c r="AM44" s="178" t="e">
        <f t="shared" si="58"/>
        <v>#DIV/0!</v>
      </c>
      <c r="AN44" s="178" t="e">
        <f t="shared" si="58"/>
        <v>#DIV/0!</v>
      </c>
      <c r="AO44" s="178" t="e">
        <f t="shared" si="58"/>
        <v>#DIV/0!</v>
      </c>
      <c r="AP44" s="178" t="e">
        <f t="shared" si="58"/>
        <v>#DIV/0!</v>
      </c>
      <c r="AQ44" s="178" t="e">
        <f t="shared" si="58"/>
        <v>#DIV/0!</v>
      </c>
      <c r="AR44" s="178" t="e">
        <f t="shared" si="58"/>
        <v>#DIV/0!</v>
      </c>
      <c r="AS44" s="178" t="e">
        <f t="shared" si="58"/>
        <v>#DIV/0!</v>
      </c>
      <c r="AT44" s="168" t="e">
        <f t="shared" si="58"/>
        <v>#DIV/0!</v>
      </c>
      <c r="AU44" s="169" t="e">
        <f t="shared" si="37"/>
        <v>#DIV/0!</v>
      </c>
      <c r="AV44" s="179" t="e">
        <f t="shared" si="38"/>
        <v>#DIV/0!</v>
      </c>
      <c r="AW44" s="180" t="e">
        <f t="shared" si="59"/>
        <v>#DIV/0!</v>
      </c>
      <c r="AX44" s="178" t="e">
        <f t="shared" si="59"/>
        <v>#DIV/0!</v>
      </c>
      <c r="AY44" s="178" t="e">
        <f t="shared" si="59"/>
        <v>#DIV/0!</v>
      </c>
      <c r="AZ44" s="178" t="e">
        <f t="shared" si="59"/>
        <v>#DIV/0!</v>
      </c>
      <c r="BA44" s="178" t="e">
        <f t="shared" si="59"/>
        <v>#DIV/0!</v>
      </c>
      <c r="BB44" s="178" t="e">
        <f t="shared" si="59"/>
        <v>#DIV/0!</v>
      </c>
      <c r="BC44" s="178" t="e">
        <f t="shared" si="59"/>
        <v>#DIV/0!</v>
      </c>
      <c r="BD44" s="178" t="e">
        <f t="shared" si="59"/>
        <v>#DIV/0!</v>
      </c>
      <c r="BE44" s="178" t="e">
        <f t="shared" si="59"/>
        <v>#DIV/0!</v>
      </c>
      <c r="BF44" s="178" t="e">
        <f t="shared" si="59"/>
        <v>#DIV/0!</v>
      </c>
      <c r="BG44" s="178" t="e">
        <f t="shared" si="59"/>
        <v>#DIV/0!</v>
      </c>
      <c r="BH44" s="168" t="e">
        <f t="shared" si="59"/>
        <v>#DIV/0!</v>
      </c>
      <c r="BI44" s="169" t="e">
        <f t="shared" si="40"/>
        <v>#DIV/0!</v>
      </c>
      <c r="BJ44" s="179" t="e">
        <f t="shared" si="41"/>
        <v>#DIV/0!</v>
      </c>
      <c r="BK44" s="180" t="e">
        <f t="shared" si="60"/>
        <v>#DIV/0!</v>
      </c>
      <c r="BL44" s="178" t="e">
        <f t="shared" si="60"/>
        <v>#DIV/0!</v>
      </c>
      <c r="BM44" s="178" t="e">
        <f t="shared" si="60"/>
        <v>#DIV/0!</v>
      </c>
      <c r="BN44" s="178" t="e">
        <f t="shared" si="60"/>
        <v>#DIV/0!</v>
      </c>
      <c r="BO44" s="178" t="e">
        <f t="shared" si="60"/>
        <v>#DIV/0!</v>
      </c>
      <c r="BP44" s="178" t="e">
        <f t="shared" si="60"/>
        <v>#DIV/0!</v>
      </c>
      <c r="BQ44" s="178" t="e">
        <f t="shared" si="60"/>
        <v>#DIV/0!</v>
      </c>
      <c r="BR44" s="178" t="e">
        <f t="shared" si="60"/>
        <v>#DIV/0!</v>
      </c>
      <c r="BS44" s="178" t="e">
        <f t="shared" si="60"/>
        <v>#DIV/0!</v>
      </c>
      <c r="BT44" s="178" t="e">
        <f t="shared" si="60"/>
        <v>#DIV/0!</v>
      </c>
      <c r="BU44" s="178" t="e">
        <f t="shared" si="60"/>
        <v>#DIV/0!</v>
      </c>
      <c r="BV44" s="168" t="e">
        <f t="shared" si="60"/>
        <v>#DIV/0!</v>
      </c>
      <c r="BW44" s="169" t="e">
        <f t="shared" si="43"/>
        <v>#DIV/0!</v>
      </c>
      <c r="BX44" s="179" t="e">
        <f t="shared" si="44"/>
        <v>#DIV/0!</v>
      </c>
      <c r="BY44" s="180" t="e">
        <f t="shared" si="61"/>
        <v>#DIV/0!</v>
      </c>
      <c r="BZ44" s="178" t="e">
        <f t="shared" si="61"/>
        <v>#DIV/0!</v>
      </c>
      <c r="CA44" s="178" t="e">
        <f t="shared" si="61"/>
        <v>#DIV/0!</v>
      </c>
      <c r="CB44" s="178" t="e">
        <f t="shared" si="61"/>
        <v>#DIV/0!</v>
      </c>
      <c r="CC44" s="178" t="e">
        <f t="shared" si="61"/>
        <v>#DIV/0!</v>
      </c>
      <c r="CD44" s="178" t="e">
        <f t="shared" si="61"/>
        <v>#DIV/0!</v>
      </c>
      <c r="CE44" s="178" t="e">
        <f t="shared" si="61"/>
        <v>#DIV/0!</v>
      </c>
      <c r="CF44" s="178" t="e">
        <f t="shared" si="61"/>
        <v>#DIV/0!</v>
      </c>
      <c r="CG44" s="178" t="e">
        <f t="shared" si="61"/>
        <v>#DIV/0!</v>
      </c>
      <c r="CH44" s="178" t="e">
        <f t="shared" si="61"/>
        <v>#DIV/0!</v>
      </c>
      <c r="CI44" s="178" t="e">
        <f t="shared" si="61"/>
        <v>#DIV/0!</v>
      </c>
      <c r="CJ44" s="168" t="e">
        <f t="shared" si="61"/>
        <v>#DIV/0!</v>
      </c>
      <c r="CK44" s="169" t="e">
        <f t="shared" si="46"/>
        <v>#DIV/0!</v>
      </c>
      <c r="CL44" s="179" t="e">
        <f t="shared" si="47"/>
        <v>#DIV/0!</v>
      </c>
      <c r="CM44" s="180" t="e">
        <f t="shared" si="62"/>
        <v>#DIV/0!</v>
      </c>
      <c r="CN44" s="178" t="e">
        <f t="shared" si="62"/>
        <v>#DIV/0!</v>
      </c>
      <c r="CO44" s="178" t="e">
        <f t="shared" si="62"/>
        <v>#DIV/0!</v>
      </c>
      <c r="CP44" s="178" t="e">
        <f t="shared" si="62"/>
        <v>#DIV/0!</v>
      </c>
      <c r="CQ44" s="178" t="e">
        <f t="shared" si="62"/>
        <v>#DIV/0!</v>
      </c>
      <c r="CR44" s="178" t="e">
        <f t="shared" si="62"/>
        <v>#DIV/0!</v>
      </c>
      <c r="CS44" s="178" t="e">
        <f t="shared" si="62"/>
        <v>#DIV/0!</v>
      </c>
      <c r="CT44" s="178" t="e">
        <f t="shared" si="62"/>
        <v>#DIV/0!</v>
      </c>
      <c r="CU44" s="178" t="e">
        <f t="shared" si="62"/>
        <v>#DIV/0!</v>
      </c>
      <c r="CV44" s="178" t="e">
        <f t="shared" si="62"/>
        <v>#DIV/0!</v>
      </c>
      <c r="CW44" s="178" t="e">
        <f t="shared" si="62"/>
        <v>#DIV/0!</v>
      </c>
      <c r="CX44" s="168" t="e">
        <f t="shared" si="62"/>
        <v>#DIV/0!</v>
      </c>
      <c r="CY44" s="169" t="e">
        <f t="shared" si="49"/>
        <v>#DIV/0!</v>
      </c>
      <c r="CZ44" s="179" t="e">
        <f t="shared" si="50"/>
        <v>#DIV/0!</v>
      </c>
      <c r="DA44" s="180" t="e">
        <f t="shared" si="63"/>
        <v>#DIV/0!</v>
      </c>
      <c r="DB44" s="178" t="e">
        <f t="shared" si="63"/>
        <v>#DIV/0!</v>
      </c>
      <c r="DC44" s="178" t="e">
        <f t="shared" si="63"/>
        <v>#DIV/0!</v>
      </c>
      <c r="DD44" s="178" t="e">
        <f t="shared" si="63"/>
        <v>#DIV/0!</v>
      </c>
      <c r="DE44" s="178" t="e">
        <f t="shared" si="63"/>
        <v>#DIV/0!</v>
      </c>
      <c r="DF44" s="178" t="e">
        <f t="shared" si="63"/>
        <v>#DIV/0!</v>
      </c>
      <c r="DG44" s="178" t="e">
        <f t="shared" si="63"/>
        <v>#DIV/0!</v>
      </c>
      <c r="DH44" s="178" t="e">
        <f t="shared" si="63"/>
        <v>#DIV/0!</v>
      </c>
      <c r="DI44" s="178" t="e">
        <f t="shared" si="63"/>
        <v>#DIV/0!</v>
      </c>
      <c r="DJ44" s="178" t="e">
        <f t="shared" si="63"/>
        <v>#DIV/0!</v>
      </c>
      <c r="DK44" s="178" t="e">
        <f t="shared" si="63"/>
        <v>#DIV/0!</v>
      </c>
      <c r="DL44" s="168" t="e">
        <f t="shared" si="63"/>
        <v>#DIV/0!</v>
      </c>
      <c r="DM44" s="169" t="e">
        <f t="shared" si="52"/>
        <v>#DIV/0!</v>
      </c>
      <c r="DN44" s="171" t="e">
        <f t="shared" si="53"/>
        <v>#DIV/0!</v>
      </c>
      <c r="DO44" s="180" t="e">
        <f t="shared" si="64"/>
        <v>#DIV/0!</v>
      </c>
      <c r="DP44" s="178" t="e">
        <f t="shared" si="64"/>
        <v>#DIV/0!</v>
      </c>
      <c r="DQ44" s="178" t="e">
        <f t="shared" si="64"/>
        <v>#DIV/0!</v>
      </c>
      <c r="DR44" s="178" t="e">
        <f t="shared" si="64"/>
        <v>#DIV/0!</v>
      </c>
      <c r="DS44" s="178" t="e">
        <f t="shared" si="64"/>
        <v>#DIV/0!</v>
      </c>
      <c r="DT44" s="178" t="e">
        <f t="shared" si="64"/>
        <v>#DIV/0!</v>
      </c>
      <c r="DU44" s="178" t="e">
        <f t="shared" si="64"/>
        <v>#DIV/0!</v>
      </c>
      <c r="DV44" s="178" t="e">
        <f t="shared" si="64"/>
        <v>#DIV/0!</v>
      </c>
      <c r="DW44" s="178" t="e">
        <f t="shared" si="64"/>
        <v>#DIV/0!</v>
      </c>
      <c r="DX44" s="178" t="e">
        <f t="shared" si="64"/>
        <v>#DIV/0!</v>
      </c>
      <c r="DY44" s="178" t="e">
        <f t="shared" si="64"/>
        <v>#DIV/0!</v>
      </c>
      <c r="DZ44" s="168" t="e">
        <f t="shared" si="64"/>
        <v>#DIV/0!</v>
      </c>
      <c r="EA44" s="169" t="e">
        <f t="shared" si="55"/>
        <v>#DIV/0!</v>
      </c>
      <c r="EB44" s="171" t="e">
        <f t="shared" si="56"/>
        <v>#DIV/0!</v>
      </c>
    </row>
    <row r="45" spans="1:132" s="177" customFormat="1" ht="15.75">
      <c r="A45" s="163">
        <v>43831</v>
      </c>
      <c r="B45" s="403" t="s">
        <v>90</v>
      </c>
      <c r="C45" s="406" t="s">
        <v>284</v>
      </c>
      <c r="D45" s="405">
        <v>10000</v>
      </c>
      <c r="E45" s="167"/>
      <c r="F45" s="168" t="e">
        <f t="shared" si="20"/>
        <v>#DIV/0!</v>
      </c>
      <c r="G45" s="169" t="e">
        <f t="shared" si="30"/>
        <v>#DIV/0!</v>
      </c>
      <c r="H45" s="178" t="e">
        <f t="shared" si="30"/>
        <v>#DIV/0!</v>
      </c>
      <c r="I45" s="178" t="e">
        <f t="shared" si="30"/>
        <v>#DIV/0!</v>
      </c>
      <c r="J45" s="178" t="e">
        <f t="shared" si="30"/>
        <v>#DIV/0!</v>
      </c>
      <c r="K45" s="178" t="e">
        <f t="shared" si="30"/>
        <v>#DIV/0!</v>
      </c>
      <c r="L45" s="178" t="e">
        <f t="shared" si="30"/>
        <v>#DIV/0!</v>
      </c>
      <c r="M45" s="178" t="e">
        <f t="shared" si="30"/>
        <v>#DIV/0!</v>
      </c>
      <c r="N45" s="178" t="e">
        <f t="shared" si="30"/>
        <v>#DIV/0!</v>
      </c>
      <c r="O45" s="178" t="e">
        <f t="shared" si="30"/>
        <v>#DIV/0!</v>
      </c>
      <c r="P45" s="178" t="e">
        <f t="shared" si="30"/>
        <v>#DIV/0!</v>
      </c>
      <c r="Q45" s="178" t="e">
        <f t="shared" si="30"/>
        <v>#DIV/0!</v>
      </c>
      <c r="R45" s="179" t="e">
        <f t="shared" si="30"/>
        <v>#DIV/0!</v>
      </c>
      <c r="S45" s="169" t="e">
        <f t="shared" si="31"/>
        <v>#DIV/0!</v>
      </c>
      <c r="T45" s="179" t="e">
        <f t="shared" si="32"/>
        <v>#DIV/0!</v>
      </c>
      <c r="U45" s="180" t="e">
        <f t="shared" si="57"/>
        <v>#DIV/0!</v>
      </c>
      <c r="V45" s="178" t="e">
        <f t="shared" si="57"/>
        <v>#DIV/0!</v>
      </c>
      <c r="W45" s="178" t="e">
        <f t="shared" si="57"/>
        <v>#DIV/0!</v>
      </c>
      <c r="X45" s="178" t="e">
        <f t="shared" si="57"/>
        <v>#DIV/0!</v>
      </c>
      <c r="Y45" s="178" t="e">
        <f t="shared" si="57"/>
        <v>#DIV/0!</v>
      </c>
      <c r="Z45" s="178" t="e">
        <f t="shared" si="57"/>
        <v>#DIV/0!</v>
      </c>
      <c r="AA45" s="178" t="e">
        <f t="shared" si="57"/>
        <v>#DIV/0!</v>
      </c>
      <c r="AB45" s="178" t="e">
        <f t="shared" si="57"/>
        <v>#DIV/0!</v>
      </c>
      <c r="AC45" s="178" t="e">
        <f t="shared" si="57"/>
        <v>#DIV/0!</v>
      </c>
      <c r="AD45" s="178" t="e">
        <f t="shared" si="57"/>
        <v>#DIV/0!</v>
      </c>
      <c r="AE45" s="178" t="e">
        <f t="shared" si="57"/>
        <v>#DIV/0!</v>
      </c>
      <c r="AF45" s="168" t="e">
        <f t="shared" si="57"/>
        <v>#DIV/0!</v>
      </c>
      <c r="AG45" s="169" t="e">
        <f t="shared" si="34"/>
        <v>#DIV/0!</v>
      </c>
      <c r="AH45" s="179" t="e">
        <f t="shared" si="35"/>
        <v>#DIV/0!</v>
      </c>
      <c r="AI45" s="180" t="e">
        <f t="shared" si="58"/>
        <v>#DIV/0!</v>
      </c>
      <c r="AJ45" s="178" t="e">
        <f t="shared" si="58"/>
        <v>#DIV/0!</v>
      </c>
      <c r="AK45" s="178" t="e">
        <f t="shared" si="58"/>
        <v>#DIV/0!</v>
      </c>
      <c r="AL45" s="178" t="e">
        <f t="shared" si="58"/>
        <v>#DIV/0!</v>
      </c>
      <c r="AM45" s="178" t="e">
        <f t="shared" si="58"/>
        <v>#DIV/0!</v>
      </c>
      <c r="AN45" s="178" t="e">
        <f t="shared" si="58"/>
        <v>#DIV/0!</v>
      </c>
      <c r="AO45" s="178" t="e">
        <f t="shared" si="58"/>
        <v>#DIV/0!</v>
      </c>
      <c r="AP45" s="178" t="e">
        <f t="shared" si="58"/>
        <v>#DIV/0!</v>
      </c>
      <c r="AQ45" s="178" t="e">
        <f t="shared" si="58"/>
        <v>#DIV/0!</v>
      </c>
      <c r="AR45" s="178" t="e">
        <f t="shared" si="58"/>
        <v>#DIV/0!</v>
      </c>
      <c r="AS45" s="178" t="e">
        <f t="shared" si="58"/>
        <v>#DIV/0!</v>
      </c>
      <c r="AT45" s="168" t="e">
        <f t="shared" si="58"/>
        <v>#DIV/0!</v>
      </c>
      <c r="AU45" s="169" t="e">
        <f t="shared" si="37"/>
        <v>#DIV/0!</v>
      </c>
      <c r="AV45" s="179" t="e">
        <f t="shared" si="38"/>
        <v>#DIV/0!</v>
      </c>
      <c r="AW45" s="180" t="e">
        <f t="shared" si="59"/>
        <v>#DIV/0!</v>
      </c>
      <c r="AX45" s="178" t="e">
        <f t="shared" si="59"/>
        <v>#DIV/0!</v>
      </c>
      <c r="AY45" s="178" t="e">
        <f t="shared" si="59"/>
        <v>#DIV/0!</v>
      </c>
      <c r="AZ45" s="178" t="e">
        <f t="shared" si="59"/>
        <v>#DIV/0!</v>
      </c>
      <c r="BA45" s="178" t="e">
        <f t="shared" si="59"/>
        <v>#DIV/0!</v>
      </c>
      <c r="BB45" s="178" t="e">
        <f t="shared" si="59"/>
        <v>#DIV/0!</v>
      </c>
      <c r="BC45" s="178" t="e">
        <f t="shared" si="59"/>
        <v>#DIV/0!</v>
      </c>
      <c r="BD45" s="178" t="e">
        <f t="shared" si="59"/>
        <v>#DIV/0!</v>
      </c>
      <c r="BE45" s="178" t="e">
        <f t="shared" si="59"/>
        <v>#DIV/0!</v>
      </c>
      <c r="BF45" s="178" t="e">
        <f t="shared" si="59"/>
        <v>#DIV/0!</v>
      </c>
      <c r="BG45" s="178" t="e">
        <f t="shared" si="59"/>
        <v>#DIV/0!</v>
      </c>
      <c r="BH45" s="168" t="e">
        <f t="shared" si="59"/>
        <v>#DIV/0!</v>
      </c>
      <c r="BI45" s="169" t="e">
        <f t="shared" si="40"/>
        <v>#DIV/0!</v>
      </c>
      <c r="BJ45" s="179" t="e">
        <f t="shared" si="41"/>
        <v>#DIV/0!</v>
      </c>
      <c r="BK45" s="180" t="e">
        <f t="shared" si="60"/>
        <v>#DIV/0!</v>
      </c>
      <c r="BL45" s="178" t="e">
        <f t="shared" si="60"/>
        <v>#DIV/0!</v>
      </c>
      <c r="BM45" s="178" t="e">
        <f t="shared" si="60"/>
        <v>#DIV/0!</v>
      </c>
      <c r="BN45" s="178" t="e">
        <f t="shared" si="60"/>
        <v>#DIV/0!</v>
      </c>
      <c r="BO45" s="178" t="e">
        <f t="shared" si="60"/>
        <v>#DIV/0!</v>
      </c>
      <c r="BP45" s="178" t="e">
        <f t="shared" si="60"/>
        <v>#DIV/0!</v>
      </c>
      <c r="BQ45" s="178" t="e">
        <f t="shared" si="60"/>
        <v>#DIV/0!</v>
      </c>
      <c r="BR45" s="178" t="e">
        <f t="shared" si="60"/>
        <v>#DIV/0!</v>
      </c>
      <c r="BS45" s="178" t="e">
        <f t="shared" si="60"/>
        <v>#DIV/0!</v>
      </c>
      <c r="BT45" s="178" t="e">
        <f t="shared" si="60"/>
        <v>#DIV/0!</v>
      </c>
      <c r="BU45" s="178" t="e">
        <f t="shared" si="60"/>
        <v>#DIV/0!</v>
      </c>
      <c r="BV45" s="168" t="e">
        <f t="shared" si="60"/>
        <v>#DIV/0!</v>
      </c>
      <c r="BW45" s="169" t="e">
        <f t="shared" si="43"/>
        <v>#DIV/0!</v>
      </c>
      <c r="BX45" s="179" t="e">
        <f t="shared" si="44"/>
        <v>#DIV/0!</v>
      </c>
      <c r="BY45" s="180" t="e">
        <f t="shared" si="61"/>
        <v>#DIV/0!</v>
      </c>
      <c r="BZ45" s="178" t="e">
        <f t="shared" si="61"/>
        <v>#DIV/0!</v>
      </c>
      <c r="CA45" s="178" t="e">
        <f t="shared" si="61"/>
        <v>#DIV/0!</v>
      </c>
      <c r="CB45" s="178" t="e">
        <f t="shared" si="61"/>
        <v>#DIV/0!</v>
      </c>
      <c r="CC45" s="178" t="e">
        <f t="shared" si="61"/>
        <v>#DIV/0!</v>
      </c>
      <c r="CD45" s="178" t="e">
        <f t="shared" si="61"/>
        <v>#DIV/0!</v>
      </c>
      <c r="CE45" s="178" t="e">
        <f t="shared" si="61"/>
        <v>#DIV/0!</v>
      </c>
      <c r="CF45" s="178" t="e">
        <f t="shared" si="61"/>
        <v>#DIV/0!</v>
      </c>
      <c r="CG45" s="178" t="e">
        <f t="shared" si="61"/>
        <v>#DIV/0!</v>
      </c>
      <c r="CH45" s="178" t="e">
        <f t="shared" si="61"/>
        <v>#DIV/0!</v>
      </c>
      <c r="CI45" s="178" t="e">
        <f t="shared" si="61"/>
        <v>#DIV/0!</v>
      </c>
      <c r="CJ45" s="168" t="e">
        <f t="shared" si="61"/>
        <v>#DIV/0!</v>
      </c>
      <c r="CK45" s="169" t="e">
        <f t="shared" si="46"/>
        <v>#DIV/0!</v>
      </c>
      <c r="CL45" s="179" t="e">
        <f t="shared" si="47"/>
        <v>#DIV/0!</v>
      </c>
      <c r="CM45" s="180" t="e">
        <f t="shared" si="62"/>
        <v>#DIV/0!</v>
      </c>
      <c r="CN45" s="178" t="e">
        <f t="shared" si="62"/>
        <v>#DIV/0!</v>
      </c>
      <c r="CO45" s="178" t="e">
        <f t="shared" si="62"/>
        <v>#DIV/0!</v>
      </c>
      <c r="CP45" s="178" t="e">
        <f t="shared" si="62"/>
        <v>#DIV/0!</v>
      </c>
      <c r="CQ45" s="178" t="e">
        <f t="shared" si="62"/>
        <v>#DIV/0!</v>
      </c>
      <c r="CR45" s="178" t="e">
        <f t="shared" si="62"/>
        <v>#DIV/0!</v>
      </c>
      <c r="CS45" s="178" t="e">
        <f t="shared" si="62"/>
        <v>#DIV/0!</v>
      </c>
      <c r="CT45" s="178" t="e">
        <f t="shared" si="62"/>
        <v>#DIV/0!</v>
      </c>
      <c r="CU45" s="178" t="e">
        <f t="shared" si="62"/>
        <v>#DIV/0!</v>
      </c>
      <c r="CV45" s="178" t="e">
        <f t="shared" si="62"/>
        <v>#DIV/0!</v>
      </c>
      <c r="CW45" s="178" t="e">
        <f t="shared" si="62"/>
        <v>#DIV/0!</v>
      </c>
      <c r="CX45" s="168" t="e">
        <f t="shared" si="62"/>
        <v>#DIV/0!</v>
      </c>
      <c r="CY45" s="169" t="e">
        <f t="shared" si="49"/>
        <v>#DIV/0!</v>
      </c>
      <c r="CZ45" s="179" t="e">
        <f t="shared" si="50"/>
        <v>#DIV/0!</v>
      </c>
      <c r="DA45" s="180" t="e">
        <f t="shared" si="63"/>
        <v>#DIV/0!</v>
      </c>
      <c r="DB45" s="178" t="e">
        <f t="shared" si="63"/>
        <v>#DIV/0!</v>
      </c>
      <c r="DC45" s="178" t="e">
        <f t="shared" si="63"/>
        <v>#DIV/0!</v>
      </c>
      <c r="DD45" s="178" t="e">
        <f t="shared" si="63"/>
        <v>#DIV/0!</v>
      </c>
      <c r="DE45" s="178" t="e">
        <f t="shared" si="63"/>
        <v>#DIV/0!</v>
      </c>
      <c r="DF45" s="178" t="e">
        <f t="shared" si="63"/>
        <v>#DIV/0!</v>
      </c>
      <c r="DG45" s="178" t="e">
        <f t="shared" si="63"/>
        <v>#DIV/0!</v>
      </c>
      <c r="DH45" s="178" t="e">
        <f t="shared" si="63"/>
        <v>#DIV/0!</v>
      </c>
      <c r="DI45" s="178" t="e">
        <f t="shared" si="63"/>
        <v>#DIV/0!</v>
      </c>
      <c r="DJ45" s="178" t="e">
        <f t="shared" si="63"/>
        <v>#DIV/0!</v>
      </c>
      <c r="DK45" s="178" t="e">
        <f t="shared" si="63"/>
        <v>#DIV/0!</v>
      </c>
      <c r="DL45" s="168" t="e">
        <f t="shared" si="63"/>
        <v>#DIV/0!</v>
      </c>
      <c r="DM45" s="169" t="e">
        <f t="shared" si="52"/>
        <v>#DIV/0!</v>
      </c>
      <c r="DN45" s="171" t="e">
        <f t="shared" si="53"/>
        <v>#DIV/0!</v>
      </c>
      <c r="DO45" s="180" t="e">
        <f t="shared" si="64"/>
        <v>#DIV/0!</v>
      </c>
      <c r="DP45" s="178" t="e">
        <f t="shared" si="64"/>
        <v>#DIV/0!</v>
      </c>
      <c r="DQ45" s="178" t="e">
        <f t="shared" si="64"/>
        <v>#DIV/0!</v>
      </c>
      <c r="DR45" s="178" t="e">
        <f t="shared" si="64"/>
        <v>#DIV/0!</v>
      </c>
      <c r="DS45" s="178" t="e">
        <f t="shared" si="64"/>
        <v>#DIV/0!</v>
      </c>
      <c r="DT45" s="178" t="e">
        <f t="shared" si="64"/>
        <v>#DIV/0!</v>
      </c>
      <c r="DU45" s="178" t="e">
        <f t="shared" si="64"/>
        <v>#DIV/0!</v>
      </c>
      <c r="DV45" s="178" t="e">
        <f t="shared" si="64"/>
        <v>#DIV/0!</v>
      </c>
      <c r="DW45" s="178" t="e">
        <f t="shared" si="64"/>
        <v>#DIV/0!</v>
      </c>
      <c r="DX45" s="178" t="e">
        <f t="shared" si="64"/>
        <v>#DIV/0!</v>
      </c>
      <c r="DY45" s="178" t="e">
        <f t="shared" si="64"/>
        <v>#DIV/0!</v>
      </c>
      <c r="DZ45" s="168" t="e">
        <f t="shared" si="64"/>
        <v>#DIV/0!</v>
      </c>
      <c r="EA45" s="169" t="e">
        <f t="shared" si="55"/>
        <v>#DIV/0!</v>
      </c>
      <c r="EB45" s="171" t="e">
        <f t="shared" si="56"/>
        <v>#DIV/0!</v>
      </c>
    </row>
    <row r="46" spans="1:132" s="177" customFormat="1" ht="15.75">
      <c r="A46" s="163">
        <v>43831</v>
      </c>
      <c r="B46" s="403" t="s">
        <v>88</v>
      </c>
      <c r="C46" s="406" t="s">
        <v>285</v>
      </c>
      <c r="D46" s="405">
        <v>4000</v>
      </c>
      <c r="E46" s="167"/>
      <c r="F46" s="168" t="e">
        <f t="shared" si="20"/>
        <v>#DIV/0!</v>
      </c>
      <c r="G46" s="169" t="e">
        <f t="shared" ref="G46:R67" si="65">IF(OR($F46&lt;=0,(G$9-$A46)&gt;(365*$E46)),0,IF($A46&lt;=G$9,$F46/12,0))</f>
        <v>#DIV/0!</v>
      </c>
      <c r="H46" s="178" t="e">
        <f t="shared" si="65"/>
        <v>#DIV/0!</v>
      </c>
      <c r="I46" s="178" t="e">
        <f t="shared" si="65"/>
        <v>#DIV/0!</v>
      </c>
      <c r="J46" s="178" t="e">
        <f t="shared" si="65"/>
        <v>#DIV/0!</v>
      </c>
      <c r="K46" s="178" t="e">
        <f t="shared" si="65"/>
        <v>#DIV/0!</v>
      </c>
      <c r="L46" s="178" t="e">
        <f t="shared" si="65"/>
        <v>#DIV/0!</v>
      </c>
      <c r="M46" s="178" t="e">
        <f t="shared" si="65"/>
        <v>#DIV/0!</v>
      </c>
      <c r="N46" s="178" t="e">
        <f t="shared" si="65"/>
        <v>#DIV/0!</v>
      </c>
      <c r="O46" s="178" t="e">
        <f t="shared" si="65"/>
        <v>#DIV/0!</v>
      </c>
      <c r="P46" s="178" t="e">
        <f t="shared" si="65"/>
        <v>#DIV/0!</v>
      </c>
      <c r="Q46" s="178" t="e">
        <f t="shared" si="65"/>
        <v>#DIV/0!</v>
      </c>
      <c r="R46" s="179" t="e">
        <f t="shared" si="65"/>
        <v>#DIV/0!</v>
      </c>
      <c r="S46" s="169" t="e">
        <f t="shared" si="31"/>
        <v>#DIV/0!</v>
      </c>
      <c r="T46" s="179" t="e">
        <f t="shared" si="32"/>
        <v>#DIV/0!</v>
      </c>
      <c r="U46" s="180" t="e">
        <f t="shared" si="57"/>
        <v>#DIV/0!</v>
      </c>
      <c r="V46" s="178" t="e">
        <f t="shared" si="57"/>
        <v>#DIV/0!</v>
      </c>
      <c r="W46" s="178" t="e">
        <f t="shared" si="57"/>
        <v>#DIV/0!</v>
      </c>
      <c r="X46" s="178" t="e">
        <f t="shared" si="57"/>
        <v>#DIV/0!</v>
      </c>
      <c r="Y46" s="178" t="e">
        <f t="shared" si="57"/>
        <v>#DIV/0!</v>
      </c>
      <c r="Z46" s="178" t="e">
        <f t="shared" si="57"/>
        <v>#DIV/0!</v>
      </c>
      <c r="AA46" s="178" t="e">
        <f t="shared" si="57"/>
        <v>#DIV/0!</v>
      </c>
      <c r="AB46" s="178" t="e">
        <f t="shared" si="57"/>
        <v>#DIV/0!</v>
      </c>
      <c r="AC46" s="178" t="e">
        <f t="shared" si="57"/>
        <v>#DIV/0!</v>
      </c>
      <c r="AD46" s="178" t="e">
        <f t="shared" si="57"/>
        <v>#DIV/0!</v>
      </c>
      <c r="AE46" s="178" t="e">
        <f t="shared" si="57"/>
        <v>#DIV/0!</v>
      </c>
      <c r="AF46" s="168" t="e">
        <f t="shared" si="57"/>
        <v>#DIV/0!</v>
      </c>
      <c r="AG46" s="169" t="e">
        <f t="shared" si="34"/>
        <v>#DIV/0!</v>
      </c>
      <c r="AH46" s="179" t="e">
        <f t="shared" si="35"/>
        <v>#DIV/0!</v>
      </c>
      <c r="AI46" s="180" t="e">
        <f t="shared" si="58"/>
        <v>#DIV/0!</v>
      </c>
      <c r="AJ46" s="178" t="e">
        <f t="shared" si="58"/>
        <v>#DIV/0!</v>
      </c>
      <c r="AK46" s="178" t="e">
        <f t="shared" si="58"/>
        <v>#DIV/0!</v>
      </c>
      <c r="AL46" s="178" t="e">
        <f t="shared" si="58"/>
        <v>#DIV/0!</v>
      </c>
      <c r="AM46" s="178" t="e">
        <f t="shared" si="58"/>
        <v>#DIV/0!</v>
      </c>
      <c r="AN46" s="178" t="e">
        <f t="shared" si="58"/>
        <v>#DIV/0!</v>
      </c>
      <c r="AO46" s="178" t="e">
        <f t="shared" si="58"/>
        <v>#DIV/0!</v>
      </c>
      <c r="AP46" s="178" t="e">
        <f t="shared" si="58"/>
        <v>#DIV/0!</v>
      </c>
      <c r="AQ46" s="178" t="e">
        <f t="shared" si="58"/>
        <v>#DIV/0!</v>
      </c>
      <c r="AR46" s="178" t="e">
        <f t="shared" si="58"/>
        <v>#DIV/0!</v>
      </c>
      <c r="AS46" s="178" t="e">
        <f t="shared" si="58"/>
        <v>#DIV/0!</v>
      </c>
      <c r="AT46" s="168" t="e">
        <f t="shared" si="58"/>
        <v>#DIV/0!</v>
      </c>
      <c r="AU46" s="169" t="e">
        <f t="shared" si="37"/>
        <v>#DIV/0!</v>
      </c>
      <c r="AV46" s="179" t="e">
        <f t="shared" si="38"/>
        <v>#DIV/0!</v>
      </c>
      <c r="AW46" s="180" t="e">
        <f t="shared" si="59"/>
        <v>#DIV/0!</v>
      </c>
      <c r="AX46" s="178" t="e">
        <f t="shared" si="59"/>
        <v>#DIV/0!</v>
      </c>
      <c r="AY46" s="178" t="e">
        <f t="shared" si="59"/>
        <v>#DIV/0!</v>
      </c>
      <c r="AZ46" s="178" t="e">
        <f t="shared" si="59"/>
        <v>#DIV/0!</v>
      </c>
      <c r="BA46" s="178" t="e">
        <f t="shared" si="59"/>
        <v>#DIV/0!</v>
      </c>
      <c r="BB46" s="178" t="e">
        <f t="shared" si="59"/>
        <v>#DIV/0!</v>
      </c>
      <c r="BC46" s="178" t="e">
        <f t="shared" si="59"/>
        <v>#DIV/0!</v>
      </c>
      <c r="BD46" s="178" t="e">
        <f t="shared" si="59"/>
        <v>#DIV/0!</v>
      </c>
      <c r="BE46" s="178" t="e">
        <f t="shared" si="59"/>
        <v>#DIV/0!</v>
      </c>
      <c r="BF46" s="178" t="e">
        <f t="shared" si="59"/>
        <v>#DIV/0!</v>
      </c>
      <c r="BG46" s="178" t="e">
        <f t="shared" si="59"/>
        <v>#DIV/0!</v>
      </c>
      <c r="BH46" s="168" t="e">
        <f t="shared" si="59"/>
        <v>#DIV/0!</v>
      </c>
      <c r="BI46" s="169" t="e">
        <f t="shared" si="40"/>
        <v>#DIV/0!</v>
      </c>
      <c r="BJ46" s="179" t="e">
        <f t="shared" si="41"/>
        <v>#DIV/0!</v>
      </c>
      <c r="BK46" s="180" t="e">
        <f t="shared" si="60"/>
        <v>#DIV/0!</v>
      </c>
      <c r="BL46" s="178" t="e">
        <f t="shared" si="60"/>
        <v>#DIV/0!</v>
      </c>
      <c r="BM46" s="178" t="e">
        <f t="shared" si="60"/>
        <v>#DIV/0!</v>
      </c>
      <c r="BN46" s="178" t="e">
        <f t="shared" si="60"/>
        <v>#DIV/0!</v>
      </c>
      <c r="BO46" s="178" t="e">
        <f t="shared" si="60"/>
        <v>#DIV/0!</v>
      </c>
      <c r="BP46" s="178" t="e">
        <f t="shared" si="60"/>
        <v>#DIV/0!</v>
      </c>
      <c r="BQ46" s="178" t="e">
        <f t="shared" si="60"/>
        <v>#DIV/0!</v>
      </c>
      <c r="BR46" s="178" t="e">
        <f t="shared" si="60"/>
        <v>#DIV/0!</v>
      </c>
      <c r="BS46" s="178" t="e">
        <f t="shared" si="60"/>
        <v>#DIV/0!</v>
      </c>
      <c r="BT46" s="178" t="e">
        <f t="shared" si="60"/>
        <v>#DIV/0!</v>
      </c>
      <c r="BU46" s="178" t="e">
        <f t="shared" si="60"/>
        <v>#DIV/0!</v>
      </c>
      <c r="BV46" s="168" t="e">
        <f t="shared" si="60"/>
        <v>#DIV/0!</v>
      </c>
      <c r="BW46" s="169" t="e">
        <f t="shared" si="43"/>
        <v>#DIV/0!</v>
      </c>
      <c r="BX46" s="179" t="e">
        <f t="shared" si="44"/>
        <v>#DIV/0!</v>
      </c>
      <c r="BY46" s="180" t="e">
        <f t="shared" si="61"/>
        <v>#DIV/0!</v>
      </c>
      <c r="BZ46" s="178" t="e">
        <f t="shared" si="61"/>
        <v>#DIV/0!</v>
      </c>
      <c r="CA46" s="178" t="e">
        <f t="shared" si="61"/>
        <v>#DIV/0!</v>
      </c>
      <c r="CB46" s="178" t="e">
        <f t="shared" si="61"/>
        <v>#DIV/0!</v>
      </c>
      <c r="CC46" s="178" t="e">
        <f t="shared" si="61"/>
        <v>#DIV/0!</v>
      </c>
      <c r="CD46" s="178" t="e">
        <f t="shared" si="61"/>
        <v>#DIV/0!</v>
      </c>
      <c r="CE46" s="178" t="e">
        <f t="shared" si="61"/>
        <v>#DIV/0!</v>
      </c>
      <c r="CF46" s="178" t="e">
        <f t="shared" si="61"/>
        <v>#DIV/0!</v>
      </c>
      <c r="CG46" s="178" t="e">
        <f t="shared" si="61"/>
        <v>#DIV/0!</v>
      </c>
      <c r="CH46" s="178" t="e">
        <f t="shared" si="61"/>
        <v>#DIV/0!</v>
      </c>
      <c r="CI46" s="178" t="e">
        <f t="shared" si="61"/>
        <v>#DIV/0!</v>
      </c>
      <c r="CJ46" s="168" t="e">
        <f t="shared" si="61"/>
        <v>#DIV/0!</v>
      </c>
      <c r="CK46" s="169" t="e">
        <f t="shared" si="46"/>
        <v>#DIV/0!</v>
      </c>
      <c r="CL46" s="179" t="e">
        <f t="shared" si="47"/>
        <v>#DIV/0!</v>
      </c>
      <c r="CM46" s="180" t="e">
        <f t="shared" si="62"/>
        <v>#DIV/0!</v>
      </c>
      <c r="CN46" s="178" t="e">
        <f t="shared" si="62"/>
        <v>#DIV/0!</v>
      </c>
      <c r="CO46" s="178" t="e">
        <f t="shared" si="62"/>
        <v>#DIV/0!</v>
      </c>
      <c r="CP46" s="178" t="e">
        <f t="shared" si="62"/>
        <v>#DIV/0!</v>
      </c>
      <c r="CQ46" s="178" t="e">
        <f t="shared" si="62"/>
        <v>#DIV/0!</v>
      </c>
      <c r="CR46" s="178" t="e">
        <f t="shared" si="62"/>
        <v>#DIV/0!</v>
      </c>
      <c r="CS46" s="178" t="e">
        <f t="shared" si="62"/>
        <v>#DIV/0!</v>
      </c>
      <c r="CT46" s="178" t="e">
        <f t="shared" si="62"/>
        <v>#DIV/0!</v>
      </c>
      <c r="CU46" s="178" t="e">
        <f t="shared" si="62"/>
        <v>#DIV/0!</v>
      </c>
      <c r="CV46" s="178" t="e">
        <f t="shared" si="62"/>
        <v>#DIV/0!</v>
      </c>
      <c r="CW46" s="178" t="e">
        <f t="shared" si="62"/>
        <v>#DIV/0!</v>
      </c>
      <c r="CX46" s="168" t="e">
        <f t="shared" si="62"/>
        <v>#DIV/0!</v>
      </c>
      <c r="CY46" s="169" t="e">
        <f t="shared" si="49"/>
        <v>#DIV/0!</v>
      </c>
      <c r="CZ46" s="179" t="e">
        <f t="shared" si="50"/>
        <v>#DIV/0!</v>
      </c>
      <c r="DA46" s="180" t="e">
        <f t="shared" si="63"/>
        <v>#DIV/0!</v>
      </c>
      <c r="DB46" s="178" t="e">
        <f t="shared" si="63"/>
        <v>#DIV/0!</v>
      </c>
      <c r="DC46" s="178" t="e">
        <f t="shared" si="63"/>
        <v>#DIV/0!</v>
      </c>
      <c r="DD46" s="178" t="e">
        <f t="shared" si="63"/>
        <v>#DIV/0!</v>
      </c>
      <c r="DE46" s="178" t="e">
        <f t="shared" si="63"/>
        <v>#DIV/0!</v>
      </c>
      <c r="DF46" s="178" t="e">
        <f t="shared" si="63"/>
        <v>#DIV/0!</v>
      </c>
      <c r="DG46" s="178" t="e">
        <f t="shared" si="63"/>
        <v>#DIV/0!</v>
      </c>
      <c r="DH46" s="178" t="e">
        <f t="shared" si="63"/>
        <v>#DIV/0!</v>
      </c>
      <c r="DI46" s="178" t="e">
        <f t="shared" si="63"/>
        <v>#DIV/0!</v>
      </c>
      <c r="DJ46" s="178" t="e">
        <f t="shared" si="63"/>
        <v>#DIV/0!</v>
      </c>
      <c r="DK46" s="178" t="e">
        <f t="shared" si="63"/>
        <v>#DIV/0!</v>
      </c>
      <c r="DL46" s="168" t="e">
        <f t="shared" si="63"/>
        <v>#DIV/0!</v>
      </c>
      <c r="DM46" s="169" t="e">
        <f t="shared" si="52"/>
        <v>#DIV/0!</v>
      </c>
      <c r="DN46" s="171" t="e">
        <f t="shared" si="53"/>
        <v>#DIV/0!</v>
      </c>
      <c r="DO46" s="180" t="e">
        <f t="shared" si="64"/>
        <v>#DIV/0!</v>
      </c>
      <c r="DP46" s="178" t="e">
        <f t="shared" si="64"/>
        <v>#DIV/0!</v>
      </c>
      <c r="DQ46" s="178" t="e">
        <f t="shared" si="64"/>
        <v>#DIV/0!</v>
      </c>
      <c r="DR46" s="178" t="e">
        <f t="shared" si="64"/>
        <v>#DIV/0!</v>
      </c>
      <c r="DS46" s="178" t="e">
        <f t="shared" si="64"/>
        <v>#DIV/0!</v>
      </c>
      <c r="DT46" s="178" t="e">
        <f t="shared" si="64"/>
        <v>#DIV/0!</v>
      </c>
      <c r="DU46" s="178" t="e">
        <f t="shared" si="64"/>
        <v>#DIV/0!</v>
      </c>
      <c r="DV46" s="178" t="e">
        <f t="shared" si="64"/>
        <v>#DIV/0!</v>
      </c>
      <c r="DW46" s="178" t="e">
        <f t="shared" si="64"/>
        <v>#DIV/0!</v>
      </c>
      <c r="DX46" s="178" t="e">
        <f t="shared" si="64"/>
        <v>#DIV/0!</v>
      </c>
      <c r="DY46" s="178" t="e">
        <f t="shared" si="64"/>
        <v>#DIV/0!</v>
      </c>
      <c r="DZ46" s="168" t="e">
        <f t="shared" si="64"/>
        <v>#DIV/0!</v>
      </c>
      <c r="EA46" s="169" t="e">
        <f t="shared" si="55"/>
        <v>#DIV/0!</v>
      </c>
      <c r="EB46" s="171" t="e">
        <f t="shared" si="56"/>
        <v>#DIV/0!</v>
      </c>
    </row>
    <row r="47" spans="1:132" s="177" customFormat="1" ht="15.75">
      <c r="A47" s="163">
        <v>43831</v>
      </c>
      <c r="B47" s="403" t="s">
        <v>90</v>
      </c>
      <c r="C47" s="406" t="s">
        <v>286</v>
      </c>
      <c r="D47" s="405">
        <v>80000</v>
      </c>
      <c r="E47" s="167"/>
      <c r="F47" s="168" t="e">
        <f t="shared" si="20"/>
        <v>#DIV/0!</v>
      </c>
      <c r="G47" s="169" t="e">
        <f t="shared" si="65"/>
        <v>#DIV/0!</v>
      </c>
      <c r="H47" s="178" t="e">
        <f t="shared" si="65"/>
        <v>#DIV/0!</v>
      </c>
      <c r="I47" s="178" t="e">
        <f t="shared" si="65"/>
        <v>#DIV/0!</v>
      </c>
      <c r="J47" s="178" t="e">
        <f t="shared" si="65"/>
        <v>#DIV/0!</v>
      </c>
      <c r="K47" s="178" t="e">
        <f t="shared" si="65"/>
        <v>#DIV/0!</v>
      </c>
      <c r="L47" s="178" t="e">
        <f t="shared" si="65"/>
        <v>#DIV/0!</v>
      </c>
      <c r="M47" s="178" t="e">
        <f t="shared" si="65"/>
        <v>#DIV/0!</v>
      </c>
      <c r="N47" s="178" t="e">
        <f t="shared" si="65"/>
        <v>#DIV/0!</v>
      </c>
      <c r="O47" s="178" t="e">
        <f t="shared" si="65"/>
        <v>#DIV/0!</v>
      </c>
      <c r="P47" s="178" t="e">
        <f t="shared" si="65"/>
        <v>#DIV/0!</v>
      </c>
      <c r="Q47" s="178" t="e">
        <f t="shared" si="65"/>
        <v>#DIV/0!</v>
      </c>
      <c r="R47" s="179" t="e">
        <f t="shared" si="65"/>
        <v>#DIV/0!</v>
      </c>
      <c r="S47" s="169" t="e">
        <f t="shared" si="31"/>
        <v>#DIV/0!</v>
      </c>
      <c r="T47" s="179" t="e">
        <f t="shared" si="32"/>
        <v>#DIV/0!</v>
      </c>
      <c r="U47" s="180" t="e">
        <f t="shared" si="57"/>
        <v>#DIV/0!</v>
      </c>
      <c r="V47" s="178" t="e">
        <f t="shared" si="57"/>
        <v>#DIV/0!</v>
      </c>
      <c r="W47" s="178" t="e">
        <f t="shared" si="57"/>
        <v>#DIV/0!</v>
      </c>
      <c r="X47" s="178" t="e">
        <f t="shared" si="57"/>
        <v>#DIV/0!</v>
      </c>
      <c r="Y47" s="178" t="e">
        <f t="shared" si="57"/>
        <v>#DIV/0!</v>
      </c>
      <c r="Z47" s="178" t="e">
        <f t="shared" si="57"/>
        <v>#DIV/0!</v>
      </c>
      <c r="AA47" s="178" t="e">
        <f t="shared" si="57"/>
        <v>#DIV/0!</v>
      </c>
      <c r="AB47" s="178" t="e">
        <f t="shared" si="57"/>
        <v>#DIV/0!</v>
      </c>
      <c r="AC47" s="178" t="e">
        <f t="shared" si="57"/>
        <v>#DIV/0!</v>
      </c>
      <c r="AD47" s="178" t="e">
        <f t="shared" si="57"/>
        <v>#DIV/0!</v>
      </c>
      <c r="AE47" s="178" t="e">
        <f t="shared" si="57"/>
        <v>#DIV/0!</v>
      </c>
      <c r="AF47" s="168" t="e">
        <f t="shared" si="57"/>
        <v>#DIV/0!</v>
      </c>
      <c r="AG47" s="169" t="e">
        <f t="shared" si="34"/>
        <v>#DIV/0!</v>
      </c>
      <c r="AH47" s="179" t="e">
        <f t="shared" si="35"/>
        <v>#DIV/0!</v>
      </c>
      <c r="AI47" s="180" t="e">
        <f t="shared" si="58"/>
        <v>#DIV/0!</v>
      </c>
      <c r="AJ47" s="178" t="e">
        <f t="shared" si="58"/>
        <v>#DIV/0!</v>
      </c>
      <c r="AK47" s="178" t="e">
        <f t="shared" si="58"/>
        <v>#DIV/0!</v>
      </c>
      <c r="AL47" s="178" t="e">
        <f t="shared" si="58"/>
        <v>#DIV/0!</v>
      </c>
      <c r="AM47" s="178" t="e">
        <f t="shared" si="58"/>
        <v>#DIV/0!</v>
      </c>
      <c r="AN47" s="178" t="e">
        <f t="shared" si="58"/>
        <v>#DIV/0!</v>
      </c>
      <c r="AO47" s="178" t="e">
        <f t="shared" si="58"/>
        <v>#DIV/0!</v>
      </c>
      <c r="AP47" s="178" t="e">
        <f t="shared" si="58"/>
        <v>#DIV/0!</v>
      </c>
      <c r="AQ47" s="178" t="e">
        <f t="shared" si="58"/>
        <v>#DIV/0!</v>
      </c>
      <c r="AR47" s="178" t="e">
        <f t="shared" si="58"/>
        <v>#DIV/0!</v>
      </c>
      <c r="AS47" s="178" t="e">
        <f t="shared" si="58"/>
        <v>#DIV/0!</v>
      </c>
      <c r="AT47" s="168" t="e">
        <f t="shared" si="58"/>
        <v>#DIV/0!</v>
      </c>
      <c r="AU47" s="169" t="e">
        <f t="shared" si="37"/>
        <v>#DIV/0!</v>
      </c>
      <c r="AV47" s="179" t="e">
        <f t="shared" si="38"/>
        <v>#DIV/0!</v>
      </c>
      <c r="AW47" s="180" t="e">
        <f t="shared" si="59"/>
        <v>#DIV/0!</v>
      </c>
      <c r="AX47" s="178" t="e">
        <f t="shared" si="59"/>
        <v>#DIV/0!</v>
      </c>
      <c r="AY47" s="178" t="e">
        <f t="shared" si="59"/>
        <v>#DIV/0!</v>
      </c>
      <c r="AZ47" s="178" t="e">
        <f t="shared" si="59"/>
        <v>#DIV/0!</v>
      </c>
      <c r="BA47" s="178" t="e">
        <f t="shared" si="59"/>
        <v>#DIV/0!</v>
      </c>
      <c r="BB47" s="178" t="e">
        <f t="shared" si="59"/>
        <v>#DIV/0!</v>
      </c>
      <c r="BC47" s="178" t="e">
        <f t="shared" si="59"/>
        <v>#DIV/0!</v>
      </c>
      <c r="BD47" s="178" t="e">
        <f t="shared" si="59"/>
        <v>#DIV/0!</v>
      </c>
      <c r="BE47" s="178" t="e">
        <f t="shared" si="59"/>
        <v>#DIV/0!</v>
      </c>
      <c r="BF47" s="178" t="e">
        <f t="shared" si="59"/>
        <v>#DIV/0!</v>
      </c>
      <c r="BG47" s="178" t="e">
        <f t="shared" si="59"/>
        <v>#DIV/0!</v>
      </c>
      <c r="BH47" s="168" t="e">
        <f t="shared" si="59"/>
        <v>#DIV/0!</v>
      </c>
      <c r="BI47" s="169" t="e">
        <f t="shared" si="40"/>
        <v>#DIV/0!</v>
      </c>
      <c r="BJ47" s="179" t="e">
        <f t="shared" si="41"/>
        <v>#DIV/0!</v>
      </c>
      <c r="BK47" s="180" t="e">
        <f t="shared" si="60"/>
        <v>#DIV/0!</v>
      </c>
      <c r="BL47" s="178" t="e">
        <f t="shared" si="60"/>
        <v>#DIV/0!</v>
      </c>
      <c r="BM47" s="178" t="e">
        <f t="shared" si="60"/>
        <v>#DIV/0!</v>
      </c>
      <c r="BN47" s="178" t="e">
        <f t="shared" si="60"/>
        <v>#DIV/0!</v>
      </c>
      <c r="BO47" s="178" t="e">
        <f t="shared" si="60"/>
        <v>#DIV/0!</v>
      </c>
      <c r="BP47" s="178" t="e">
        <f t="shared" si="60"/>
        <v>#DIV/0!</v>
      </c>
      <c r="BQ47" s="178" t="e">
        <f t="shared" si="60"/>
        <v>#DIV/0!</v>
      </c>
      <c r="BR47" s="178" t="e">
        <f t="shared" si="60"/>
        <v>#DIV/0!</v>
      </c>
      <c r="BS47" s="178" t="e">
        <f t="shared" si="60"/>
        <v>#DIV/0!</v>
      </c>
      <c r="BT47" s="178" t="e">
        <f t="shared" si="60"/>
        <v>#DIV/0!</v>
      </c>
      <c r="BU47" s="178" t="e">
        <f t="shared" si="60"/>
        <v>#DIV/0!</v>
      </c>
      <c r="BV47" s="168" t="e">
        <f t="shared" si="60"/>
        <v>#DIV/0!</v>
      </c>
      <c r="BW47" s="169" t="e">
        <f t="shared" si="43"/>
        <v>#DIV/0!</v>
      </c>
      <c r="BX47" s="179" t="e">
        <f t="shared" si="44"/>
        <v>#DIV/0!</v>
      </c>
      <c r="BY47" s="180" t="e">
        <f t="shared" si="61"/>
        <v>#DIV/0!</v>
      </c>
      <c r="BZ47" s="178" t="e">
        <f t="shared" si="61"/>
        <v>#DIV/0!</v>
      </c>
      <c r="CA47" s="178" t="e">
        <f t="shared" si="61"/>
        <v>#DIV/0!</v>
      </c>
      <c r="CB47" s="178" t="e">
        <f t="shared" si="61"/>
        <v>#DIV/0!</v>
      </c>
      <c r="CC47" s="178" t="e">
        <f t="shared" si="61"/>
        <v>#DIV/0!</v>
      </c>
      <c r="CD47" s="178" t="e">
        <f t="shared" si="61"/>
        <v>#DIV/0!</v>
      </c>
      <c r="CE47" s="178" t="e">
        <f t="shared" si="61"/>
        <v>#DIV/0!</v>
      </c>
      <c r="CF47" s="178" t="e">
        <f t="shared" si="61"/>
        <v>#DIV/0!</v>
      </c>
      <c r="CG47" s="178" t="e">
        <f t="shared" si="61"/>
        <v>#DIV/0!</v>
      </c>
      <c r="CH47" s="178" t="e">
        <f t="shared" si="61"/>
        <v>#DIV/0!</v>
      </c>
      <c r="CI47" s="178" t="e">
        <f t="shared" si="61"/>
        <v>#DIV/0!</v>
      </c>
      <c r="CJ47" s="168" t="e">
        <f t="shared" si="61"/>
        <v>#DIV/0!</v>
      </c>
      <c r="CK47" s="169" t="e">
        <f t="shared" si="46"/>
        <v>#DIV/0!</v>
      </c>
      <c r="CL47" s="179" t="e">
        <f t="shared" si="47"/>
        <v>#DIV/0!</v>
      </c>
      <c r="CM47" s="180" t="e">
        <f t="shared" si="62"/>
        <v>#DIV/0!</v>
      </c>
      <c r="CN47" s="178" t="e">
        <f t="shared" si="62"/>
        <v>#DIV/0!</v>
      </c>
      <c r="CO47" s="178" t="e">
        <f t="shared" si="62"/>
        <v>#DIV/0!</v>
      </c>
      <c r="CP47" s="178" t="e">
        <f t="shared" si="62"/>
        <v>#DIV/0!</v>
      </c>
      <c r="CQ47" s="178" t="e">
        <f t="shared" si="62"/>
        <v>#DIV/0!</v>
      </c>
      <c r="CR47" s="178" t="e">
        <f t="shared" si="62"/>
        <v>#DIV/0!</v>
      </c>
      <c r="CS47" s="178" t="e">
        <f t="shared" si="62"/>
        <v>#DIV/0!</v>
      </c>
      <c r="CT47" s="178" t="e">
        <f t="shared" si="62"/>
        <v>#DIV/0!</v>
      </c>
      <c r="CU47" s="178" t="e">
        <f t="shared" si="62"/>
        <v>#DIV/0!</v>
      </c>
      <c r="CV47" s="178" t="e">
        <f t="shared" si="62"/>
        <v>#DIV/0!</v>
      </c>
      <c r="CW47" s="178" t="e">
        <f t="shared" si="62"/>
        <v>#DIV/0!</v>
      </c>
      <c r="CX47" s="168" t="e">
        <f t="shared" si="62"/>
        <v>#DIV/0!</v>
      </c>
      <c r="CY47" s="169" t="e">
        <f t="shared" si="49"/>
        <v>#DIV/0!</v>
      </c>
      <c r="CZ47" s="179" t="e">
        <f t="shared" si="50"/>
        <v>#DIV/0!</v>
      </c>
      <c r="DA47" s="180" t="e">
        <f t="shared" si="63"/>
        <v>#DIV/0!</v>
      </c>
      <c r="DB47" s="178" t="e">
        <f t="shared" si="63"/>
        <v>#DIV/0!</v>
      </c>
      <c r="DC47" s="178" t="e">
        <f t="shared" si="63"/>
        <v>#DIV/0!</v>
      </c>
      <c r="DD47" s="178" t="e">
        <f t="shared" si="63"/>
        <v>#DIV/0!</v>
      </c>
      <c r="DE47" s="178" t="e">
        <f t="shared" si="63"/>
        <v>#DIV/0!</v>
      </c>
      <c r="DF47" s="178" t="e">
        <f t="shared" si="63"/>
        <v>#DIV/0!</v>
      </c>
      <c r="DG47" s="178" t="e">
        <f t="shared" si="63"/>
        <v>#DIV/0!</v>
      </c>
      <c r="DH47" s="178" t="e">
        <f t="shared" si="63"/>
        <v>#DIV/0!</v>
      </c>
      <c r="DI47" s="178" t="e">
        <f t="shared" si="63"/>
        <v>#DIV/0!</v>
      </c>
      <c r="DJ47" s="178" t="e">
        <f t="shared" si="63"/>
        <v>#DIV/0!</v>
      </c>
      <c r="DK47" s="178" t="e">
        <f t="shared" si="63"/>
        <v>#DIV/0!</v>
      </c>
      <c r="DL47" s="168" t="e">
        <f t="shared" si="63"/>
        <v>#DIV/0!</v>
      </c>
      <c r="DM47" s="169" t="e">
        <f t="shared" si="52"/>
        <v>#DIV/0!</v>
      </c>
      <c r="DN47" s="171" t="e">
        <f t="shared" si="53"/>
        <v>#DIV/0!</v>
      </c>
      <c r="DO47" s="180" t="e">
        <f t="shared" si="64"/>
        <v>#DIV/0!</v>
      </c>
      <c r="DP47" s="178" t="e">
        <f t="shared" si="64"/>
        <v>#DIV/0!</v>
      </c>
      <c r="DQ47" s="178" t="e">
        <f t="shared" si="64"/>
        <v>#DIV/0!</v>
      </c>
      <c r="DR47" s="178" t="e">
        <f t="shared" si="64"/>
        <v>#DIV/0!</v>
      </c>
      <c r="DS47" s="178" t="e">
        <f t="shared" si="64"/>
        <v>#DIV/0!</v>
      </c>
      <c r="DT47" s="178" t="e">
        <f t="shared" si="64"/>
        <v>#DIV/0!</v>
      </c>
      <c r="DU47" s="178" t="e">
        <f t="shared" si="64"/>
        <v>#DIV/0!</v>
      </c>
      <c r="DV47" s="178" t="e">
        <f t="shared" si="64"/>
        <v>#DIV/0!</v>
      </c>
      <c r="DW47" s="178" t="e">
        <f t="shared" si="64"/>
        <v>#DIV/0!</v>
      </c>
      <c r="DX47" s="178" t="e">
        <f t="shared" si="64"/>
        <v>#DIV/0!</v>
      </c>
      <c r="DY47" s="178" t="e">
        <f t="shared" si="64"/>
        <v>#DIV/0!</v>
      </c>
      <c r="DZ47" s="168" t="e">
        <f t="shared" si="64"/>
        <v>#DIV/0!</v>
      </c>
      <c r="EA47" s="169" t="e">
        <f t="shared" si="55"/>
        <v>#DIV/0!</v>
      </c>
      <c r="EB47" s="171" t="e">
        <f t="shared" si="56"/>
        <v>#DIV/0!</v>
      </c>
    </row>
    <row r="48" spans="1:132" s="177" customFormat="1" ht="15.75">
      <c r="A48" s="163">
        <v>43831</v>
      </c>
      <c r="B48" s="403" t="s">
        <v>90</v>
      </c>
      <c r="C48" s="406" t="s">
        <v>287</v>
      </c>
      <c r="D48" s="405">
        <v>10000</v>
      </c>
      <c r="E48" s="167"/>
      <c r="F48" s="168" t="e">
        <f t="shared" si="20"/>
        <v>#DIV/0!</v>
      </c>
      <c r="G48" s="169" t="e">
        <f t="shared" si="65"/>
        <v>#DIV/0!</v>
      </c>
      <c r="H48" s="178" t="e">
        <f t="shared" si="65"/>
        <v>#DIV/0!</v>
      </c>
      <c r="I48" s="178" t="e">
        <f t="shared" si="65"/>
        <v>#DIV/0!</v>
      </c>
      <c r="J48" s="178" t="e">
        <f t="shared" si="65"/>
        <v>#DIV/0!</v>
      </c>
      <c r="K48" s="178" t="e">
        <f t="shared" si="65"/>
        <v>#DIV/0!</v>
      </c>
      <c r="L48" s="178" t="e">
        <f t="shared" si="65"/>
        <v>#DIV/0!</v>
      </c>
      <c r="M48" s="178" t="e">
        <f t="shared" si="65"/>
        <v>#DIV/0!</v>
      </c>
      <c r="N48" s="178" t="e">
        <f t="shared" si="65"/>
        <v>#DIV/0!</v>
      </c>
      <c r="O48" s="178" t="e">
        <f t="shared" si="65"/>
        <v>#DIV/0!</v>
      </c>
      <c r="P48" s="178" t="e">
        <f t="shared" si="65"/>
        <v>#DIV/0!</v>
      </c>
      <c r="Q48" s="178" t="e">
        <f t="shared" si="65"/>
        <v>#DIV/0!</v>
      </c>
      <c r="R48" s="179" t="e">
        <f t="shared" si="65"/>
        <v>#DIV/0!</v>
      </c>
      <c r="S48" s="169" t="e">
        <f t="shared" si="31"/>
        <v>#DIV/0!</v>
      </c>
      <c r="T48" s="179" t="e">
        <f t="shared" si="32"/>
        <v>#DIV/0!</v>
      </c>
      <c r="U48" s="180" t="e">
        <f t="shared" si="57"/>
        <v>#DIV/0!</v>
      </c>
      <c r="V48" s="178" t="e">
        <f t="shared" si="57"/>
        <v>#DIV/0!</v>
      </c>
      <c r="W48" s="178" t="e">
        <f t="shared" si="57"/>
        <v>#DIV/0!</v>
      </c>
      <c r="X48" s="178" t="e">
        <f t="shared" si="57"/>
        <v>#DIV/0!</v>
      </c>
      <c r="Y48" s="178" t="e">
        <f t="shared" si="57"/>
        <v>#DIV/0!</v>
      </c>
      <c r="Z48" s="178" t="e">
        <f t="shared" si="57"/>
        <v>#DIV/0!</v>
      </c>
      <c r="AA48" s="178" t="e">
        <f t="shared" si="57"/>
        <v>#DIV/0!</v>
      </c>
      <c r="AB48" s="178" t="e">
        <f t="shared" si="57"/>
        <v>#DIV/0!</v>
      </c>
      <c r="AC48" s="178" t="e">
        <f t="shared" si="57"/>
        <v>#DIV/0!</v>
      </c>
      <c r="AD48" s="178" t="e">
        <f t="shared" si="57"/>
        <v>#DIV/0!</v>
      </c>
      <c r="AE48" s="178" t="e">
        <f t="shared" si="57"/>
        <v>#DIV/0!</v>
      </c>
      <c r="AF48" s="168" t="e">
        <f t="shared" si="57"/>
        <v>#DIV/0!</v>
      </c>
      <c r="AG48" s="169" t="e">
        <f t="shared" si="34"/>
        <v>#DIV/0!</v>
      </c>
      <c r="AH48" s="179" t="e">
        <f t="shared" si="35"/>
        <v>#DIV/0!</v>
      </c>
      <c r="AI48" s="180" t="e">
        <f t="shared" si="58"/>
        <v>#DIV/0!</v>
      </c>
      <c r="AJ48" s="178" t="e">
        <f t="shared" si="58"/>
        <v>#DIV/0!</v>
      </c>
      <c r="AK48" s="178" t="e">
        <f t="shared" si="58"/>
        <v>#DIV/0!</v>
      </c>
      <c r="AL48" s="178" t="e">
        <f t="shared" si="58"/>
        <v>#DIV/0!</v>
      </c>
      <c r="AM48" s="178" t="e">
        <f t="shared" si="58"/>
        <v>#DIV/0!</v>
      </c>
      <c r="AN48" s="178" t="e">
        <f t="shared" si="58"/>
        <v>#DIV/0!</v>
      </c>
      <c r="AO48" s="178" t="e">
        <f t="shared" si="58"/>
        <v>#DIV/0!</v>
      </c>
      <c r="AP48" s="178" t="e">
        <f t="shared" si="58"/>
        <v>#DIV/0!</v>
      </c>
      <c r="AQ48" s="178" t="e">
        <f t="shared" si="58"/>
        <v>#DIV/0!</v>
      </c>
      <c r="AR48" s="178" t="e">
        <f t="shared" si="58"/>
        <v>#DIV/0!</v>
      </c>
      <c r="AS48" s="178" t="e">
        <f t="shared" si="58"/>
        <v>#DIV/0!</v>
      </c>
      <c r="AT48" s="168" t="e">
        <f t="shared" si="58"/>
        <v>#DIV/0!</v>
      </c>
      <c r="AU48" s="169" t="e">
        <f t="shared" si="37"/>
        <v>#DIV/0!</v>
      </c>
      <c r="AV48" s="179" t="e">
        <f t="shared" si="38"/>
        <v>#DIV/0!</v>
      </c>
      <c r="AW48" s="180" t="e">
        <f t="shared" si="59"/>
        <v>#DIV/0!</v>
      </c>
      <c r="AX48" s="178" t="e">
        <f t="shared" si="59"/>
        <v>#DIV/0!</v>
      </c>
      <c r="AY48" s="178" t="e">
        <f t="shared" si="59"/>
        <v>#DIV/0!</v>
      </c>
      <c r="AZ48" s="178" t="e">
        <f t="shared" si="59"/>
        <v>#DIV/0!</v>
      </c>
      <c r="BA48" s="178" t="e">
        <f t="shared" si="59"/>
        <v>#DIV/0!</v>
      </c>
      <c r="BB48" s="178" t="e">
        <f t="shared" si="59"/>
        <v>#DIV/0!</v>
      </c>
      <c r="BC48" s="178" t="e">
        <f t="shared" si="59"/>
        <v>#DIV/0!</v>
      </c>
      <c r="BD48" s="178" t="e">
        <f t="shared" si="59"/>
        <v>#DIV/0!</v>
      </c>
      <c r="BE48" s="178" t="e">
        <f t="shared" si="59"/>
        <v>#DIV/0!</v>
      </c>
      <c r="BF48" s="178" t="e">
        <f t="shared" si="59"/>
        <v>#DIV/0!</v>
      </c>
      <c r="BG48" s="178" t="e">
        <f t="shared" si="59"/>
        <v>#DIV/0!</v>
      </c>
      <c r="BH48" s="168" t="e">
        <f t="shared" si="59"/>
        <v>#DIV/0!</v>
      </c>
      <c r="BI48" s="169" t="e">
        <f t="shared" si="40"/>
        <v>#DIV/0!</v>
      </c>
      <c r="BJ48" s="179" t="e">
        <f t="shared" si="41"/>
        <v>#DIV/0!</v>
      </c>
      <c r="BK48" s="180" t="e">
        <f t="shared" si="60"/>
        <v>#DIV/0!</v>
      </c>
      <c r="BL48" s="178" t="e">
        <f t="shared" si="60"/>
        <v>#DIV/0!</v>
      </c>
      <c r="BM48" s="178" t="e">
        <f t="shared" si="60"/>
        <v>#DIV/0!</v>
      </c>
      <c r="BN48" s="178" t="e">
        <f t="shared" si="60"/>
        <v>#DIV/0!</v>
      </c>
      <c r="BO48" s="178" t="e">
        <f t="shared" si="60"/>
        <v>#DIV/0!</v>
      </c>
      <c r="BP48" s="178" t="e">
        <f t="shared" si="60"/>
        <v>#DIV/0!</v>
      </c>
      <c r="BQ48" s="178" t="e">
        <f t="shared" si="60"/>
        <v>#DIV/0!</v>
      </c>
      <c r="BR48" s="178" t="e">
        <f t="shared" si="60"/>
        <v>#DIV/0!</v>
      </c>
      <c r="BS48" s="178" t="e">
        <f t="shared" si="60"/>
        <v>#DIV/0!</v>
      </c>
      <c r="BT48" s="178" t="e">
        <f t="shared" si="60"/>
        <v>#DIV/0!</v>
      </c>
      <c r="BU48" s="178" t="e">
        <f t="shared" si="60"/>
        <v>#DIV/0!</v>
      </c>
      <c r="BV48" s="168" t="e">
        <f t="shared" si="60"/>
        <v>#DIV/0!</v>
      </c>
      <c r="BW48" s="169" t="e">
        <f t="shared" si="43"/>
        <v>#DIV/0!</v>
      </c>
      <c r="BX48" s="179" t="e">
        <f t="shared" si="44"/>
        <v>#DIV/0!</v>
      </c>
      <c r="BY48" s="180" t="e">
        <f t="shared" si="61"/>
        <v>#DIV/0!</v>
      </c>
      <c r="BZ48" s="178" t="e">
        <f t="shared" si="61"/>
        <v>#DIV/0!</v>
      </c>
      <c r="CA48" s="178" t="e">
        <f t="shared" si="61"/>
        <v>#DIV/0!</v>
      </c>
      <c r="CB48" s="178" t="e">
        <f t="shared" si="61"/>
        <v>#DIV/0!</v>
      </c>
      <c r="CC48" s="178" t="e">
        <f t="shared" si="61"/>
        <v>#DIV/0!</v>
      </c>
      <c r="CD48" s="178" t="e">
        <f t="shared" si="61"/>
        <v>#DIV/0!</v>
      </c>
      <c r="CE48" s="178" t="e">
        <f t="shared" si="61"/>
        <v>#DIV/0!</v>
      </c>
      <c r="CF48" s="178" t="e">
        <f t="shared" si="61"/>
        <v>#DIV/0!</v>
      </c>
      <c r="CG48" s="178" t="e">
        <f t="shared" si="61"/>
        <v>#DIV/0!</v>
      </c>
      <c r="CH48" s="178" t="e">
        <f t="shared" si="61"/>
        <v>#DIV/0!</v>
      </c>
      <c r="CI48" s="178" t="e">
        <f t="shared" si="61"/>
        <v>#DIV/0!</v>
      </c>
      <c r="CJ48" s="168" t="e">
        <f t="shared" si="61"/>
        <v>#DIV/0!</v>
      </c>
      <c r="CK48" s="169" t="e">
        <f t="shared" si="46"/>
        <v>#DIV/0!</v>
      </c>
      <c r="CL48" s="179" t="e">
        <f t="shared" si="47"/>
        <v>#DIV/0!</v>
      </c>
      <c r="CM48" s="180" t="e">
        <f t="shared" si="62"/>
        <v>#DIV/0!</v>
      </c>
      <c r="CN48" s="178" t="e">
        <f t="shared" si="62"/>
        <v>#DIV/0!</v>
      </c>
      <c r="CO48" s="178" t="e">
        <f t="shared" si="62"/>
        <v>#DIV/0!</v>
      </c>
      <c r="CP48" s="178" t="e">
        <f t="shared" si="62"/>
        <v>#DIV/0!</v>
      </c>
      <c r="CQ48" s="178" t="e">
        <f t="shared" si="62"/>
        <v>#DIV/0!</v>
      </c>
      <c r="CR48" s="178" t="e">
        <f t="shared" si="62"/>
        <v>#DIV/0!</v>
      </c>
      <c r="CS48" s="178" t="e">
        <f t="shared" si="62"/>
        <v>#DIV/0!</v>
      </c>
      <c r="CT48" s="178" t="e">
        <f t="shared" si="62"/>
        <v>#DIV/0!</v>
      </c>
      <c r="CU48" s="178" t="e">
        <f t="shared" si="62"/>
        <v>#DIV/0!</v>
      </c>
      <c r="CV48" s="178" t="e">
        <f t="shared" si="62"/>
        <v>#DIV/0!</v>
      </c>
      <c r="CW48" s="178" t="e">
        <f t="shared" si="62"/>
        <v>#DIV/0!</v>
      </c>
      <c r="CX48" s="168" t="e">
        <f t="shared" si="62"/>
        <v>#DIV/0!</v>
      </c>
      <c r="CY48" s="169" t="e">
        <f t="shared" si="49"/>
        <v>#DIV/0!</v>
      </c>
      <c r="CZ48" s="179" t="e">
        <f t="shared" si="50"/>
        <v>#DIV/0!</v>
      </c>
      <c r="DA48" s="180" t="e">
        <f t="shared" si="63"/>
        <v>#DIV/0!</v>
      </c>
      <c r="DB48" s="178" t="e">
        <f t="shared" si="63"/>
        <v>#DIV/0!</v>
      </c>
      <c r="DC48" s="178" t="e">
        <f t="shared" si="63"/>
        <v>#DIV/0!</v>
      </c>
      <c r="DD48" s="178" t="e">
        <f t="shared" si="63"/>
        <v>#DIV/0!</v>
      </c>
      <c r="DE48" s="178" t="e">
        <f t="shared" si="63"/>
        <v>#DIV/0!</v>
      </c>
      <c r="DF48" s="178" t="e">
        <f t="shared" si="63"/>
        <v>#DIV/0!</v>
      </c>
      <c r="DG48" s="178" t="e">
        <f t="shared" si="63"/>
        <v>#DIV/0!</v>
      </c>
      <c r="DH48" s="178" t="e">
        <f t="shared" si="63"/>
        <v>#DIV/0!</v>
      </c>
      <c r="DI48" s="178" t="e">
        <f t="shared" si="63"/>
        <v>#DIV/0!</v>
      </c>
      <c r="DJ48" s="178" t="e">
        <f t="shared" si="63"/>
        <v>#DIV/0!</v>
      </c>
      <c r="DK48" s="178" t="e">
        <f t="shared" si="63"/>
        <v>#DIV/0!</v>
      </c>
      <c r="DL48" s="168" t="e">
        <f t="shared" si="63"/>
        <v>#DIV/0!</v>
      </c>
      <c r="DM48" s="169" t="e">
        <f t="shared" si="52"/>
        <v>#DIV/0!</v>
      </c>
      <c r="DN48" s="171" t="e">
        <f t="shared" si="53"/>
        <v>#DIV/0!</v>
      </c>
      <c r="DO48" s="180" t="e">
        <f t="shared" si="64"/>
        <v>#DIV/0!</v>
      </c>
      <c r="DP48" s="178" t="e">
        <f t="shared" si="64"/>
        <v>#DIV/0!</v>
      </c>
      <c r="DQ48" s="178" t="e">
        <f t="shared" si="64"/>
        <v>#DIV/0!</v>
      </c>
      <c r="DR48" s="178" t="e">
        <f t="shared" si="64"/>
        <v>#DIV/0!</v>
      </c>
      <c r="DS48" s="178" t="e">
        <f t="shared" si="64"/>
        <v>#DIV/0!</v>
      </c>
      <c r="DT48" s="178" t="e">
        <f t="shared" si="64"/>
        <v>#DIV/0!</v>
      </c>
      <c r="DU48" s="178" t="e">
        <f t="shared" si="64"/>
        <v>#DIV/0!</v>
      </c>
      <c r="DV48" s="178" t="e">
        <f t="shared" si="64"/>
        <v>#DIV/0!</v>
      </c>
      <c r="DW48" s="178" t="e">
        <f t="shared" si="64"/>
        <v>#DIV/0!</v>
      </c>
      <c r="DX48" s="178" t="e">
        <f t="shared" si="64"/>
        <v>#DIV/0!</v>
      </c>
      <c r="DY48" s="178" t="e">
        <f t="shared" si="64"/>
        <v>#DIV/0!</v>
      </c>
      <c r="DZ48" s="168" t="e">
        <f t="shared" si="64"/>
        <v>#DIV/0!</v>
      </c>
      <c r="EA48" s="169" t="e">
        <f t="shared" si="55"/>
        <v>#DIV/0!</v>
      </c>
      <c r="EB48" s="171" t="e">
        <f t="shared" si="56"/>
        <v>#DIV/0!</v>
      </c>
    </row>
    <row r="49" spans="1:132" s="177" customFormat="1" ht="15.75">
      <c r="A49" s="163">
        <v>43831</v>
      </c>
      <c r="B49" s="403" t="s">
        <v>90</v>
      </c>
      <c r="C49" s="406" t="s">
        <v>288</v>
      </c>
      <c r="D49" s="405">
        <v>1500</v>
      </c>
      <c r="E49" s="167"/>
      <c r="F49" s="168" t="e">
        <f t="shared" si="20"/>
        <v>#DIV/0!</v>
      </c>
      <c r="G49" s="169" t="e">
        <f t="shared" si="65"/>
        <v>#DIV/0!</v>
      </c>
      <c r="H49" s="178" t="e">
        <f t="shared" si="65"/>
        <v>#DIV/0!</v>
      </c>
      <c r="I49" s="178" t="e">
        <f t="shared" si="65"/>
        <v>#DIV/0!</v>
      </c>
      <c r="J49" s="178" t="e">
        <f t="shared" si="65"/>
        <v>#DIV/0!</v>
      </c>
      <c r="K49" s="178" t="e">
        <f t="shared" si="65"/>
        <v>#DIV/0!</v>
      </c>
      <c r="L49" s="178" t="e">
        <f t="shared" si="65"/>
        <v>#DIV/0!</v>
      </c>
      <c r="M49" s="178" t="e">
        <f t="shared" si="65"/>
        <v>#DIV/0!</v>
      </c>
      <c r="N49" s="178" t="e">
        <f t="shared" si="65"/>
        <v>#DIV/0!</v>
      </c>
      <c r="O49" s="178" t="e">
        <f t="shared" si="65"/>
        <v>#DIV/0!</v>
      </c>
      <c r="P49" s="178" t="e">
        <f t="shared" si="65"/>
        <v>#DIV/0!</v>
      </c>
      <c r="Q49" s="178" t="e">
        <f t="shared" si="65"/>
        <v>#DIV/0!</v>
      </c>
      <c r="R49" s="179" t="e">
        <f t="shared" si="65"/>
        <v>#DIV/0!</v>
      </c>
      <c r="S49" s="169" t="e">
        <f t="shared" si="31"/>
        <v>#DIV/0!</v>
      </c>
      <c r="T49" s="179" t="e">
        <f t="shared" si="32"/>
        <v>#DIV/0!</v>
      </c>
      <c r="U49" s="180" t="e">
        <f t="shared" si="57"/>
        <v>#DIV/0!</v>
      </c>
      <c r="V49" s="178" t="e">
        <f t="shared" si="57"/>
        <v>#DIV/0!</v>
      </c>
      <c r="W49" s="178" t="e">
        <f t="shared" si="57"/>
        <v>#DIV/0!</v>
      </c>
      <c r="X49" s="178" t="e">
        <f t="shared" si="57"/>
        <v>#DIV/0!</v>
      </c>
      <c r="Y49" s="178" t="e">
        <f t="shared" si="57"/>
        <v>#DIV/0!</v>
      </c>
      <c r="Z49" s="178" t="e">
        <f t="shared" si="57"/>
        <v>#DIV/0!</v>
      </c>
      <c r="AA49" s="178" t="e">
        <f t="shared" si="57"/>
        <v>#DIV/0!</v>
      </c>
      <c r="AB49" s="178" t="e">
        <f t="shared" si="57"/>
        <v>#DIV/0!</v>
      </c>
      <c r="AC49" s="178" t="e">
        <f t="shared" si="57"/>
        <v>#DIV/0!</v>
      </c>
      <c r="AD49" s="178" t="e">
        <f t="shared" si="57"/>
        <v>#DIV/0!</v>
      </c>
      <c r="AE49" s="178" t="e">
        <f t="shared" si="57"/>
        <v>#DIV/0!</v>
      </c>
      <c r="AF49" s="168" t="e">
        <f t="shared" si="57"/>
        <v>#DIV/0!</v>
      </c>
      <c r="AG49" s="169" t="e">
        <f t="shared" si="34"/>
        <v>#DIV/0!</v>
      </c>
      <c r="AH49" s="179" t="e">
        <f t="shared" si="35"/>
        <v>#DIV/0!</v>
      </c>
      <c r="AI49" s="180" t="e">
        <f t="shared" si="58"/>
        <v>#DIV/0!</v>
      </c>
      <c r="AJ49" s="178" t="e">
        <f t="shared" si="58"/>
        <v>#DIV/0!</v>
      </c>
      <c r="AK49" s="178" t="e">
        <f t="shared" si="58"/>
        <v>#DIV/0!</v>
      </c>
      <c r="AL49" s="178" t="e">
        <f t="shared" si="58"/>
        <v>#DIV/0!</v>
      </c>
      <c r="AM49" s="178" t="e">
        <f t="shared" si="58"/>
        <v>#DIV/0!</v>
      </c>
      <c r="AN49" s="178" t="e">
        <f t="shared" si="58"/>
        <v>#DIV/0!</v>
      </c>
      <c r="AO49" s="178" t="e">
        <f t="shared" si="58"/>
        <v>#DIV/0!</v>
      </c>
      <c r="AP49" s="178" t="e">
        <f t="shared" si="58"/>
        <v>#DIV/0!</v>
      </c>
      <c r="AQ49" s="178" t="e">
        <f t="shared" si="58"/>
        <v>#DIV/0!</v>
      </c>
      <c r="AR49" s="178" t="e">
        <f t="shared" si="58"/>
        <v>#DIV/0!</v>
      </c>
      <c r="AS49" s="178" t="e">
        <f t="shared" si="58"/>
        <v>#DIV/0!</v>
      </c>
      <c r="AT49" s="168" t="e">
        <f t="shared" si="58"/>
        <v>#DIV/0!</v>
      </c>
      <c r="AU49" s="169" t="e">
        <f t="shared" si="37"/>
        <v>#DIV/0!</v>
      </c>
      <c r="AV49" s="179" t="e">
        <f t="shared" si="38"/>
        <v>#DIV/0!</v>
      </c>
      <c r="AW49" s="180" t="e">
        <f t="shared" si="59"/>
        <v>#DIV/0!</v>
      </c>
      <c r="AX49" s="178" t="e">
        <f t="shared" si="59"/>
        <v>#DIV/0!</v>
      </c>
      <c r="AY49" s="178" t="e">
        <f t="shared" si="59"/>
        <v>#DIV/0!</v>
      </c>
      <c r="AZ49" s="178" t="e">
        <f t="shared" si="59"/>
        <v>#DIV/0!</v>
      </c>
      <c r="BA49" s="178" t="e">
        <f t="shared" si="59"/>
        <v>#DIV/0!</v>
      </c>
      <c r="BB49" s="178" t="e">
        <f t="shared" si="59"/>
        <v>#DIV/0!</v>
      </c>
      <c r="BC49" s="178" t="e">
        <f t="shared" si="59"/>
        <v>#DIV/0!</v>
      </c>
      <c r="BD49" s="178" t="e">
        <f t="shared" si="59"/>
        <v>#DIV/0!</v>
      </c>
      <c r="BE49" s="178" t="e">
        <f t="shared" si="59"/>
        <v>#DIV/0!</v>
      </c>
      <c r="BF49" s="178" t="e">
        <f t="shared" si="59"/>
        <v>#DIV/0!</v>
      </c>
      <c r="BG49" s="178" t="e">
        <f t="shared" si="59"/>
        <v>#DIV/0!</v>
      </c>
      <c r="BH49" s="168" t="e">
        <f t="shared" si="59"/>
        <v>#DIV/0!</v>
      </c>
      <c r="BI49" s="169" t="e">
        <f t="shared" si="40"/>
        <v>#DIV/0!</v>
      </c>
      <c r="BJ49" s="179" t="e">
        <f t="shared" si="41"/>
        <v>#DIV/0!</v>
      </c>
      <c r="BK49" s="180" t="e">
        <f t="shared" si="60"/>
        <v>#DIV/0!</v>
      </c>
      <c r="BL49" s="178" t="e">
        <f t="shared" si="60"/>
        <v>#DIV/0!</v>
      </c>
      <c r="BM49" s="178" t="e">
        <f t="shared" si="60"/>
        <v>#DIV/0!</v>
      </c>
      <c r="BN49" s="178" t="e">
        <f t="shared" si="60"/>
        <v>#DIV/0!</v>
      </c>
      <c r="BO49" s="178" t="e">
        <f t="shared" si="60"/>
        <v>#DIV/0!</v>
      </c>
      <c r="BP49" s="178" t="e">
        <f t="shared" si="60"/>
        <v>#DIV/0!</v>
      </c>
      <c r="BQ49" s="178" t="e">
        <f t="shared" si="60"/>
        <v>#DIV/0!</v>
      </c>
      <c r="BR49" s="178" t="e">
        <f t="shared" si="60"/>
        <v>#DIV/0!</v>
      </c>
      <c r="BS49" s="178" t="e">
        <f t="shared" si="60"/>
        <v>#DIV/0!</v>
      </c>
      <c r="BT49" s="178" t="e">
        <f t="shared" si="60"/>
        <v>#DIV/0!</v>
      </c>
      <c r="BU49" s="178" t="e">
        <f t="shared" si="60"/>
        <v>#DIV/0!</v>
      </c>
      <c r="BV49" s="168" t="e">
        <f t="shared" si="60"/>
        <v>#DIV/0!</v>
      </c>
      <c r="BW49" s="169" t="e">
        <f t="shared" si="43"/>
        <v>#DIV/0!</v>
      </c>
      <c r="BX49" s="179" t="e">
        <f t="shared" si="44"/>
        <v>#DIV/0!</v>
      </c>
      <c r="BY49" s="180" t="e">
        <f t="shared" si="61"/>
        <v>#DIV/0!</v>
      </c>
      <c r="BZ49" s="178" t="e">
        <f t="shared" si="61"/>
        <v>#DIV/0!</v>
      </c>
      <c r="CA49" s="178" t="e">
        <f t="shared" si="61"/>
        <v>#DIV/0!</v>
      </c>
      <c r="CB49" s="178" t="e">
        <f t="shared" si="61"/>
        <v>#DIV/0!</v>
      </c>
      <c r="CC49" s="178" t="e">
        <f t="shared" si="61"/>
        <v>#DIV/0!</v>
      </c>
      <c r="CD49" s="178" t="e">
        <f t="shared" si="61"/>
        <v>#DIV/0!</v>
      </c>
      <c r="CE49" s="178" t="e">
        <f t="shared" si="61"/>
        <v>#DIV/0!</v>
      </c>
      <c r="CF49" s="178" t="e">
        <f t="shared" si="61"/>
        <v>#DIV/0!</v>
      </c>
      <c r="CG49" s="178" t="e">
        <f t="shared" si="61"/>
        <v>#DIV/0!</v>
      </c>
      <c r="CH49" s="178" t="e">
        <f t="shared" si="61"/>
        <v>#DIV/0!</v>
      </c>
      <c r="CI49" s="178" t="e">
        <f t="shared" si="61"/>
        <v>#DIV/0!</v>
      </c>
      <c r="CJ49" s="168" t="e">
        <f t="shared" si="61"/>
        <v>#DIV/0!</v>
      </c>
      <c r="CK49" s="169" t="e">
        <f t="shared" si="46"/>
        <v>#DIV/0!</v>
      </c>
      <c r="CL49" s="179" t="e">
        <f t="shared" si="47"/>
        <v>#DIV/0!</v>
      </c>
      <c r="CM49" s="180" t="e">
        <f t="shared" si="62"/>
        <v>#DIV/0!</v>
      </c>
      <c r="CN49" s="178" t="e">
        <f t="shared" si="62"/>
        <v>#DIV/0!</v>
      </c>
      <c r="CO49" s="178" t="e">
        <f t="shared" si="62"/>
        <v>#DIV/0!</v>
      </c>
      <c r="CP49" s="178" t="e">
        <f t="shared" si="62"/>
        <v>#DIV/0!</v>
      </c>
      <c r="CQ49" s="178" t="e">
        <f t="shared" si="62"/>
        <v>#DIV/0!</v>
      </c>
      <c r="CR49" s="178" t="e">
        <f t="shared" si="62"/>
        <v>#DIV/0!</v>
      </c>
      <c r="CS49" s="178" t="e">
        <f t="shared" si="62"/>
        <v>#DIV/0!</v>
      </c>
      <c r="CT49" s="178" t="e">
        <f t="shared" si="62"/>
        <v>#DIV/0!</v>
      </c>
      <c r="CU49" s="178" t="e">
        <f t="shared" si="62"/>
        <v>#DIV/0!</v>
      </c>
      <c r="CV49" s="178" t="e">
        <f t="shared" si="62"/>
        <v>#DIV/0!</v>
      </c>
      <c r="CW49" s="178" t="e">
        <f t="shared" si="62"/>
        <v>#DIV/0!</v>
      </c>
      <c r="CX49" s="168" t="e">
        <f t="shared" si="62"/>
        <v>#DIV/0!</v>
      </c>
      <c r="CY49" s="169" t="e">
        <f t="shared" si="49"/>
        <v>#DIV/0!</v>
      </c>
      <c r="CZ49" s="179" t="e">
        <f t="shared" si="50"/>
        <v>#DIV/0!</v>
      </c>
      <c r="DA49" s="180" t="e">
        <f t="shared" si="63"/>
        <v>#DIV/0!</v>
      </c>
      <c r="DB49" s="178" t="e">
        <f t="shared" si="63"/>
        <v>#DIV/0!</v>
      </c>
      <c r="DC49" s="178" t="e">
        <f t="shared" si="63"/>
        <v>#DIV/0!</v>
      </c>
      <c r="DD49" s="178" t="e">
        <f t="shared" si="63"/>
        <v>#DIV/0!</v>
      </c>
      <c r="DE49" s="178" t="e">
        <f t="shared" si="63"/>
        <v>#DIV/0!</v>
      </c>
      <c r="DF49" s="178" t="e">
        <f t="shared" si="63"/>
        <v>#DIV/0!</v>
      </c>
      <c r="DG49" s="178" t="e">
        <f t="shared" si="63"/>
        <v>#DIV/0!</v>
      </c>
      <c r="DH49" s="178" t="e">
        <f t="shared" si="63"/>
        <v>#DIV/0!</v>
      </c>
      <c r="DI49" s="178" t="e">
        <f t="shared" si="63"/>
        <v>#DIV/0!</v>
      </c>
      <c r="DJ49" s="178" t="e">
        <f t="shared" si="63"/>
        <v>#DIV/0!</v>
      </c>
      <c r="DK49" s="178" t="e">
        <f t="shared" si="63"/>
        <v>#DIV/0!</v>
      </c>
      <c r="DL49" s="168" t="e">
        <f t="shared" si="63"/>
        <v>#DIV/0!</v>
      </c>
      <c r="DM49" s="169" t="e">
        <f t="shared" si="52"/>
        <v>#DIV/0!</v>
      </c>
      <c r="DN49" s="171" t="e">
        <f t="shared" si="53"/>
        <v>#DIV/0!</v>
      </c>
      <c r="DO49" s="180" t="e">
        <f t="shared" si="64"/>
        <v>#DIV/0!</v>
      </c>
      <c r="DP49" s="178" t="e">
        <f t="shared" si="64"/>
        <v>#DIV/0!</v>
      </c>
      <c r="DQ49" s="178" t="e">
        <f t="shared" si="64"/>
        <v>#DIV/0!</v>
      </c>
      <c r="DR49" s="178" t="e">
        <f t="shared" si="64"/>
        <v>#DIV/0!</v>
      </c>
      <c r="DS49" s="178" t="e">
        <f t="shared" si="64"/>
        <v>#DIV/0!</v>
      </c>
      <c r="DT49" s="178" t="e">
        <f t="shared" si="64"/>
        <v>#DIV/0!</v>
      </c>
      <c r="DU49" s="178" t="e">
        <f t="shared" si="64"/>
        <v>#DIV/0!</v>
      </c>
      <c r="DV49" s="178" t="e">
        <f t="shared" si="64"/>
        <v>#DIV/0!</v>
      </c>
      <c r="DW49" s="178" t="e">
        <f t="shared" si="64"/>
        <v>#DIV/0!</v>
      </c>
      <c r="DX49" s="178" t="e">
        <f t="shared" si="64"/>
        <v>#DIV/0!</v>
      </c>
      <c r="DY49" s="178" t="e">
        <f t="shared" si="64"/>
        <v>#DIV/0!</v>
      </c>
      <c r="DZ49" s="168" t="e">
        <f t="shared" si="64"/>
        <v>#DIV/0!</v>
      </c>
      <c r="EA49" s="169" t="e">
        <f t="shared" si="55"/>
        <v>#DIV/0!</v>
      </c>
      <c r="EB49" s="171" t="e">
        <f t="shared" si="56"/>
        <v>#DIV/0!</v>
      </c>
    </row>
    <row r="50" spans="1:132" s="177" customFormat="1" ht="15.75">
      <c r="A50" s="163">
        <v>43831</v>
      </c>
      <c r="B50" s="403" t="s">
        <v>87</v>
      </c>
      <c r="C50" s="406" t="s">
        <v>289</v>
      </c>
      <c r="D50" s="405">
        <v>3000</v>
      </c>
      <c r="E50" s="167"/>
      <c r="F50" s="168" t="e">
        <f t="shared" si="20"/>
        <v>#DIV/0!</v>
      </c>
      <c r="G50" s="169" t="e">
        <f t="shared" si="65"/>
        <v>#DIV/0!</v>
      </c>
      <c r="H50" s="178" t="e">
        <f t="shared" si="65"/>
        <v>#DIV/0!</v>
      </c>
      <c r="I50" s="178" t="e">
        <f t="shared" si="65"/>
        <v>#DIV/0!</v>
      </c>
      <c r="J50" s="178" t="e">
        <f t="shared" si="65"/>
        <v>#DIV/0!</v>
      </c>
      <c r="K50" s="178" t="e">
        <f t="shared" si="65"/>
        <v>#DIV/0!</v>
      </c>
      <c r="L50" s="178" t="e">
        <f t="shared" si="65"/>
        <v>#DIV/0!</v>
      </c>
      <c r="M50" s="178" t="e">
        <f t="shared" si="65"/>
        <v>#DIV/0!</v>
      </c>
      <c r="N50" s="178" t="e">
        <f t="shared" si="65"/>
        <v>#DIV/0!</v>
      </c>
      <c r="O50" s="178" t="e">
        <f t="shared" si="65"/>
        <v>#DIV/0!</v>
      </c>
      <c r="P50" s="178" t="e">
        <f t="shared" si="65"/>
        <v>#DIV/0!</v>
      </c>
      <c r="Q50" s="178" t="e">
        <f t="shared" si="65"/>
        <v>#DIV/0!</v>
      </c>
      <c r="R50" s="179" t="e">
        <f t="shared" si="65"/>
        <v>#DIV/0!</v>
      </c>
      <c r="S50" s="169" t="e">
        <f t="shared" si="31"/>
        <v>#DIV/0!</v>
      </c>
      <c r="T50" s="179" t="e">
        <f t="shared" si="32"/>
        <v>#DIV/0!</v>
      </c>
      <c r="U50" s="180" t="e">
        <f t="shared" si="57"/>
        <v>#DIV/0!</v>
      </c>
      <c r="V50" s="178" t="e">
        <f t="shared" si="57"/>
        <v>#DIV/0!</v>
      </c>
      <c r="W50" s="178" t="e">
        <f t="shared" si="57"/>
        <v>#DIV/0!</v>
      </c>
      <c r="X50" s="178" t="e">
        <f t="shared" si="57"/>
        <v>#DIV/0!</v>
      </c>
      <c r="Y50" s="178" t="e">
        <f t="shared" si="57"/>
        <v>#DIV/0!</v>
      </c>
      <c r="Z50" s="178" t="e">
        <f t="shared" si="57"/>
        <v>#DIV/0!</v>
      </c>
      <c r="AA50" s="178" t="e">
        <f t="shared" si="57"/>
        <v>#DIV/0!</v>
      </c>
      <c r="AB50" s="178" t="e">
        <f t="shared" si="57"/>
        <v>#DIV/0!</v>
      </c>
      <c r="AC50" s="178" t="e">
        <f t="shared" si="57"/>
        <v>#DIV/0!</v>
      </c>
      <c r="AD50" s="178" t="e">
        <f t="shared" si="57"/>
        <v>#DIV/0!</v>
      </c>
      <c r="AE50" s="178" t="e">
        <f t="shared" si="57"/>
        <v>#DIV/0!</v>
      </c>
      <c r="AF50" s="168" t="e">
        <f t="shared" si="57"/>
        <v>#DIV/0!</v>
      </c>
      <c r="AG50" s="169" t="e">
        <f t="shared" si="34"/>
        <v>#DIV/0!</v>
      </c>
      <c r="AH50" s="179" t="e">
        <f t="shared" si="35"/>
        <v>#DIV/0!</v>
      </c>
      <c r="AI50" s="180" t="e">
        <f t="shared" si="58"/>
        <v>#DIV/0!</v>
      </c>
      <c r="AJ50" s="178" t="e">
        <f t="shared" si="58"/>
        <v>#DIV/0!</v>
      </c>
      <c r="AK50" s="178" t="e">
        <f t="shared" si="58"/>
        <v>#DIV/0!</v>
      </c>
      <c r="AL50" s="178" t="e">
        <f t="shared" si="58"/>
        <v>#DIV/0!</v>
      </c>
      <c r="AM50" s="178" t="e">
        <f t="shared" si="58"/>
        <v>#DIV/0!</v>
      </c>
      <c r="AN50" s="178" t="e">
        <f t="shared" si="58"/>
        <v>#DIV/0!</v>
      </c>
      <c r="AO50" s="178" t="e">
        <f t="shared" si="58"/>
        <v>#DIV/0!</v>
      </c>
      <c r="AP50" s="178" t="e">
        <f t="shared" si="58"/>
        <v>#DIV/0!</v>
      </c>
      <c r="AQ50" s="178" t="e">
        <f t="shared" si="58"/>
        <v>#DIV/0!</v>
      </c>
      <c r="AR50" s="178" t="e">
        <f t="shared" si="58"/>
        <v>#DIV/0!</v>
      </c>
      <c r="AS50" s="178" t="e">
        <f t="shared" si="58"/>
        <v>#DIV/0!</v>
      </c>
      <c r="AT50" s="168" t="e">
        <f t="shared" si="58"/>
        <v>#DIV/0!</v>
      </c>
      <c r="AU50" s="169" t="e">
        <f t="shared" si="37"/>
        <v>#DIV/0!</v>
      </c>
      <c r="AV50" s="179" t="e">
        <f t="shared" si="38"/>
        <v>#DIV/0!</v>
      </c>
      <c r="AW50" s="180" t="e">
        <f t="shared" si="59"/>
        <v>#DIV/0!</v>
      </c>
      <c r="AX50" s="178" t="e">
        <f t="shared" si="59"/>
        <v>#DIV/0!</v>
      </c>
      <c r="AY50" s="178" t="e">
        <f t="shared" si="59"/>
        <v>#DIV/0!</v>
      </c>
      <c r="AZ50" s="178" t="e">
        <f t="shared" si="59"/>
        <v>#DIV/0!</v>
      </c>
      <c r="BA50" s="178" t="e">
        <f t="shared" si="59"/>
        <v>#DIV/0!</v>
      </c>
      <c r="BB50" s="178" t="e">
        <f t="shared" si="59"/>
        <v>#DIV/0!</v>
      </c>
      <c r="BC50" s="178" t="e">
        <f t="shared" si="59"/>
        <v>#DIV/0!</v>
      </c>
      <c r="BD50" s="178" t="e">
        <f t="shared" si="59"/>
        <v>#DIV/0!</v>
      </c>
      <c r="BE50" s="178" t="e">
        <f t="shared" si="59"/>
        <v>#DIV/0!</v>
      </c>
      <c r="BF50" s="178" t="e">
        <f t="shared" si="59"/>
        <v>#DIV/0!</v>
      </c>
      <c r="BG50" s="178" t="e">
        <f t="shared" si="59"/>
        <v>#DIV/0!</v>
      </c>
      <c r="BH50" s="168" t="e">
        <f t="shared" si="59"/>
        <v>#DIV/0!</v>
      </c>
      <c r="BI50" s="169" t="e">
        <f t="shared" si="40"/>
        <v>#DIV/0!</v>
      </c>
      <c r="BJ50" s="179" t="e">
        <f t="shared" si="41"/>
        <v>#DIV/0!</v>
      </c>
      <c r="BK50" s="180" t="e">
        <f t="shared" si="60"/>
        <v>#DIV/0!</v>
      </c>
      <c r="BL50" s="178" t="e">
        <f t="shared" si="60"/>
        <v>#DIV/0!</v>
      </c>
      <c r="BM50" s="178" t="e">
        <f t="shared" si="60"/>
        <v>#DIV/0!</v>
      </c>
      <c r="BN50" s="178" t="e">
        <f t="shared" si="60"/>
        <v>#DIV/0!</v>
      </c>
      <c r="BO50" s="178" t="e">
        <f t="shared" si="60"/>
        <v>#DIV/0!</v>
      </c>
      <c r="BP50" s="178" t="e">
        <f t="shared" si="60"/>
        <v>#DIV/0!</v>
      </c>
      <c r="BQ50" s="178" t="e">
        <f t="shared" si="60"/>
        <v>#DIV/0!</v>
      </c>
      <c r="BR50" s="178" t="e">
        <f t="shared" si="60"/>
        <v>#DIV/0!</v>
      </c>
      <c r="BS50" s="178" t="e">
        <f t="shared" si="60"/>
        <v>#DIV/0!</v>
      </c>
      <c r="BT50" s="178" t="e">
        <f t="shared" si="60"/>
        <v>#DIV/0!</v>
      </c>
      <c r="BU50" s="178" t="e">
        <f t="shared" si="60"/>
        <v>#DIV/0!</v>
      </c>
      <c r="BV50" s="168" t="e">
        <f t="shared" si="60"/>
        <v>#DIV/0!</v>
      </c>
      <c r="BW50" s="169" t="e">
        <f t="shared" si="43"/>
        <v>#DIV/0!</v>
      </c>
      <c r="BX50" s="179" t="e">
        <f t="shared" si="44"/>
        <v>#DIV/0!</v>
      </c>
      <c r="BY50" s="180" t="e">
        <f t="shared" si="61"/>
        <v>#DIV/0!</v>
      </c>
      <c r="BZ50" s="178" t="e">
        <f t="shared" si="61"/>
        <v>#DIV/0!</v>
      </c>
      <c r="CA50" s="178" t="e">
        <f t="shared" si="61"/>
        <v>#DIV/0!</v>
      </c>
      <c r="CB50" s="178" t="e">
        <f t="shared" si="61"/>
        <v>#DIV/0!</v>
      </c>
      <c r="CC50" s="178" t="e">
        <f t="shared" si="61"/>
        <v>#DIV/0!</v>
      </c>
      <c r="CD50" s="178" t="e">
        <f t="shared" si="61"/>
        <v>#DIV/0!</v>
      </c>
      <c r="CE50" s="178" t="e">
        <f t="shared" si="61"/>
        <v>#DIV/0!</v>
      </c>
      <c r="CF50" s="178" t="e">
        <f t="shared" si="61"/>
        <v>#DIV/0!</v>
      </c>
      <c r="CG50" s="178" t="e">
        <f t="shared" si="61"/>
        <v>#DIV/0!</v>
      </c>
      <c r="CH50" s="178" t="e">
        <f t="shared" si="61"/>
        <v>#DIV/0!</v>
      </c>
      <c r="CI50" s="178" t="e">
        <f t="shared" si="61"/>
        <v>#DIV/0!</v>
      </c>
      <c r="CJ50" s="168" t="e">
        <f t="shared" si="61"/>
        <v>#DIV/0!</v>
      </c>
      <c r="CK50" s="169" t="e">
        <f t="shared" si="46"/>
        <v>#DIV/0!</v>
      </c>
      <c r="CL50" s="179" t="e">
        <f t="shared" si="47"/>
        <v>#DIV/0!</v>
      </c>
      <c r="CM50" s="180" t="e">
        <f t="shared" si="62"/>
        <v>#DIV/0!</v>
      </c>
      <c r="CN50" s="178" t="e">
        <f t="shared" si="62"/>
        <v>#DIV/0!</v>
      </c>
      <c r="CO50" s="178" t="e">
        <f t="shared" si="62"/>
        <v>#DIV/0!</v>
      </c>
      <c r="CP50" s="178" t="e">
        <f t="shared" si="62"/>
        <v>#DIV/0!</v>
      </c>
      <c r="CQ50" s="178" t="e">
        <f t="shared" si="62"/>
        <v>#DIV/0!</v>
      </c>
      <c r="CR50" s="178" t="e">
        <f t="shared" si="62"/>
        <v>#DIV/0!</v>
      </c>
      <c r="CS50" s="178" t="e">
        <f t="shared" si="62"/>
        <v>#DIV/0!</v>
      </c>
      <c r="CT50" s="178" t="e">
        <f t="shared" si="62"/>
        <v>#DIV/0!</v>
      </c>
      <c r="CU50" s="178" t="e">
        <f t="shared" si="62"/>
        <v>#DIV/0!</v>
      </c>
      <c r="CV50" s="178" t="e">
        <f t="shared" si="62"/>
        <v>#DIV/0!</v>
      </c>
      <c r="CW50" s="178" t="e">
        <f t="shared" si="62"/>
        <v>#DIV/0!</v>
      </c>
      <c r="CX50" s="168" t="e">
        <f t="shared" si="62"/>
        <v>#DIV/0!</v>
      </c>
      <c r="CY50" s="169" t="e">
        <f t="shared" si="49"/>
        <v>#DIV/0!</v>
      </c>
      <c r="CZ50" s="179" t="e">
        <f t="shared" si="50"/>
        <v>#DIV/0!</v>
      </c>
      <c r="DA50" s="180" t="e">
        <f t="shared" si="63"/>
        <v>#DIV/0!</v>
      </c>
      <c r="DB50" s="178" t="e">
        <f t="shared" si="63"/>
        <v>#DIV/0!</v>
      </c>
      <c r="DC50" s="178" t="e">
        <f t="shared" si="63"/>
        <v>#DIV/0!</v>
      </c>
      <c r="DD50" s="178" t="e">
        <f t="shared" si="63"/>
        <v>#DIV/0!</v>
      </c>
      <c r="DE50" s="178" t="e">
        <f t="shared" si="63"/>
        <v>#DIV/0!</v>
      </c>
      <c r="DF50" s="178" t="e">
        <f t="shared" si="63"/>
        <v>#DIV/0!</v>
      </c>
      <c r="DG50" s="178" t="e">
        <f t="shared" si="63"/>
        <v>#DIV/0!</v>
      </c>
      <c r="DH50" s="178" t="e">
        <f t="shared" si="63"/>
        <v>#DIV/0!</v>
      </c>
      <c r="DI50" s="178" t="e">
        <f t="shared" si="63"/>
        <v>#DIV/0!</v>
      </c>
      <c r="DJ50" s="178" t="e">
        <f t="shared" si="63"/>
        <v>#DIV/0!</v>
      </c>
      <c r="DK50" s="178" t="e">
        <f t="shared" si="63"/>
        <v>#DIV/0!</v>
      </c>
      <c r="DL50" s="168" t="e">
        <f t="shared" si="63"/>
        <v>#DIV/0!</v>
      </c>
      <c r="DM50" s="169" t="e">
        <f t="shared" si="52"/>
        <v>#DIV/0!</v>
      </c>
      <c r="DN50" s="171" t="e">
        <f t="shared" si="53"/>
        <v>#DIV/0!</v>
      </c>
      <c r="DO50" s="180" t="e">
        <f t="shared" si="64"/>
        <v>#DIV/0!</v>
      </c>
      <c r="DP50" s="178" t="e">
        <f t="shared" si="64"/>
        <v>#DIV/0!</v>
      </c>
      <c r="DQ50" s="178" t="e">
        <f t="shared" si="64"/>
        <v>#DIV/0!</v>
      </c>
      <c r="DR50" s="178" t="e">
        <f t="shared" si="64"/>
        <v>#DIV/0!</v>
      </c>
      <c r="DS50" s="178" t="e">
        <f t="shared" si="64"/>
        <v>#DIV/0!</v>
      </c>
      <c r="DT50" s="178" t="e">
        <f t="shared" si="64"/>
        <v>#DIV/0!</v>
      </c>
      <c r="DU50" s="178" t="e">
        <f t="shared" si="64"/>
        <v>#DIV/0!</v>
      </c>
      <c r="DV50" s="178" t="e">
        <f t="shared" si="64"/>
        <v>#DIV/0!</v>
      </c>
      <c r="DW50" s="178" t="e">
        <f t="shared" si="64"/>
        <v>#DIV/0!</v>
      </c>
      <c r="DX50" s="178" t="e">
        <f t="shared" si="64"/>
        <v>#DIV/0!</v>
      </c>
      <c r="DY50" s="178" t="e">
        <f t="shared" si="64"/>
        <v>#DIV/0!</v>
      </c>
      <c r="DZ50" s="168" t="e">
        <f t="shared" si="64"/>
        <v>#DIV/0!</v>
      </c>
      <c r="EA50" s="169" t="e">
        <f t="shared" si="55"/>
        <v>#DIV/0!</v>
      </c>
      <c r="EB50" s="171" t="e">
        <f t="shared" si="56"/>
        <v>#DIV/0!</v>
      </c>
    </row>
    <row r="51" spans="1:132" s="177" customFormat="1" ht="15.75">
      <c r="A51" s="163">
        <v>43831</v>
      </c>
      <c r="B51" s="403" t="s">
        <v>90</v>
      </c>
      <c r="C51" s="406" t="s">
        <v>290</v>
      </c>
      <c r="D51" s="405">
        <v>10000</v>
      </c>
      <c r="E51" s="167"/>
      <c r="F51" s="168" t="e">
        <f t="shared" si="20"/>
        <v>#DIV/0!</v>
      </c>
      <c r="G51" s="169" t="e">
        <f t="shared" si="65"/>
        <v>#DIV/0!</v>
      </c>
      <c r="H51" s="178" t="e">
        <f t="shared" si="65"/>
        <v>#DIV/0!</v>
      </c>
      <c r="I51" s="178" t="e">
        <f t="shared" si="65"/>
        <v>#DIV/0!</v>
      </c>
      <c r="J51" s="178" t="e">
        <f t="shared" si="65"/>
        <v>#DIV/0!</v>
      </c>
      <c r="K51" s="178" t="e">
        <f t="shared" si="65"/>
        <v>#DIV/0!</v>
      </c>
      <c r="L51" s="178" t="e">
        <f t="shared" si="65"/>
        <v>#DIV/0!</v>
      </c>
      <c r="M51" s="178" t="e">
        <f t="shared" si="65"/>
        <v>#DIV/0!</v>
      </c>
      <c r="N51" s="178" t="e">
        <f t="shared" si="65"/>
        <v>#DIV/0!</v>
      </c>
      <c r="O51" s="178" t="e">
        <f t="shared" si="65"/>
        <v>#DIV/0!</v>
      </c>
      <c r="P51" s="178" t="e">
        <f t="shared" si="65"/>
        <v>#DIV/0!</v>
      </c>
      <c r="Q51" s="178" t="e">
        <f t="shared" si="65"/>
        <v>#DIV/0!</v>
      </c>
      <c r="R51" s="179" t="e">
        <f t="shared" si="65"/>
        <v>#DIV/0!</v>
      </c>
      <c r="S51" s="169" t="e">
        <f t="shared" si="31"/>
        <v>#DIV/0!</v>
      </c>
      <c r="T51" s="179" t="e">
        <f t="shared" si="32"/>
        <v>#DIV/0!</v>
      </c>
      <c r="U51" s="180" t="e">
        <f t="shared" si="57"/>
        <v>#DIV/0!</v>
      </c>
      <c r="V51" s="178" t="e">
        <f t="shared" si="57"/>
        <v>#DIV/0!</v>
      </c>
      <c r="W51" s="178" t="e">
        <f t="shared" si="57"/>
        <v>#DIV/0!</v>
      </c>
      <c r="X51" s="178" t="e">
        <f t="shared" si="57"/>
        <v>#DIV/0!</v>
      </c>
      <c r="Y51" s="178" t="e">
        <f t="shared" si="57"/>
        <v>#DIV/0!</v>
      </c>
      <c r="Z51" s="178" t="e">
        <f t="shared" si="57"/>
        <v>#DIV/0!</v>
      </c>
      <c r="AA51" s="178" t="e">
        <f t="shared" si="57"/>
        <v>#DIV/0!</v>
      </c>
      <c r="AB51" s="178" t="e">
        <f t="shared" si="57"/>
        <v>#DIV/0!</v>
      </c>
      <c r="AC51" s="178" t="e">
        <f t="shared" si="57"/>
        <v>#DIV/0!</v>
      </c>
      <c r="AD51" s="178" t="e">
        <f t="shared" si="57"/>
        <v>#DIV/0!</v>
      </c>
      <c r="AE51" s="178" t="e">
        <f t="shared" si="57"/>
        <v>#DIV/0!</v>
      </c>
      <c r="AF51" s="168" t="e">
        <f t="shared" si="57"/>
        <v>#DIV/0!</v>
      </c>
      <c r="AG51" s="169" t="e">
        <f t="shared" si="34"/>
        <v>#DIV/0!</v>
      </c>
      <c r="AH51" s="179" t="e">
        <f t="shared" si="35"/>
        <v>#DIV/0!</v>
      </c>
      <c r="AI51" s="180" t="e">
        <f t="shared" si="58"/>
        <v>#DIV/0!</v>
      </c>
      <c r="AJ51" s="178" t="e">
        <f t="shared" si="58"/>
        <v>#DIV/0!</v>
      </c>
      <c r="AK51" s="178" t="e">
        <f t="shared" si="58"/>
        <v>#DIV/0!</v>
      </c>
      <c r="AL51" s="178" t="e">
        <f t="shared" si="58"/>
        <v>#DIV/0!</v>
      </c>
      <c r="AM51" s="178" t="e">
        <f t="shared" si="58"/>
        <v>#DIV/0!</v>
      </c>
      <c r="AN51" s="178" t="e">
        <f t="shared" si="58"/>
        <v>#DIV/0!</v>
      </c>
      <c r="AO51" s="178" t="e">
        <f t="shared" si="58"/>
        <v>#DIV/0!</v>
      </c>
      <c r="AP51" s="178" t="e">
        <f t="shared" si="58"/>
        <v>#DIV/0!</v>
      </c>
      <c r="AQ51" s="178" t="e">
        <f t="shared" si="58"/>
        <v>#DIV/0!</v>
      </c>
      <c r="AR51" s="178" t="e">
        <f t="shared" si="58"/>
        <v>#DIV/0!</v>
      </c>
      <c r="AS51" s="178" t="e">
        <f t="shared" si="58"/>
        <v>#DIV/0!</v>
      </c>
      <c r="AT51" s="168" t="e">
        <f t="shared" si="58"/>
        <v>#DIV/0!</v>
      </c>
      <c r="AU51" s="169" t="e">
        <f t="shared" si="37"/>
        <v>#DIV/0!</v>
      </c>
      <c r="AV51" s="179" t="e">
        <f t="shared" si="38"/>
        <v>#DIV/0!</v>
      </c>
      <c r="AW51" s="180" t="e">
        <f t="shared" si="59"/>
        <v>#DIV/0!</v>
      </c>
      <c r="AX51" s="178" t="e">
        <f t="shared" si="59"/>
        <v>#DIV/0!</v>
      </c>
      <c r="AY51" s="178" t="e">
        <f t="shared" si="59"/>
        <v>#DIV/0!</v>
      </c>
      <c r="AZ51" s="178" t="e">
        <f t="shared" si="59"/>
        <v>#DIV/0!</v>
      </c>
      <c r="BA51" s="178" t="e">
        <f t="shared" si="59"/>
        <v>#DIV/0!</v>
      </c>
      <c r="BB51" s="178" t="e">
        <f t="shared" si="59"/>
        <v>#DIV/0!</v>
      </c>
      <c r="BC51" s="178" t="e">
        <f t="shared" si="59"/>
        <v>#DIV/0!</v>
      </c>
      <c r="BD51" s="178" t="e">
        <f t="shared" si="59"/>
        <v>#DIV/0!</v>
      </c>
      <c r="BE51" s="178" t="e">
        <f t="shared" si="59"/>
        <v>#DIV/0!</v>
      </c>
      <c r="BF51" s="178" t="e">
        <f t="shared" si="59"/>
        <v>#DIV/0!</v>
      </c>
      <c r="BG51" s="178" t="e">
        <f t="shared" si="59"/>
        <v>#DIV/0!</v>
      </c>
      <c r="BH51" s="168" t="e">
        <f t="shared" si="59"/>
        <v>#DIV/0!</v>
      </c>
      <c r="BI51" s="169" t="e">
        <f t="shared" si="40"/>
        <v>#DIV/0!</v>
      </c>
      <c r="BJ51" s="179" t="e">
        <f t="shared" si="41"/>
        <v>#DIV/0!</v>
      </c>
      <c r="BK51" s="180" t="e">
        <f t="shared" si="60"/>
        <v>#DIV/0!</v>
      </c>
      <c r="BL51" s="178" t="e">
        <f t="shared" si="60"/>
        <v>#DIV/0!</v>
      </c>
      <c r="BM51" s="178" t="e">
        <f t="shared" si="60"/>
        <v>#DIV/0!</v>
      </c>
      <c r="BN51" s="178" t="e">
        <f t="shared" si="60"/>
        <v>#DIV/0!</v>
      </c>
      <c r="BO51" s="178" t="e">
        <f t="shared" si="60"/>
        <v>#DIV/0!</v>
      </c>
      <c r="BP51" s="178" t="e">
        <f t="shared" si="60"/>
        <v>#DIV/0!</v>
      </c>
      <c r="BQ51" s="178" t="e">
        <f t="shared" si="60"/>
        <v>#DIV/0!</v>
      </c>
      <c r="BR51" s="178" t="e">
        <f t="shared" si="60"/>
        <v>#DIV/0!</v>
      </c>
      <c r="BS51" s="178" t="e">
        <f t="shared" si="60"/>
        <v>#DIV/0!</v>
      </c>
      <c r="BT51" s="178" t="e">
        <f t="shared" si="60"/>
        <v>#DIV/0!</v>
      </c>
      <c r="BU51" s="178" t="e">
        <f t="shared" si="60"/>
        <v>#DIV/0!</v>
      </c>
      <c r="BV51" s="168" t="e">
        <f t="shared" si="60"/>
        <v>#DIV/0!</v>
      </c>
      <c r="BW51" s="169" t="e">
        <f t="shared" si="43"/>
        <v>#DIV/0!</v>
      </c>
      <c r="BX51" s="179" t="e">
        <f t="shared" si="44"/>
        <v>#DIV/0!</v>
      </c>
      <c r="BY51" s="180" t="e">
        <f t="shared" si="61"/>
        <v>#DIV/0!</v>
      </c>
      <c r="BZ51" s="178" t="e">
        <f t="shared" si="61"/>
        <v>#DIV/0!</v>
      </c>
      <c r="CA51" s="178" t="e">
        <f t="shared" si="61"/>
        <v>#DIV/0!</v>
      </c>
      <c r="CB51" s="178" t="e">
        <f t="shared" si="61"/>
        <v>#DIV/0!</v>
      </c>
      <c r="CC51" s="178" t="e">
        <f t="shared" si="61"/>
        <v>#DIV/0!</v>
      </c>
      <c r="CD51" s="178" t="e">
        <f t="shared" si="61"/>
        <v>#DIV/0!</v>
      </c>
      <c r="CE51" s="178" t="e">
        <f t="shared" si="61"/>
        <v>#DIV/0!</v>
      </c>
      <c r="CF51" s="178" t="e">
        <f t="shared" si="61"/>
        <v>#DIV/0!</v>
      </c>
      <c r="CG51" s="178" t="e">
        <f t="shared" si="61"/>
        <v>#DIV/0!</v>
      </c>
      <c r="CH51" s="178" t="e">
        <f t="shared" si="61"/>
        <v>#DIV/0!</v>
      </c>
      <c r="CI51" s="178" t="e">
        <f t="shared" si="61"/>
        <v>#DIV/0!</v>
      </c>
      <c r="CJ51" s="168" t="e">
        <f t="shared" si="61"/>
        <v>#DIV/0!</v>
      </c>
      <c r="CK51" s="169" t="e">
        <f t="shared" si="46"/>
        <v>#DIV/0!</v>
      </c>
      <c r="CL51" s="179" t="e">
        <f t="shared" si="47"/>
        <v>#DIV/0!</v>
      </c>
      <c r="CM51" s="180" t="e">
        <f t="shared" si="62"/>
        <v>#DIV/0!</v>
      </c>
      <c r="CN51" s="178" t="e">
        <f t="shared" si="62"/>
        <v>#DIV/0!</v>
      </c>
      <c r="CO51" s="178" t="e">
        <f t="shared" si="62"/>
        <v>#DIV/0!</v>
      </c>
      <c r="CP51" s="178" t="e">
        <f t="shared" si="62"/>
        <v>#DIV/0!</v>
      </c>
      <c r="CQ51" s="178" t="e">
        <f t="shared" si="62"/>
        <v>#DIV/0!</v>
      </c>
      <c r="CR51" s="178" t="e">
        <f t="shared" si="62"/>
        <v>#DIV/0!</v>
      </c>
      <c r="CS51" s="178" t="e">
        <f t="shared" si="62"/>
        <v>#DIV/0!</v>
      </c>
      <c r="CT51" s="178" t="e">
        <f t="shared" si="62"/>
        <v>#DIV/0!</v>
      </c>
      <c r="CU51" s="178" t="e">
        <f t="shared" si="62"/>
        <v>#DIV/0!</v>
      </c>
      <c r="CV51" s="178" t="e">
        <f t="shared" si="62"/>
        <v>#DIV/0!</v>
      </c>
      <c r="CW51" s="178" t="e">
        <f t="shared" si="62"/>
        <v>#DIV/0!</v>
      </c>
      <c r="CX51" s="168" t="e">
        <f t="shared" si="62"/>
        <v>#DIV/0!</v>
      </c>
      <c r="CY51" s="169" t="e">
        <f t="shared" si="49"/>
        <v>#DIV/0!</v>
      </c>
      <c r="CZ51" s="179" t="e">
        <f t="shared" si="50"/>
        <v>#DIV/0!</v>
      </c>
      <c r="DA51" s="180" t="e">
        <f t="shared" si="63"/>
        <v>#DIV/0!</v>
      </c>
      <c r="DB51" s="178" t="e">
        <f t="shared" si="63"/>
        <v>#DIV/0!</v>
      </c>
      <c r="DC51" s="178" t="e">
        <f t="shared" si="63"/>
        <v>#DIV/0!</v>
      </c>
      <c r="DD51" s="178" t="e">
        <f t="shared" si="63"/>
        <v>#DIV/0!</v>
      </c>
      <c r="DE51" s="178" t="e">
        <f t="shared" si="63"/>
        <v>#DIV/0!</v>
      </c>
      <c r="DF51" s="178" t="e">
        <f t="shared" si="63"/>
        <v>#DIV/0!</v>
      </c>
      <c r="DG51" s="178" t="e">
        <f t="shared" si="63"/>
        <v>#DIV/0!</v>
      </c>
      <c r="DH51" s="178" t="e">
        <f t="shared" si="63"/>
        <v>#DIV/0!</v>
      </c>
      <c r="DI51" s="178" t="e">
        <f t="shared" si="63"/>
        <v>#DIV/0!</v>
      </c>
      <c r="DJ51" s="178" t="e">
        <f t="shared" si="63"/>
        <v>#DIV/0!</v>
      </c>
      <c r="DK51" s="178" t="e">
        <f t="shared" si="63"/>
        <v>#DIV/0!</v>
      </c>
      <c r="DL51" s="168" t="e">
        <f t="shared" si="63"/>
        <v>#DIV/0!</v>
      </c>
      <c r="DM51" s="169" t="e">
        <f t="shared" si="52"/>
        <v>#DIV/0!</v>
      </c>
      <c r="DN51" s="171" t="e">
        <f t="shared" si="53"/>
        <v>#DIV/0!</v>
      </c>
      <c r="DO51" s="180" t="e">
        <f t="shared" si="64"/>
        <v>#DIV/0!</v>
      </c>
      <c r="DP51" s="178" t="e">
        <f t="shared" si="64"/>
        <v>#DIV/0!</v>
      </c>
      <c r="DQ51" s="178" t="e">
        <f t="shared" si="64"/>
        <v>#DIV/0!</v>
      </c>
      <c r="DR51" s="178" t="e">
        <f t="shared" si="64"/>
        <v>#DIV/0!</v>
      </c>
      <c r="DS51" s="178" t="e">
        <f t="shared" si="64"/>
        <v>#DIV/0!</v>
      </c>
      <c r="DT51" s="178" t="e">
        <f t="shared" si="64"/>
        <v>#DIV/0!</v>
      </c>
      <c r="DU51" s="178" t="e">
        <f t="shared" si="64"/>
        <v>#DIV/0!</v>
      </c>
      <c r="DV51" s="178" t="e">
        <f t="shared" si="64"/>
        <v>#DIV/0!</v>
      </c>
      <c r="DW51" s="178" t="e">
        <f t="shared" si="64"/>
        <v>#DIV/0!</v>
      </c>
      <c r="DX51" s="178" t="e">
        <f t="shared" si="64"/>
        <v>#DIV/0!</v>
      </c>
      <c r="DY51" s="178" t="e">
        <f t="shared" si="64"/>
        <v>#DIV/0!</v>
      </c>
      <c r="DZ51" s="168" t="e">
        <f t="shared" si="64"/>
        <v>#DIV/0!</v>
      </c>
      <c r="EA51" s="169" t="e">
        <f t="shared" si="55"/>
        <v>#DIV/0!</v>
      </c>
      <c r="EB51" s="171" t="e">
        <f t="shared" si="56"/>
        <v>#DIV/0!</v>
      </c>
    </row>
    <row r="52" spans="1:132" s="177" customFormat="1" ht="15.75">
      <c r="A52" s="163">
        <v>43831</v>
      </c>
      <c r="B52" s="403" t="s">
        <v>88</v>
      </c>
      <c r="C52" s="406" t="s">
        <v>291</v>
      </c>
      <c r="D52" s="405">
        <v>5000</v>
      </c>
      <c r="E52" s="167"/>
      <c r="F52" s="168" t="e">
        <f t="shared" si="20"/>
        <v>#DIV/0!</v>
      </c>
      <c r="G52" s="169" t="e">
        <f t="shared" si="65"/>
        <v>#DIV/0!</v>
      </c>
      <c r="H52" s="178" t="e">
        <f t="shared" si="65"/>
        <v>#DIV/0!</v>
      </c>
      <c r="I52" s="178" t="e">
        <f t="shared" si="65"/>
        <v>#DIV/0!</v>
      </c>
      <c r="J52" s="178" t="e">
        <f t="shared" si="65"/>
        <v>#DIV/0!</v>
      </c>
      <c r="K52" s="178" t="e">
        <f t="shared" si="65"/>
        <v>#DIV/0!</v>
      </c>
      <c r="L52" s="178" t="e">
        <f t="shared" si="65"/>
        <v>#DIV/0!</v>
      </c>
      <c r="M52" s="178" t="e">
        <f t="shared" si="65"/>
        <v>#DIV/0!</v>
      </c>
      <c r="N52" s="178" t="e">
        <f t="shared" si="65"/>
        <v>#DIV/0!</v>
      </c>
      <c r="O52" s="178" t="e">
        <f t="shared" si="65"/>
        <v>#DIV/0!</v>
      </c>
      <c r="P52" s="178" t="e">
        <f t="shared" si="65"/>
        <v>#DIV/0!</v>
      </c>
      <c r="Q52" s="178" t="e">
        <f t="shared" si="65"/>
        <v>#DIV/0!</v>
      </c>
      <c r="R52" s="179" t="e">
        <f t="shared" si="65"/>
        <v>#DIV/0!</v>
      </c>
      <c r="S52" s="169" t="e">
        <f t="shared" si="31"/>
        <v>#DIV/0!</v>
      </c>
      <c r="T52" s="179" t="e">
        <f t="shared" si="32"/>
        <v>#DIV/0!</v>
      </c>
      <c r="U52" s="180" t="e">
        <f t="shared" si="57"/>
        <v>#DIV/0!</v>
      </c>
      <c r="V52" s="178" t="e">
        <f t="shared" si="57"/>
        <v>#DIV/0!</v>
      </c>
      <c r="W52" s="178" t="e">
        <f t="shared" si="57"/>
        <v>#DIV/0!</v>
      </c>
      <c r="X52" s="178" t="e">
        <f t="shared" si="57"/>
        <v>#DIV/0!</v>
      </c>
      <c r="Y52" s="178" t="e">
        <f t="shared" si="57"/>
        <v>#DIV/0!</v>
      </c>
      <c r="Z52" s="178" t="e">
        <f t="shared" si="57"/>
        <v>#DIV/0!</v>
      </c>
      <c r="AA52" s="178" t="e">
        <f t="shared" si="57"/>
        <v>#DIV/0!</v>
      </c>
      <c r="AB52" s="178" t="e">
        <f t="shared" si="57"/>
        <v>#DIV/0!</v>
      </c>
      <c r="AC52" s="178" t="e">
        <f t="shared" si="57"/>
        <v>#DIV/0!</v>
      </c>
      <c r="AD52" s="178" t="e">
        <f t="shared" si="57"/>
        <v>#DIV/0!</v>
      </c>
      <c r="AE52" s="178" t="e">
        <f t="shared" si="57"/>
        <v>#DIV/0!</v>
      </c>
      <c r="AF52" s="168" t="e">
        <f t="shared" si="57"/>
        <v>#DIV/0!</v>
      </c>
      <c r="AG52" s="169" t="e">
        <f t="shared" si="34"/>
        <v>#DIV/0!</v>
      </c>
      <c r="AH52" s="179" t="e">
        <f t="shared" si="35"/>
        <v>#DIV/0!</v>
      </c>
      <c r="AI52" s="180" t="e">
        <f t="shared" si="58"/>
        <v>#DIV/0!</v>
      </c>
      <c r="AJ52" s="178" t="e">
        <f t="shared" si="58"/>
        <v>#DIV/0!</v>
      </c>
      <c r="AK52" s="178" t="e">
        <f t="shared" si="58"/>
        <v>#DIV/0!</v>
      </c>
      <c r="AL52" s="178" t="e">
        <f t="shared" si="58"/>
        <v>#DIV/0!</v>
      </c>
      <c r="AM52" s="178" t="e">
        <f t="shared" si="58"/>
        <v>#DIV/0!</v>
      </c>
      <c r="AN52" s="178" t="e">
        <f t="shared" si="58"/>
        <v>#DIV/0!</v>
      </c>
      <c r="AO52" s="178" t="e">
        <f t="shared" si="58"/>
        <v>#DIV/0!</v>
      </c>
      <c r="AP52" s="178" t="e">
        <f t="shared" si="58"/>
        <v>#DIV/0!</v>
      </c>
      <c r="AQ52" s="178" t="e">
        <f t="shared" si="58"/>
        <v>#DIV/0!</v>
      </c>
      <c r="AR52" s="178" t="e">
        <f t="shared" si="58"/>
        <v>#DIV/0!</v>
      </c>
      <c r="AS52" s="178" t="e">
        <f t="shared" si="58"/>
        <v>#DIV/0!</v>
      </c>
      <c r="AT52" s="168" t="e">
        <f t="shared" si="58"/>
        <v>#DIV/0!</v>
      </c>
      <c r="AU52" s="169" t="e">
        <f t="shared" si="37"/>
        <v>#DIV/0!</v>
      </c>
      <c r="AV52" s="179" t="e">
        <f t="shared" si="38"/>
        <v>#DIV/0!</v>
      </c>
      <c r="AW52" s="180" t="e">
        <f t="shared" si="59"/>
        <v>#DIV/0!</v>
      </c>
      <c r="AX52" s="178" t="e">
        <f t="shared" si="59"/>
        <v>#DIV/0!</v>
      </c>
      <c r="AY52" s="178" t="e">
        <f t="shared" si="59"/>
        <v>#DIV/0!</v>
      </c>
      <c r="AZ52" s="178" t="e">
        <f t="shared" si="59"/>
        <v>#DIV/0!</v>
      </c>
      <c r="BA52" s="178" t="e">
        <f t="shared" si="59"/>
        <v>#DIV/0!</v>
      </c>
      <c r="BB52" s="178" t="e">
        <f t="shared" si="59"/>
        <v>#DIV/0!</v>
      </c>
      <c r="BC52" s="178" t="e">
        <f t="shared" si="59"/>
        <v>#DIV/0!</v>
      </c>
      <c r="BD52" s="178" t="e">
        <f t="shared" si="59"/>
        <v>#DIV/0!</v>
      </c>
      <c r="BE52" s="178" t="e">
        <f t="shared" si="59"/>
        <v>#DIV/0!</v>
      </c>
      <c r="BF52" s="178" t="e">
        <f t="shared" si="59"/>
        <v>#DIV/0!</v>
      </c>
      <c r="BG52" s="178" t="e">
        <f t="shared" si="59"/>
        <v>#DIV/0!</v>
      </c>
      <c r="BH52" s="168" t="e">
        <f t="shared" si="59"/>
        <v>#DIV/0!</v>
      </c>
      <c r="BI52" s="169" t="e">
        <f t="shared" si="40"/>
        <v>#DIV/0!</v>
      </c>
      <c r="BJ52" s="179" t="e">
        <f t="shared" si="41"/>
        <v>#DIV/0!</v>
      </c>
      <c r="BK52" s="180" t="e">
        <f t="shared" si="60"/>
        <v>#DIV/0!</v>
      </c>
      <c r="BL52" s="178" t="e">
        <f t="shared" si="60"/>
        <v>#DIV/0!</v>
      </c>
      <c r="BM52" s="178" t="e">
        <f t="shared" si="60"/>
        <v>#DIV/0!</v>
      </c>
      <c r="BN52" s="178" t="e">
        <f t="shared" si="60"/>
        <v>#DIV/0!</v>
      </c>
      <c r="BO52" s="178" t="e">
        <f t="shared" si="60"/>
        <v>#DIV/0!</v>
      </c>
      <c r="BP52" s="178" t="e">
        <f t="shared" si="60"/>
        <v>#DIV/0!</v>
      </c>
      <c r="BQ52" s="178" t="e">
        <f t="shared" si="60"/>
        <v>#DIV/0!</v>
      </c>
      <c r="BR52" s="178" t="e">
        <f t="shared" si="60"/>
        <v>#DIV/0!</v>
      </c>
      <c r="BS52" s="178" t="e">
        <f t="shared" si="60"/>
        <v>#DIV/0!</v>
      </c>
      <c r="BT52" s="178" t="e">
        <f t="shared" si="60"/>
        <v>#DIV/0!</v>
      </c>
      <c r="BU52" s="178" t="e">
        <f t="shared" si="60"/>
        <v>#DIV/0!</v>
      </c>
      <c r="BV52" s="168" t="e">
        <f t="shared" si="60"/>
        <v>#DIV/0!</v>
      </c>
      <c r="BW52" s="169" t="e">
        <f t="shared" si="43"/>
        <v>#DIV/0!</v>
      </c>
      <c r="BX52" s="179" t="e">
        <f t="shared" si="44"/>
        <v>#DIV/0!</v>
      </c>
      <c r="BY52" s="180" t="e">
        <f t="shared" si="61"/>
        <v>#DIV/0!</v>
      </c>
      <c r="BZ52" s="178" t="e">
        <f t="shared" si="61"/>
        <v>#DIV/0!</v>
      </c>
      <c r="CA52" s="178" t="e">
        <f t="shared" si="61"/>
        <v>#DIV/0!</v>
      </c>
      <c r="CB52" s="178" t="e">
        <f t="shared" si="61"/>
        <v>#DIV/0!</v>
      </c>
      <c r="CC52" s="178" t="e">
        <f t="shared" si="61"/>
        <v>#DIV/0!</v>
      </c>
      <c r="CD52" s="178" t="e">
        <f t="shared" si="61"/>
        <v>#DIV/0!</v>
      </c>
      <c r="CE52" s="178" t="e">
        <f t="shared" si="61"/>
        <v>#DIV/0!</v>
      </c>
      <c r="CF52" s="178" t="e">
        <f t="shared" si="61"/>
        <v>#DIV/0!</v>
      </c>
      <c r="CG52" s="178" t="e">
        <f t="shared" si="61"/>
        <v>#DIV/0!</v>
      </c>
      <c r="CH52" s="178" t="e">
        <f t="shared" si="61"/>
        <v>#DIV/0!</v>
      </c>
      <c r="CI52" s="178" t="e">
        <f t="shared" si="61"/>
        <v>#DIV/0!</v>
      </c>
      <c r="CJ52" s="168" t="e">
        <f t="shared" si="61"/>
        <v>#DIV/0!</v>
      </c>
      <c r="CK52" s="169" t="e">
        <f t="shared" si="46"/>
        <v>#DIV/0!</v>
      </c>
      <c r="CL52" s="179" t="e">
        <f t="shared" si="47"/>
        <v>#DIV/0!</v>
      </c>
      <c r="CM52" s="180" t="e">
        <f t="shared" si="62"/>
        <v>#DIV/0!</v>
      </c>
      <c r="CN52" s="178" t="e">
        <f t="shared" si="62"/>
        <v>#DIV/0!</v>
      </c>
      <c r="CO52" s="178" t="e">
        <f t="shared" si="62"/>
        <v>#DIV/0!</v>
      </c>
      <c r="CP52" s="178" t="e">
        <f t="shared" si="62"/>
        <v>#DIV/0!</v>
      </c>
      <c r="CQ52" s="178" t="e">
        <f t="shared" si="62"/>
        <v>#DIV/0!</v>
      </c>
      <c r="CR52" s="178" t="e">
        <f t="shared" si="62"/>
        <v>#DIV/0!</v>
      </c>
      <c r="CS52" s="178" t="e">
        <f t="shared" si="62"/>
        <v>#DIV/0!</v>
      </c>
      <c r="CT52" s="178" t="e">
        <f t="shared" si="62"/>
        <v>#DIV/0!</v>
      </c>
      <c r="CU52" s="178" t="e">
        <f t="shared" si="62"/>
        <v>#DIV/0!</v>
      </c>
      <c r="CV52" s="178" t="e">
        <f t="shared" si="62"/>
        <v>#DIV/0!</v>
      </c>
      <c r="CW52" s="178" t="e">
        <f t="shared" si="62"/>
        <v>#DIV/0!</v>
      </c>
      <c r="CX52" s="168" t="e">
        <f t="shared" si="62"/>
        <v>#DIV/0!</v>
      </c>
      <c r="CY52" s="169" t="e">
        <f t="shared" si="49"/>
        <v>#DIV/0!</v>
      </c>
      <c r="CZ52" s="179" t="e">
        <f t="shared" si="50"/>
        <v>#DIV/0!</v>
      </c>
      <c r="DA52" s="180" t="e">
        <f t="shared" si="63"/>
        <v>#DIV/0!</v>
      </c>
      <c r="DB52" s="178" t="e">
        <f t="shared" si="63"/>
        <v>#DIV/0!</v>
      </c>
      <c r="DC52" s="178" t="e">
        <f t="shared" si="63"/>
        <v>#DIV/0!</v>
      </c>
      <c r="DD52" s="178" t="e">
        <f t="shared" si="63"/>
        <v>#DIV/0!</v>
      </c>
      <c r="DE52" s="178" t="e">
        <f t="shared" si="63"/>
        <v>#DIV/0!</v>
      </c>
      <c r="DF52" s="178" t="e">
        <f t="shared" si="63"/>
        <v>#DIV/0!</v>
      </c>
      <c r="DG52" s="178" t="e">
        <f t="shared" si="63"/>
        <v>#DIV/0!</v>
      </c>
      <c r="DH52" s="178" t="e">
        <f t="shared" si="63"/>
        <v>#DIV/0!</v>
      </c>
      <c r="DI52" s="178" t="e">
        <f t="shared" si="63"/>
        <v>#DIV/0!</v>
      </c>
      <c r="DJ52" s="178" t="e">
        <f t="shared" si="63"/>
        <v>#DIV/0!</v>
      </c>
      <c r="DK52" s="178" t="e">
        <f t="shared" si="63"/>
        <v>#DIV/0!</v>
      </c>
      <c r="DL52" s="168" t="e">
        <f t="shared" si="63"/>
        <v>#DIV/0!</v>
      </c>
      <c r="DM52" s="169" t="e">
        <f t="shared" si="52"/>
        <v>#DIV/0!</v>
      </c>
      <c r="DN52" s="171" t="e">
        <f t="shared" si="53"/>
        <v>#DIV/0!</v>
      </c>
      <c r="DO52" s="180" t="e">
        <f t="shared" si="64"/>
        <v>#DIV/0!</v>
      </c>
      <c r="DP52" s="178" t="e">
        <f t="shared" si="64"/>
        <v>#DIV/0!</v>
      </c>
      <c r="DQ52" s="178" t="e">
        <f t="shared" si="64"/>
        <v>#DIV/0!</v>
      </c>
      <c r="DR52" s="178" t="e">
        <f t="shared" si="64"/>
        <v>#DIV/0!</v>
      </c>
      <c r="DS52" s="178" t="e">
        <f t="shared" si="64"/>
        <v>#DIV/0!</v>
      </c>
      <c r="DT52" s="178" t="e">
        <f t="shared" si="64"/>
        <v>#DIV/0!</v>
      </c>
      <c r="DU52" s="178" t="e">
        <f t="shared" si="64"/>
        <v>#DIV/0!</v>
      </c>
      <c r="DV52" s="178" t="e">
        <f t="shared" si="64"/>
        <v>#DIV/0!</v>
      </c>
      <c r="DW52" s="178" t="e">
        <f t="shared" si="64"/>
        <v>#DIV/0!</v>
      </c>
      <c r="DX52" s="178" t="e">
        <f t="shared" si="64"/>
        <v>#DIV/0!</v>
      </c>
      <c r="DY52" s="178" t="e">
        <f t="shared" si="64"/>
        <v>#DIV/0!</v>
      </c>
      <c r="DZ52" s="168" t="e">
        <f t="shared" si="64"/>
        <v>#DIV/0!</v>
      </c>
      <c r="EA52" s="169" t="e">
        <f t="shared" si="55"/>
        <v>#DIV/0!</v>
      </c>
      <c r="EB52" s="171" t="e">
        <f t="shared" si="56"/>
        <v>#DIV/0!</v>
      </c>
    </row>
    <row r="53" spans="1:132" s="177" customFormat="1" ht="15.75">
      <c r="A53" s="163">
        <v>43831</v>
      </c>
      <c r="B53" s="403" t="s">
        <v>90</v>
      </c>
      <c r="C53" s="406" t="s">
        <v>292</v>
      </c>
      <c r="D53" s="405">
        <v>10000</v>
      </c>
      <c r="E53" s="167"/>
      <c r="F53" s="168" t="e">
        <f t="shared" si="20"/>
        <v>#DIV/0!</v>
      </c>
      <c r="G53" s="169" t="e">
        <f t="shared" si="65"/>
        <v>#DIV/0!</v>
      </c>
      <c r="H53" s="178" t="e">
        <f t="shared" si="65"/>
        <v>#DIV/0!</v>
      </c>
      <c r="I53" s="178" t="e">
        <f t="shared" si="65"/>
        <v>#DIV/0!</v>
      </c>
      <c r="J53" s="178" t="e">
        <f t="shared" si="65"/>
        <v>#DIV/0!</v>
      </c>
      <c r="K53" s="178" t="e">
        <f t="shared" si="65"/>
        <v>#DIV/0!</v>
      </c>
      <c r="L53" s="178" t="e">
        <f t="shared" si="65"/>
        <v>#DIV/0!</v>
      </c>
      <c r="M53" s="178" t="e">
        <f t="shared" si="65"/>
        <v>#DIV/0!</v>
      </c>
      <c r="N53" s="178" t="e">
        <f t="shared" si="65"/>
        <v>#DIV/0!</v>
      </c>
      <c r="O53" s="178" t="e">
        <f t="shared" si="65"/>
        <v>#DIV/0!</v>
      </c>
      <c r="P53" s="178" t="e">
        <f t="shared" si="65"/>
        <v>#DIV/0!</v>
      </c>
      <c r="Q53" s="178" t="e">
        <f t="shared" si="65"/>
        <v>#DIV/0!</v>
      </c>
      <c r="R53" s="179" t="e">
        <f t="shared" si="65"/>
        <v>#DIV/0!</v>
      </c>
      <c r="S53" s="169" t="e">
        <f t="shared" si="31"/>
        <v>#DIV/0!</v>
      </c>
      <c r="T53" s="179" t="e">
        <f t="shared" si="32"/>
        <v>#DIV/0!</v>
      </c>
      <c r="U53" s="180" t="e">
        <f t="shared" si="57"/>
        <v>#DIV/0!</v>
      </c>
      <c r="V53" s="178" t="e">
        <f t="shared" si="57"/>
        <v>#DIV/0!</v>
      </c>
      <c r="W53" s="178" t="e">
        <f t="shared" si="57"/>
        <v>#DIV/0!</v>
      </c>
      <c r="X53" s="178" t="e">
        <f t="shared" si="57"/>
        <v>#DIV/0!</v>
      </c>
      <c r="Y53" s="178" t="e">
        <f t="shared" si="57"/>
        <v>#DIV/0!</v>
      </c>
      <c r="Z53" s="178" t="e">
        <f t="shared" si="57"/>
        <v>#DIV/0!</v>
      </c>
      <c r="AA53" s="178" t="e">
        <f t="shared" si="57"/>
        <v>#DIV/0!</v>
      </c>
      <c r="AB53" s="178" t="e">
        <f t="shared" si="57"/>
        <v>#DIV/0!</v>
      </c>
      <c r="AC53" s="178" t="e">
        <f t="shared" si="57"/>
        <v>#DIV/0!</v>
      </c>
      <c r="AD53" s="178" t="e">
        <f t="shared" si="57"/>
        <v>#DIV/0!</v>
      </c>
      <c r="AE53" s="178" t="e">
        <f t="shared" si="57"/>
        <v>#DIV/0!</v>
      </c>
      <c r="AF53" s="168" t="e">
        <f t="shared" si="57"/>
        <v>#DIV/0!</v>
      </c>
      <c r="AG53" s="169" t="e">
        <f t="shared" si="34"/>
        <v>#DIV/0!</v>
      </c>
      <c r="AH53" s="179" t="e">
        <f t="shared" si="35"/>
        <v>#DIV/0!</v>
      </c>
      <c r="AI53" s="180" t="e">
        <f t="shared" si="58"/>
        <v>#DIV/0!</v>
      </c>
      <c r="AJ53" s="178" t="e">
        <f t="shared" si="58"/>
        <v>#DIV/0!</v>
      </c>
      <c r="AK53" s="178" t="e">
        <f t="shared" si="58"/>
        <v>#DIV/0!</v>
      </c>
      <c r="AL53" s="178" t="e">
        <f t="shared" si="58"/>
        <v>#DIV/0!</v>
      </c>
      <c r="AM53" s="178" t="e">
        <f t="shared" si="58"/>
        <v>#DIV/0!</v>
      </c>
      <c r="AN53" s="178" t="e">
        <f t="shared" si="58"/>
        <v>#DIV/0!</v>
      </c>
      <c r="AO53" s="178" t="e">
        <f t="shared" si="58"/>
        <v>#DIV/0!</v>
      </c>
      <c r="AP53" s="178" t="e">
        <f t="shared" si="58"/>
        <v>#DIV/0!</v>
      </c>
      <c r="AQ53" s="178" t="e">
        <f t="shared" si="58"/>
        <v>#DIV/0!</v>
      </c>
      <c r="AR53" s="178" t="e">
        <f t="shared" si="58"/>
        <v>#DIV/0!</v>
      </c>
      <c r="AS53" s="178" t="e">
        <f t="shared" si="58"/>
        <v>#DIV/0!</v>
      </c>
      <c r="AT53" s="168" t="e">
        <f t="shared" si="58"/>
        <v>#DIV/0!</v>
      </c>
      <c r="AU53" s="169" t="e">
        <f t="shared" si="37"/>
        <v>#DIV/0!</v>
      </c>
      <c r="AV53" s="179" t="e">
        <f t="shared" si="38"/>
        <v>#DIV/0!</v>
      </c>
      <c r="AW53" s="180" t="e">
        <f t="shared" si="59"/>
        <v>#DIV/0!</v>
      </c>
      <c r="AX53" s="178" t="e">
        <f t="shared" si="59"/>
        <v>#DIV/0!</v>
      </c>
      <c r="AY53" s="178" t="e">
        <f t="shared" si="59"/>
        <v>#DIV/0!</v>
      </c>
      <c r="AZ53" s="178" t="e">
        <f t="shared" si="59"/>
        <v>#DIV/0!</v>
      </c>
      <c r="BA53" s="178" t="e">
        <f t="shared" si="59"/>
        <v>#DIV/0!</v>
      </c>
      <c r="BB53" s="178" t="e">
        <f t="shared" si="59"/>
        <v>#DIV/0!</v>
      </c>
      <c r="BC53" s="178" t="e">
        <f t="shared" si="59"/>
        <v>#DIV/0!</v>
      </c>
      <c r="BD53" s="178" t="e">
        <f t="shared" si="59"/>
        <v>#DIV/0!</v>
      </c>
      <c r="BE53" s="178" t="e">
        <f t="shared" si="59"/>
        <v>#DIV/0!</v>
      </c>
      <c r="BF53" s="178" t="e">
        <f t="shared" si="59"/>
        <v>#DIV/0!</v>
      </c>
      <c r="BG53" s="178" t="e">
        <f t="shared" si="59"/>
        <v>#DIV/0!</v>
      </c>
      <c r="BH53" s="168" t="e">
        <f t="shared" si="59"/>
        <v>#DIV/0!</v>
      </c>
      <c r="BI53" s="169" t="e">
        <f t="shared" si="40"/>
        <v>#DIV/0!</v>
      </c>
      <c r="BJ53" s="179" t="e">
        <f t="shared" si="41"/>
        <v>#DIV/0!</v>
      </c>
      <c r="BK53" s="180" t="e">
        <f t="shared" si="60"/>
        <v>#DIV/0!</v>
      </c>
      <c r="BL53" s="178" t="e">
        <f t="shared" si="60"/>
        <v>#DIV/0!</v>
      </c>
      <c r="BM53" s="178" t="e">
        <f t="shared" si="60"/>
        <v>#DIV/0!</v>
      </c>
      <c r="BN53" s="178" t="e">
        <f t="shared" si="60"/>
        <v>#DIV/0!</v>
      </c>
      <c r="BO53" s="178" t="e">
        <f t="shared" si="60"/>
        <v>#DIV/0!</v>
      </c>
      <c r="BP53" s="178" t="e">
        <f t="shared" si="60"/>
        <v>#DIV/0!</v>
      </c>
      <c r="BQ53" s="178" t="e">
        <f t="shared" si="60"/>
        <v>#DIV/0!</v>
      </c>
      <c r="BR53" s="178" t="e">
        <f t="shared" si="60"/>
        <v>#DIV/0!</v>
      </c>
      <c r="BS53" s="178" t="e">
        <f t="shared" si="60"/>
        <v>#DIV/0!</v>
      </c>
      <c r="BT53" s="178" t="e">
        <f t="shared" si="60"/>
        <v>#DIV/0!</v>
      </c>
      <c r="BU53" s="178" t="e">
        <f t="shared" si="60"/>
        <v>#DIV/0!</v>
      </c>
      <c r="BV53" s="168" t="e">
        <f t="shared" si="60"/>
        <v>#DIV/0!</v>
      </c>
      <c r="BW53" s="169" t="e">
        <f t="shared" si="43"/>
        <v>#DIV/0!</v>
      </c>
      <c r="BX53" s="179" t="e">
        <f t="shared" si="44"/>
        <v>#DIV/0!</v>
      </c>
      <c r="BY53" s="180" t="e">
        <f t="shared" si="61"/>
        <v>#DIV/0!</v>
      </c>
      <c r="BZ53" s="178" t="e">
        <f t="shared" si="61"/>
        <v>#DIV/0!</v>
      </c>
      <c r="CA53" s="178" t="e">
        <f t="shared" si="61"/>
        <v>#DIV/0!</v>
      </c>
      <c r="CB53" s="178" t="e">
        <f t="shared" si="61"/>
        <v>#DIV/0!</v>
      </c>
      <c r="CC53" s="178" t="e">
        <f t="shared" si="61"/>
        <v>#DIV/0!</v>
      </c>
      <c r="CD53" s="178" t="e">
        <f t="shared" si="61"/>
        <v>#DIV/0!</v>
      </c>
      <c r="CE53" s="178" t="e">
        <f t="shared" si="61"/>
        <v>#DIV/0!</v>
      </c>
      <c r="CF53" s="178" t="e">
        <f t="shared" si="61"/>
        <v>#DIV/0!</v>
      </c>
      <c r="CG53" s="178" t="e">
        <f t="shared" si="61"/>
        <v>#DIV/0!</v>
      </c>
      <c r="CH53" s="178" t="e">
        <f t="shared" si="61"/>
        <v>#DIV/0!</v>
      </c>
      <c r="CI53" s="178" t="e">
        <f t="shared" si="61"/>
        <v>#DIV/0!</v>
      </c>
      <c r="CJ53" s="168" t="e">
        <f t="shared" si="61"/>
        <v>#DIV/0!</v>
      </c>
      <c r="CK53" s="169" t="e">
        <f t="shared" si="46"/>
        <v>#DIV/0!</v>
      </c>
      <c r="CL53" s="179" t="e">
        <f t="shared" si="47"/>
        <v>#DIV/0!</v>
      </c>
      <c r="CM53" s="180" t="e">
        <f t="shared" si="62"/>
        <v>#DIV/0!</v>
      </c>
      <c r="CN53" s="178" t="e">
        <f t="shared" si="62"/>
        <v>#DIV/0!</v>
      </c>
      <c r="CO53" s="178" t="e">
        <f t="shared" si="62"/>
        <v>#DIV/0!</v>
      </c>
      <c r="CP53" s="178" t="e">
        <f t="shared" si="62"/>
        <v>#DIV/0!</v>
      </c>
      <c r="CQ53" s="178" t="e">
        <f t="shared" si="62"/>
        <v>#DIV/0!</v>
      </c>
      <c r="CR53" s="178" t="e">
        <f t="shared" si="62"/>
        <v>#DIV/0!</v>
      </c>
      <c r="CS53" s="178" t="e">
        <f t="shared" si="62"/>
        <v>#DIV/0!</v>
      </c>
      <c r="CT53" s="178" t="e">
        <f t="shared" si="62"/>
        <v>#DIV/0!</v>
      </c>
      <c r="CU53" s="178" t="e">
        <f t="shared" si="62"/>
        <v>#DIV/0!</v>
      </c>
      <c r="CV53" s="178" t="e">
        <f t="shared" si="62"/>
        <v>#DIV/0!</v>
      </c>
      <c r="CW53" s="178" t="e">
        <f t="shared" si="62"/>
        <v>#DIV/0!</v>
      </c>
      <c r="CX53" s="168" t="e">
        <f t="shared" si="62"/>
        <v>#DIV/0!</v>
      </c>
      <c r="CY53" s="169" t="e">
        <f t="shared" si="49"/>
        <v>#DIV/0!</v>
      </c>
      <c r="CZ53" s="179" t="e">
        <f t="shared" si="50"/>
        <v>#DIV/0!</v>
      </c>
      <c r="DA53" s="180" t="e">
        <f t="shared" si="63"/>
        <v>#DIV/0!</v>
      </c>
      <c r="DB53" s="178" t="e">
        <f t="shared" si="63"/>
        <v>#DIV/0!</v>
      </c>
      <c r="DC53" s="178" t="e">
        <f t="shared" si="63"/>
        <v>#DIV/0!</v>
      </c>
      <c r="DD53" s="178" t="e">
        <f t="shared" si="63"/>
        <v>#DIV/0!</v>
      </c>
      <c r="DE53" s="178" t="e">
        <f t="shared" si="63"/>
        <v>#DIV/0!</v>
      </c>
      <c r="DF53" s="178" t="e">
        <f t="shared" si="63"/>
        <v>#DIV/0!</v>
      </c>
      <c r="DG53" s="178" t="e">
        <f t="shared" si="63"/>
        <v>#DIV/0!</v>
      </c>
      <c r="DH53" s="178" t="e">
        <f t="shared" si="63"/>
        <v>#DIV/0!</v>
      </c>
      <c r="DI53" s="178" t="e">
        <f t="shared" si="63"/>
        <v>#DIV/0!</v>
      </c>
      <c r="DJ53" s="178" t="e">
        <f t="shared" si="63"/>
        <v>#DIV/0!</v>
      </c>
      <c r="DK53" s="178" t="e">
        <f t="shared" si="63"/>
        <v>#DIV/0!</v>
      </c>
      <c r="DL53" s="168" t="e">
        <f t="shared" si="63"/>
        <v>#DIV/0!</v>
      </c>
      <c r="DM53" s="169" t="e">
        <f t="shared" si="52"/>
        <v>#DIV/0!</v>
      </c>
      <c r="DN53" s="171" t="e">
        <f t="shared" si="53"/>
        <v>#DIV/0!</v>
      </c>
      <c r="DO53" s="180" t="e">
        <f t="shared" si="64"/>
        <v>#DIV/0!</v>
      </c>
      <c r="DP53" s="178" t="e">
        <f t="shared" si="64"/>
        <v>#DIV/0!</v>
      </c>
      <c r="DQ53" s="178" t="e">
        <f t="shared" si="64"/>
        <v>#DIV/0!</v>
      </c>
      <c r="DR53" s="178" t="e">
        <f t="shared" si="64"/>
        <v>#DIV/0!</v>
      </c>
      <c r="DS53" s="178" t="e">
        <f t="shared" si="64"/>
        <v>#DIV/0!</v>
      </c>
      <c r="DT53" s="178" t="e">
        <f t="shared" si="64"/>
        <v>#DIV/0!</v>
      </c>
      <c r="DU53" s="178" t="e">
        <f t="shared" si="64"/>
        <v>#DIV/0!</v>
      </c>
      <c r="DV53" s="178" t="e">
        <f t="shared" si="64"/>
        <v>#DIV/0!</v>
      </c>
      <c r="DW53" s="178" t="e">
        <f t="shared" si="64"/>
        <v>#DIV/0!</v>
      </c>
      <c r="DX53" s="178" t="e">
        <f t="shared" si="64"/>
        <v>#DIV/0!</v>
      </c>
      <c r="DY53" s="178" t="e">
        <f t="shared" si="64"/>
        <v>#DIV/0!</v>
      </c>
      <c r="DZ53" s="168" t="e">
        <f t="shared" si="64"/>
        <v>#DIV/0!</v>
      </c>
      <c r="EA53" s="169" t="e">
        <f t="shared" si="55"/>
        <v>#DIV/0!</v>
      </c>
      <c r="EB53" s="171" t="e">
        <f t="shared" si="56"/>
        <v>#DIV/0!</v>
      </c>
    </row>
    <row r="54" spans="1:132" s="177" customFormat="1" ht="15.75">
      <c r="A54" s="163">
        <v>43831</v>
      </c>
      <c r="B54" s="403" t="s">
        <v>90</v>
      </c>
      <c r="C54" s="406" t="s">
        <v>292</v>
      </c>
      <c r="D54" s="405">
        <v>40000</v>
      </c>
      <c r="E54" s="167"/>
      <c r="F54" s="168" t="e">
        <f t="shared" si="20"/>
        <v>#DIV/0!</v>
      </c>
      <c r="G54" s="169" t="e">
        <f t="shared" si="65"/>
        <v>#DIV/0!</v>
      </c>
      <c r="H54" s="178" t="e">
        <f t="shared" si="65"/>
        <v>#DIV/0!</v>
      </c>
      <c r="I54" s="178" t="e">
        <f t="shared" si="65"/>
        <v>#DIV/0!</v>
      </c>
      <c r="J54" s="178" t="e">
        <f t="shared" si="65"/>
        <v>#DIV/0!</v>
      </c>
      <c r="K54" s="178" t="e">
        <f t="shared" si="65"/>
        <v>#DIV/0!</v>
      </c>
      <c r="L54" s="178" t="e">
        <f t="shared" si="65"/>
        <v>#DIV/0!</v>
      </c>
      <c r="M54" s="178" t="e">
        <f t="shared" si="65"/>
        <v>#DIV/0!</v>
      </c>
      <c r="N54" s="178" t="e">
        <f t="shared" si="65"/>
        <v>#DIV/0!</v>
      </c>
      <c r="O54" s="178" t="e">
        <f t="shared" si="65"/>
        <v>#DIV/0!</v>
      </c>
      <c r="P54" s="178" t="e">
        <f t="shared" si="65"/>
        <v>#DIV/0!</v>
      </c>
      <c r="Q54" s="178" t="e">
        <f t="shared" si="65"/>
        <v>#DIV/0!</v>
      </c>
      <c r="R54" s="179" t="e">
        <f t="shared" si="65"/>
        <v>#DIV/0!</v>
      </c>
      <c r="S54" s="169" t="e">
        <f t="shared" si="31"/>
        <v>#DIV/0!</v>
      </c>
      <c r="T54" s="179" t="e">
        <f t="shared" si="32"/>
        <v>#DIV/0!</v>
      </c>
      <c r="U54" s="180" t="e">
        <f t="shared" si="57"/>
        <v>#DIV/0!</v>
      </c>
      <c r="V54" s="178" t="e">
        <f t="shared" si="57"/>
        <v>#DIV/0!</v>
      </c>
      <c r="W54" s="178" t="e">
        <f t="shared" si="57"/>
        <v>#DIV/0!</v>
      </c>
      <c r="X54" s="178" t="e">
        <f t="shared" si="57"/>
        <v>#DIV/0!</v>
      </c>
      <c r="Y54" s="178" t="e">
        <f t="shared" si="57"/>
        <v>#DIV/0!</v>
      </c>
      <c r="Z54" s="178" t="e">
        <f t="shared" si="57"/>
        <v>#DIV/0!</v>
      </c>
      <c r="AA54" s="178" t="e">
        <f t="shared" si="57"/>
        <v>#DIV/0!</v>
      </c>
      <c r="AB54" s="178" t="e">
        <f t="shared" si="57"/>
        <v>#DIV/0!</v>
      </c>
      <c r="AC54" s="178" t="e">
        <f t="shared" si="57"/>
        <v>#DIV/0!</v>
      </c>
      <c r="AD54" s="178" t="e">
        <f t="shared" si="57"/>
        <v>#DIV/0!</v>
      </c>
      <c r="AE54" s="178" t="e">
        <f t="shared" si="57"/>
        <v>#DIV/0!</v>
      </c>
      <c r="AF54" s="168" t="e">
        <f t="shared" si="57"/>
        <v>#DIV/0!</v>
      </c>
      <c r="AG54" s="169" t="e">
        <f t="shared" si="34"/>
        <v>#DIV/0!</v>
      </c>
      <c r="AH54" s="179" t="e">
        <f t="shared" si="35"/>
        <v>#DIV/0!</v>
      </c>
      <c r="AI54" s="180" t="e">
        <f t="shared" si="58"/>
        <v>#DIV/0!</v>
      </c>
      <c r="AJ54" s="178" t="e">
        <f t="shared" si="58"/>
        <v>#DIV/0!</v>
      </c>
      <c r="AK54" s="178" t="e">
        <f t="shared" si="58"/>
        <v>#DIV/0!</v>
      </c>
      <c r="AL54" s="178" t="e">
        <f t="shared" si="58"/>
        <v>#DIV/0!</v>
      </c>
      <c r="AM54" s="178" t="e">
        <f t="shared" si="58"/>
        <v>#DIV/0!</v>
      </c>
      <c r="AN54" s="178" t="e">
        <f t="shared" si="58"/>
        <v>#DIV/0!</v>
      </c>
      <c r="AO54" s="178" t="e">
        <f t="shared" si="58"/>
        <v>#DIV/0!</v>
      </c>
      <c r="AP54" s="178" t="e">
        <f t="shared" si="58"/>
        <v>#DIV/0!</v>
      </c>
      <c r="AQ54" s="178" t="e">
        <f t="shared" si="58"/>
        <v>#DIV/0!</v>
      </c>
      <c r="AR54" s="178" t="e">
        <f t="shared" si="58"/>
        <v>#DIV/0!</v>
      </c>
      <c r="AS54" s="178" t="e">
        <f t="shared" si="58"/>
        <v>#DIV/0!</v>
      </c>
      <c r="AT54" s="168" t="e">
        <f t="shared" si="58"/>
        <v>#DIV/0!</v>
      </c>
      <c r="AU54" s="169" t="e">
        <f t="shared" si="37"/>
        <v>#DIV/0!</v>
      </c>
      <c r="AV54" s="179" t="e">
        <f t="shared" si="38"/>
        <v>#DIV/0!</v>
      </c>
      <c r="AW54" s="180" t="e">
        <f t="shared" si="59"/>
        <v>#DIV/0!</v>
      </c>
      <c r="AX54" s="178" t="e">
        <f t="shared" si="59"/>
        <v>#DIV/0!</v>
      </c>
      <c r="AY54" s="178" t="e">
        <f t="shared" si="59"/>
        <v>#DIV/0!</v>
      </c>
      <c r="AZ54" s="178" t="e">
        <f t="shared" si="59"/>
        <v>#DIV/0!</v>
      </c>
      <c r="BA54" s="178" t="e">
        <f t="shared" si="59"/>
        <v>#DIV/0!</v>
      </c>
      <c r="BB54" s="178" t="e">
        <f t="shared" si="59"/>
        <v>#DIV/0!</v>
      </c>
      <c r="BC54" s="178" t="e">
        <f t="shared" si="59"/>
        <v>#DIV/0!</v>
      </c>
      <c r="BD54" s="178" t="e">
        <f t="shared" si="59"/>
        <v>#DIV/0!</v>
      </c>
      <c r="BE54" s="178" t="e">
        <f t="shared" si="59"/>
        <v>#DIV/0!</v>
      </c>
      <c r="BF54" s="178" t="e">
        <f t="shared" si="59"/>
        <v>#DIV/0!</v>
      </c>
      <c r="BG54" s="178" t="e">
        <f t="shared" si="59"/>
        <v>#DIV/0!</v>
      </c>
      <c r="BH54" s="168" t="e">
        <f t="shared" si="59"/>
        <v>#DIV/0!</v>
      </c>
      <c r="BI54" s="169" t="e">
        <f t="shared" si="40"/>
        <v>#DIV/0!</v>
      </c>
      <c r="BJ54" s="179" t="e">
        <f t="shared" si="41"/>
        <v>#DIV/0!</v>
      </c>
      <c r="BK54" s="180" t="e">
        <f t="shared" si="60"/>
        <v>#DIV/0!</v>
      </c>
      <c r="BL54" s="178" t="e">
        <f t="shared" si="60"/>
        <v>#DIV/0!</v>
      </c>
      <c r="BM54" s="178" t="e">
        <f t="shared" si="60"/>
        <v>#DIV/0!</v>
      </c>
      <c r="BN54" s="178" t="e">
        <f t="shared" si="60"/>
        <v>#DIV/0!</v>
      </c>
      <c r="BO54" s="178" t="e">
        <f t="shared" si="60"/>
        <v>#DIV/0!</v>
      </c>
      <c r="BP54" s="178" t="e">
        <f t="shared" si="60"/>
        <v>#DIV/0!</v>
      </c>
      <c r="BQ54" s="178" t="e">
        <f t="shared" si="60"/>
        <v>#DIV/0!</v>
      </c>
      <c r="BR54" s="178" t="e">
        <f t="shared" si="60"/>
        <v>#DIV/0!</v>
      </c>
      <c r="BS54" s="178" t="e">
        <f t="shared" si="60"/>
        <v>#DIV/0!</v>
      </c>
      <c r="BT54" s="178" t="e">
        <f t="shared" si="60"/>
        <v>#DIV/0!</v>
      </c>
      <c r="BU54" s="178" t="e">
        <f t="shared" si="60"/>
        <v>#DIV/0!</v>
      </c>
      <c r="BV54" s="168" t="e">
        <f t="shared" si="60"/>
        <v>#DIV/0!</v>
      </c>
      <c r="BW54" s="169" t="e">
        <f t="shared" si="43"/>
        <v>#DIV/0!</v>
      </c>
      <c r="BX54" s="179" t="e">
        <f t="shared" si="44"/>
        <v>#DIV/0!</v>
      </c>
      <c r="BY54" s="180" t="e">
        <f t="shared" si="61"/>
        <v>#DIV/0!</v>
      </c>
      <c r="BZ54" s="178" t="e">
        <f t="shared" si="61"/>
        <v>#DIV/0!</v>
      </c>
      <c r="CA54" s="178" t="e">
        <f t="shared" si="61"/>
        <v>#DIV/0!</v>
      </c>
      <c r="CB54" s="178" t="e">
        <f t="shared" si="61"/>
        <v>#DIV/0!</v>
      </c>
      <c r="CC54" s="178" t="e">
        <f t="shared" si="61"/>
        <v>#DIV/0!</v>
      </c>
      <c r="CD54" s="178" t="e">
        <f t="shared" si="61"/>
        <v>#DIV/0!</v>
      </c>
      <c r="CE54" s="178" t="e">
        <f t="shared" si="61"/>
        <v>#DIV/0!</v>
      </c>
      <c r="CF54" s="178" t="e">
        <f t="shared" si="61"/>
        <v>#DIV/0!</v>
      </c>
      <c r="CG54" s="178" t="e">
        <f t="shared" si="61"/>
        <v>#DIV/0!</v>
      </c>
      <c r="CH54" s="178" t="e">
        <f t="shared" si="61"/>
        <v>#DIV/0!</v>
      </c>
      <c r="CI54" s="178" t="e">
        <f t="shared" si="61"/>
        <v>#DIV/0!</v>
      </c>
      <c r="CJ54" s="168" t="e">
        <f t="shared" si="61"/>
        <v>#DIV/0!</v>
      </c>
      <c r="CK54" s="169" t="e">
        <f t="shared" si="46"/>
        <v>#DIV/0!</v>
      </c>
      <c r="CL54" s="179" t="e">
        <f t="shared" si="47"/>
        <v>#DIV/0!</v>
      </c>
      <c r="CM54" s="180" t="e">
        <f t="shared" si="62"/>
        <v>#DIV/0!</v>
      </c>
      <c r="CN54" s="178" t="e">
        <f t="shared" si="62"/>
        <v>#DIV/0!</v>
      </c>
      <c r="CO54" s="178" t="e">
        <f t="shared" si="62"/>
        <v>#DIV/0!</v>
      </c>
      <c r="CP54" s="178" t="e">
        <f t="shared" si="62"/>
        <v>#DIV/0!</v>
      </c>
      <c r="CQ54" s="178" t="e">
        <f t="shared" si="62"/>
        <v>#DIV/0!</v>
      </c>
      <c r="CR54" s="178" t="e">
        <f t="shared" si="62"/>
        <v>#DIV/0!</v>
      </c>
      <c r="CS54" s="178" t="e">
        <f t="shared" si="62"/>
        <v>#DIV/0!</v>
      </c>
      <c r="CT54" s="178" t="e">
        <f t="shared" si="62"/>
        <v>#DIV/0!</v>
      </c>
      <c r="CU54" s="178" t="e">
        <f t="shared" si="62"/>
        <v>#DIV/0!</v>
      </c>
      <c r="CV54" s="178" t="e">
        <f t="shared" si="62"/>
        <v>#DIV/0!</v>
      </c>
      <c r="CW54" s="178" t="e">
        <f t="shared" si="62"/>
        <v>#DIV/0!</v>
      </c>
      <c r="CX54" s="168" t="e">
        <f t="shared" si="62"/>
        <v>#DIV/0!</v>
      </c>
      <c r="CY54" s="169" t="e">
        <f t="shared" si="49"/>
        <v>#DIV/0!</v>
      </c>
      <c r="CZ54" s="179" t="e">
        <f t="shared" si="50"/>
        <v>#DIV/0!</v>
      </c>
      <c r="DA54" s="180" t="e">
        <f t="shared" si="63"/>
        <v>#DIV/0!</v>
      </c>
      <c r="DB54" s="178" t="e">
        <f t="shared" si="63"/>
        <v>#DIV/0!</v>
      </c>
      <c r="DC54" s="178" t="e">
        <f t="shared" si="63"/>
        <v>#DIV/0!</v>
      </c>
      <c r="DD54" s="178" t="e">
        <f t="shared" si="63"/>
        <v>#DIV/0!</v>
      </c>
      <c r="DE54" s="178" t="e">
        <f t="shared" si="63"/>
        <v>#DIV/0!</v>
      </c>
      <c r="DF54" s="178" t="e">
        <f t="shared" si="63"/>
        <v>#DIV/0!</v>
      </c>
      <c r="DG54" s="178" t="e">
        <f t="shared" si="63"/>
        <v>#DIV/0!</v>
      </c>
      <c r="DH54" s="178" t="e">
        <f t="shared" si="63"/>
        <v>#DIV/0!</v>
      </c>
      <c r="DI54" s="178" t="e">
        <f t="shared" si="63"/>
        <v>#DIV/0!</v>
      </c>
      <c r="DJ54" s="178" t="e">
        <f t="shared" si="63"/>
        <v>#DIV/0!</v>
      </c>
      <c r="DK54" s="178" t="e">
        <f t="shared" si="63"/>
        <v>#DIV/0!</v>
      </c>
      <c r="DL54" s="168" t="e">
        <f t="shared" si="63"/>
        <v>#DIV/0!</v>
      </c>
      <c r="DM54" s="169" t="e">
        <f t="shared" si="52"/>
        <v>#DIV/0!</v>
      </c>
      <c r="DN54" s="171" t="e">
        <f t="shared" si="53"/>
        <v>#DIV/0!</v>
      </c>
      <c r="DO54" s="180" t="e">
        <f t="shared" si="64"/>
        <v>#DIV/0!</v>
      </c>
      <c r="DP54" s="178" t="e">
        <f t="shared" si="64"/>
        <v>#DIV/0!</v>
      </c>
      <c r="DQ54" s="178" t="e">
        <f t="shared" si="64"/>
        <v>#DIV/0!</v>
      </c>
      <c r="DR54" s="178" t="e">
        <f t="shared" si="64"/>
        <v>#DIV/0!</v>
      </c>
      <c r="DS54" s="178" t="e">
        <f t="shared" si="64"/>
        <v>#DIV/0!</v>
      </c>
      <c r="DT54" s="178" t="e">
        <f t="shared" si="64"/>
        <v>#DIV/0!</v>
      </c>
      <c r="DU54" s="178" t="e">
        <f t="shared" si="64"/>
        <v>#DIV/0!</v>
      </c>
      <c r="DV54" s="178" t="e">
        <f t="shared" si="64"/>
        <v>#DIV/0!</v>
      </c>
      <c r="DW54" s="178" t="e">
        <f t="shared" si="64"/>
        <v>#DIV/0!</v>
      </c>
      <c r="DX54" s="178" t="e">
        <f t="shared" si="64"/>
        <v>#DIV/0!</v>
      </c>
      <c r="DY54" s="178" t="e">
        <f t="shared" si="64"/>
        <v>#DIV/0!</v>
      </c>
      <c r="DZ54" s="168" t="e">
        <f t="shared" si="64"/>
        <v>#DIV/0!</v>
      </c>
      <c r="EA54" s="169" t="e">
        <f t="shared" si="55"/>
        <v>#DIV/0!</v>
      </c>
      <c r="EB54" s="171" t="e">
        <f t="shared" si="56"/>
        <v>#DIV/0!</v>
      </c>
    </row>
    <row r="55" spans="1:132" s="177" customFormat="1" ht="15.75">
      <c r="A55" s="163">
        <v>43831</v>
      </c>
      <c r="B55" s="407" t="s">
        <v>88</v>
      </c>
      <c r="C55" s="406" t="s">
        <v>275</v>
      </c>
      <c r="D55" s="405">
        <v>25000</v>
      </c>
      <c r="E55" s="167"/>
      <c r="F55" s="168" t="e">
        <f t="shared" si="20"/>
        <v>#DIV/0!</v>
      </c>
      <c r="G55" s="169" t="e">
        <f t="shared" si="65"/>
        <v>#DIV/0!</v>
      </c>
      <c r="H55" s="178" t="e">
        <f t="shared" si="65"/>
        <v>#DIV/0!</v>
      </c>
      <c r="I55" s="178" t="e">
        <f t="shared" si="65"/>
        <v>#DIV/0!</v>
      </c>
      <c r="J55" s="178" t="e">
        <f t="shared" si="65"/>
        <v>#DIV/0!</v>
      </c>
      <c r="K55" s="178" t="e">
        <f t="shared" si="65"/>
        <v>#DIV/0!</v>
      </c>
      <c r="L55" s="178" t="e">
        <f t="shared" si="65"/>
        <v>#DIV/0!</v>
      </c>
      <c r="M55" s="178" t="e">
        <f t="shared" si="65"/>
        <v>#DIV/0!</v>
      </c>
      <c r="N55" s="178" t="e">
        <f t="shared" si="65"/>
        <v>#DIV/0!</v>
      </c>
      <c r="O55" s="178" t="e">
        <f t="shared" si="65"/>
        <v>#DIV/0!</v>
      </c>
      <c r="P55" s="178" t="e">
        <f t="shared" si="65"/>
        <v>#DIV/0!</v>
      </c>
      <c r="Q55" s="178" t="e">
        <f t="shared" si="65"/>
        <v>#DIV/0!</v>
      </c>
      <c r="R55" s="179" t="e">
        <f t="shared" si="65"/>
        <v>#DIV/0!</v>
      </c>
      <c r="S55" s="169" t="e">
        <f t="shared" si="31"/>
        <v>#DIV/0!</v>
      </c>
      <c r="T55" s="179" t="e">
        <f t="shared" si="32"/>
        <v>#DIV/0!</v>
      </c>
      <c r="U55" s="180" t="e">
        <f t="shared" si="57"/>
        <v>#DIV/0!</v>
      </c>
      <c r="V55" s="178" t="e">
        <f t="shared" si="57"/>
        <v>#DIV/0!</v>
      </c>
      <c r="W55" s="178" t="e">
        <f t="shared" si="57"/>
        <v>#DIV/0!</v>
      </c>
      <c r="X55" s="178" t="e">
        <f t="shared" si="57"/>
        <v>#DIV/0!</v>
      </c>
      <c r="Y55" s="178" t="e">
        <f t="shared" si="57"/>
        <v>#DIV/0!</v>
      </c>
      <c r="Z55" s="178" t="e">
        <f t="shared" si="57"/>
        <v>#DIV/0!</v>
      </c>
      <c r="AA55" s="178" t="e">
        <f t="shared" si="57"/>
        <v>#DIV/0!</v>
      </c>
      <c r="AB55" s="178" t="e">
        <f t="shared" si="57"/>
        <v>#DIV/0!</v>
      </c>
      <c r="AC55" s="178" t="e">
        <f t="shared" si="57"/>
        <v>#DIV/0!</v>
      </c>
      <c r="AD55" s="178" t="e">
        <f t="shared" si="57"/>
        <v>#DIV/0!</v>
      </c>
      <c r="AE55" s="178" t="e">
        <f t="shared" si="57"/>
        <v>#DIV/0!</v>
      </c>
      <c r="AF55" s="168" t="e">
        <f t="shared" si="57"/>
        <v>#DIV/0!</v>
      </c>
      <c r="AG55" s="169" t="e">
        <f t="shared" si="34"/>
        <v>#DIV/0!</v>
      </c>
      <c r="AH55" s="179" t="e">
        <f t="shared" si="35"/>
        <v>#DIV/0!</v>
      </c>
      <c r="AI55" s="180">
        <v>0</v>
      </c>
      <c r="AJ55" s="178">
        <v>0</v>
      </c>
      <c r="AK55" s="178">
        <v>0</v>
      </c>
      <c r="AL55" s="178">
        <v>0</v>
      </c>
      <c r="AM55" s="178">
        <v>0</v>
      </c>
      <c r="AN55" s="178">
        <v>0</v>
      </c>
      <c r="AO55" s="178">
        <v>0</v>
      </c>
      <c r="AP55" s="178">
        <v>0</v>
      </c>
      <c r="AQ55" s="178">
        <v>0</v>
      </c>
      <c r="AR55" s="178">
        <v>0</v>
      </c>
      <c r="AS55" s="178">
        <v>0</v>
      </c>
      <c r="AT55" s="168">
        <v>0</v>
      </c>
      <c r="AU55" s="169">
        <f t="shared" si="37"/>
        <v>0</v>
      </c>
      <c r="AV55" s="179">
        <f t="shared" si="38"/>
        <v>0</v>
      </c>
      <c r="AW55" s="180" t="e">
        <f t="shared" si="59"/>
        <v>#DIV/0!</v>
      </c>
      <c r="AX55" s="178" t="e">
        <f t="shared" si="59"/>
        <v>#DIV/0!</v>
      </c>
      <c r="AY55" s="178" t="e">
        <f t="shared" si="59"/>
        <v>#DIV/0!</v>
      </c>
      <c r="AZ55" s="178" t="e">
        <f t="shared" si="59"/>
        <v>#DIV/0!</v>
      </c>
      <c r="BA55" s="178" t="e">
        <f t="shared" si="59"/>
        <v>#DIV/0!</v>
      </c>
      <c r="BB55" s="178" t="e">
        <f t="shared" si="59"/>
        <v>#DIV/0!</v>
      </c>
      <c r="BC55" s="178" t="e">
        <f t="shared" si="59"/>
        <v>#DIV/0!</v>
      </c>
      <c r="BD55" s="178" t="e">
        <f t="shared" si="59"/>
        <v>#DIV/0!</v>
      </c>
      <c r="BE55" s="178" t="e">
        <f t="shared" si="59"/>
        <v>#DIV/0!</v>
      </c>
      <c r="BF55" s="178" t="e">
        <f t="shared" si="59"/>
        <v>#DIV/0!</v>
      </c>
      <c r="BG55" s="178" t="e">
        <f t="shared" si="59"/>
        <v>#DIV/0!</v>
      </c>
      <c r="BH55" s="168" t="e">
        <f t="shared" si="59"/>
        <v>#DIV/0!</v>
      </c>
      <c r="BI55" s="169">
        <v>0</v>
      </c>
      <c r="BJ55" s="179">
        <v>0</v>
      </c>
      <c r="BK55" s="180">
        <f t="shared" si="60"/>
        <v>0</v>
      </c>
      <c r="BL55" s="178">
        <f t="shared" si="60"/>
        <v>0</v>
      </c>
      <c r="BM55" s="178">
        <f t="shared" si="60"/>
        <v>0</v>
      </c>
      <c r="BN55" s="178">
        <f t="shared" si="60"/>
        <v>0</v>
      </c>
      <c r="BO55" s="178">
        <f t="shared" si="60"/>
        <v>0</v>
      </c>
      <c r="BP55" s="178">
        <f t="shared" si="60"/>
        <v>0</v>
      </c>
      <c r="BQ55" s="178">
        <f t="shared" si="60"/>
        <v>0</v>
      </c>
      <c r="BR55" s="178">
        <f t="shared" si="60"/>
        <v>0</v>
      </c>
      <c r="BS55" s="178">
        <f t="shared" si="60"/>
        <v>0</v>
      </c>
      <c r="BT55" s="178">
        <f t="shared" si="60"/>
        <v>0</v>
      </c>
      <c r="BU55" s="178">
        <f t="shared" si="60"/>
        <v>0</v>
      </c>
      <c r="BV55" s="168">
        <f t="shared" si="60"/>
        <v>0</v>
      </c>
      <c r="BW55" s="169">
        <f t="shared" si="43"/>
        <v>0</v>
      </c>
      <c r="BX55" s="179">
        <f t="shared" si="44"/>
        <v>0</v>
      </c>
      <c r="BY55" s="180">
        <f t="shared" si="61"/>
        <v>0</v>
      </c>
      <c r="BZ55" s="178">
        <f t="shared" si="61"/>
        <v>0</v>
      </c>
      <c r="CA55" s="178">
        <f t="shared" si="61"/>
        <v>0</v>
      </c>
      <c r="CB55" s="178">
        <f t="shared" si="61"/>
        <v>0</v>
      </c>
      <c r="CC55" s="178">
        <f t="shared" si="61"/>
        <v>0</v>
      </c>
      <c r="CD55" s="178">
        <f t="shared" si="61"/>
        <v>0</v>
      </c>
      <c r="CE55" s="178">
        <f t="shared" si="61"/>
        <v>0</v>
      </c>
      <c r="CF55" s="178">
        <f t="shared" si="61"/>
        <v>0</v>
      </c>
      <c r="CG55" s="178">
        <f t="shared" si="61"/>
        <v>0</v>
      </c>
      <c r="CH55" s="178">
        <f t="shared" si="61"/>
        <v>0</v>
      </c>
      <c r="CI55" s="178">
        <f t="shared" si="61"/>
        <v>0</v>
      </c>
      <c r="CJ55" s="168">
        <f t="shared" si="61"/>
        <v>0</v>
      </c>
      <c r="CK55" s="169">
        <f t="shared" si="46"/>
        <v>0</v>
      </c>
      <c r="CL55" s="179">
        <f t="shared" si="47"/>
        <v>0</v>
      </c>
      <c r="CM55" s="180">
        <f t="shared" si="62"/>
        <v>0</v>
      </c>
      <c r="CN55" s="178">
        <f t="shared" si="62"/>
        <v>0</v>
      </c>
      <c r="CO55" s="178">
        <f t="shared" si="62"/>
        <v>0</v>
      </c>
      <c r="CP55" s="178">
        <f t="shared" si="62"/>
        <v>0</v>
      </c>
      <c r="CQ55" s="178">
        <f t="shared" si="62"/>
        <v>0</v>
      </c>
      <c r="CR55" s="178">
        <f t="shared" si="62"/>
        <v>0</v>
      </c>
      <c r="CS55" s="178">
        <f t="shared" si="62"/>
        <v>0</v>
      </c>
      <c r="CT55" s="178">
        <f t="shared" si="62"/>
        <v>0</v>
      </c>
      <c r="CU55" s="178">
        <f t="shared" si="62"/>
        <v>0</v>
      </c>
      <c r="CV55" s="178">
        <f t="shared" si="62"/>
        <v>0</v>
      </c>
      <c r="CW55" s="178">
        <f t="shared" si="62"/>
        <v>0</v>
      </c>
      <c r="CX55" s="168">
        <f t="shared" si="62"/>
        <v>0</v>
      </c>
      <c r="CY55" s="169">
        <f t="shared" si="49"/>
        <v>0</v>
      </c>
      <c r="CZ55" s="179">
        <f t="shared" si="50"/>
        <v>0</v>
      </c>
      <c r="DA55" s="180">
        <f t="shared" si="63"/>
        <v>0</v>
      </c>
      <c r="DB55" s="178">
        <f t="shared" si="63"/>
        <v>0</v>
      </c>
      <c r="DC55" s="178">
        <f t="shared" si="63"/>
        <v>0</v>
      </c>
      <c r="DD55" s="178">
        <f t="shared" si="63"/>
        <v>0</v>
      </c>
      <c r="DE55" s="178">
        <f t="shared" si="63"/>
        <v>0</v>
      </c>
      <c r="DF55" s="178">
        <f t="shared" si="63"/>
        <v>0</v>
      </c>
      <c r="DG55" s="178">
        <f t="shared" si="63"/>
        <v>0</v>
      </c>
      <c r="DH55" s="178">
        <f t="shared" si="63"/>
        <v>0</v>
      </c>
      <c r="DI55" s="178">
        <f t="shared" si="63"/>
        <v>0</v>
      </c>
      <c r="DJ55" s="178">
        <f t="shared" si="63"/>
        <v>0</v>
      </c>
      <c r="DK55" s="178">
        <f t="shared" si="63"/>
        <v>0</v>
      </c>
      <c r="DL55" s="168">
        <f t="shared" si="63"/>
        <v>0</v>
      </c>
      <c r="DM55" s="169">
        <f t="shared" si="52"/>
        <v>0</v>
      </c>
      <c r="DN55" s="171">
        <f t="shared" si="53"/>
        <v>0</v>
      </c>
      <c r="DO55" s="180">
        <f t="shared" si="64"/>
        <v>0</v>
      </c>
      <c r="DP55" s="178">
        <f t="shared" si="64"/>
        <v>0</v>
      </c>
      <c r="DQ55" s="178">
        <f t="shared" si="64"/>
        <v>0</v>
      </c>
      <c r="DR55" s="178">
        <f t="shared" si="64"/>
        <v>0</v>
      </c>
      <c r="DS55" s="178">
        <f t="shared" si="64"/>
        <v>0</v>
      </c>
      <c r="DT55" s="178">
        <f t="shared" si="64"/>
        <v>0</v>
      </c>
      <c r="DU55" s="178">
        <f t="shared" si="64"/>
        <v>0</v>
      </c>
      <c r="DV55" s="178">
        <f t="shared" si="64"/>
        <v>0</v>
      </c>
      <c r="DW55" s="178">
        <f t="shared" si="64"/>
        <v>0</v>
      </c>
      <c r="DX55" s="178">
        <f t="shared" si="64"/>
        <v>0</v>
      </c>
      <c r="DY55" s="178">
        <f t="shared" si="64"/>
        <v>0</v>
      </c>
      <c r="DZ55" s="168">
        <f t="shared" si="64"/>
        <v>0</v>
      </c>
      <c r="EA55" s="169">
        <f t="shared" si="55"/>
        <v>0</v>
      </c>
      <c r="EB55" s="171">
        <f t="shared" si="56"/>
        <v>0</v>
      </c>
    </row>
    <row r="56" spans="1:132" s="177" customFormat="1" ht="15.75">
      <c r="A56" s="163">
        <v>43831</v>
      </c>
      <c r="B56" s="407" t="s">
        <v>88</v>
      </c>
      <c r="C56" s="406" t="s">
        <v>293</v>
      </c>
      <c r="D56" s="405">
        <v>10000</v>
      </c>
      <c r="E56" s="167"/>
      <c r="F56" s="168" t="e">
        <f t="shared" si="20"/>
        <v>#DIV/0!</v>
      </c>
      <c r="G56" s="169" t="e">
        <f t="shared" si="65"/>
        <v>#DIV/0!</v>
      </c>
      <c r="H56" s="178" t="e">
        <f t="shared" si="65"/>
        <v>#DIV/0!</v>
      </c>
      <c r="I56" s="178" t="e">
        <f t="shared" si="65"/>
        <v>#DIV/0!</v>
      </c>
      <c r="J56" s="178" t="e">
        <f t="shared" si="65"/>
        <v>#DIV/0!</v>
      </c>
      <c r="K56" s="178" t="e">
        <f t="shared" si="65"/>
        <v>#DIV/0!</v>
      </c>
      <c r="L56" s="178" t="e">
        <f t="shared" si="65"/>
        <v>#DIV/0!</v>
      </c>
      <c r="M56" s="178" t="e">
        <f t="shared" si="65"/>
        <v>#DIV/0!</v>
      </c>
      <c r="N56" s="178" t="e">
        <f t="shared" si="65"/>
        <v>#DIV/0!</v>
      </c>
      <c r="O56" s="178" t="e">
        <f t="shared" si="65"/>
        <v>#DIV/0!</v>
      </c>
      <c r="P56" s="178" t="e">
        <f t="shared" si="65"/>
        <v>#DIV/0!</v>
      </c>
      <c r="Q56" s="178" t="e">
        <f t="shared" si="65"/>
        <v>#DIV/0!</v>
      </c>
      <c r="R56" s="179" t="e">
        <f t="shared" si="65"/>
        <v>#DIV/0!</v>
      </c>
      <c r="S56" s="169" t="e">
        <f t="shared" si="31"/>
        <v>#DIV/0!</v>
      </c>
      <c r="T56" s="179" t="e">
        <f t="shared" si="32"/>
        <v>#DIV/0!</v>
      </c>
      <c r="U56" s="180" t="e">
        <f t="shared" si="57"/>
        <v>#DIV/0!</v>
      </c>
      <c r="V56" s="178" t="e">
        <f t="shared" si="57"/>
        <v>#DIV/0!</v>
      </c>
      <c r="W56" s="178" t="e">
        <f t="shared" si="57"/>
        <v>#DIV/0!</v>
      </c>
      <c r="X56" s="178" t="e">
        <f t="shared" si="57"/>
        <v>#DIV/0!</v>
      </c>
      <c r="Y56" s="178" t="e">
        <f t="shared" si="57"/>
        <v>#DIV/0!</v>
      </c>
      <c r="Z56" s="178" t="e">
        <f t="shared" si="57"/>
        <v>#DIV/0!</v>
      </c>
      <c r="AA56" s="178" t="e">
        <f t="shared" si="57"/>
        <v>#DIV/0!</v>
      </c>
      <c r="AB56" s="178" t="e">
        <f t="shared" si="57"/>
        <v>#DIV/0!</v>
      </c>
      <c r="AC56" s="178" t="e">
        <f t="shared" si="57"/>
        <v>#DIV/0!</v>
      </c>
      <c r="AD56" s="178" t="e">
        <f t="shared" si="57"/>
        <v>#DIV/0!</v>
      </c>
      <c r="AE56" s="178" t="e">
        <f t="shared" si="57"/>
        <v>#DIV/0!</v>
      </c>
      <c r="AF56" s="168" t="e">
        <f t="shared" si="57"/>
        <v>#DIV/0!</v>
      </c>
      <c r="AG56" s="169" t="e">
        <f t="shared" si="34"/>
        <v>#DIV/0!</v>
      </c>
      <c r="AH56" s="179" t="e">
        <f t="shared" si="35"/>
        <v>#DIV/0!</v>
      </c>
      <c r="AI56" s="180" t="e">
        <f t="shared" si="58"/>
        <v>#DIV/0!</v>
      </c>
      <c r="AJ56" s="178" t="e">
        <f t="shared" si="58"/>
        <v>#DIV/0!</v>
      </c>
      <c r="AK56" s="178" t="e">
        <f t="shared" si="58"/>
        <v>#DIV/0!</v>
      </c>
      <c r="AL56" s="178" t="e">
        <f t="shared" si="58"/>
        <v>#DIV/0!</v>
      </c>
      <c r="AM56" s="178" t="e">
        <f t="shared" si="58"/>
        <v>#DIV/0!</v>
      </c>
      <c r="AN56" s="178" t="e">
        <f t="shared" si="58"/>
        <v>#DIV/0!</v>
      </c>
      <c r="AO56" s="178" t="e">
        <f t="shared" si="58"/>
        <v>#DIV/0!</v>
      </c>
      <c r="AP56" s="178" t="e">
        <f t="shared" si="58"/>
        <v>#DIV/0!</v>
      </c>
      <c r="AQ56" s="178" t="e">
        <f t="shared" si="58"/>
        <v>#DIV/0!</v>
      </c>
      <c r="AR56" s="178" t="e">
        <f t="shared" si="58"/>
        <v>#DIV/0!</v>
      </c>
      <c r="AS56" s="178" t="e">
        <f t="shared" si="58"/>
        <v>#DIV/0!</v>
      </c>
      <c r="AT56" s="168" t="e">
        <f t="shared" si="58"/>
        <v>#DIV/0!</v>
      </c>
      <c r="AU56" s="169" t="e">
        <f t="shared" si="37"/>
        <v>#DIV/0!</v>
      </c>
      <c r="AV56" s="179" t="e">
        <f t="shared" si="38"/>
        <v>#DIV/0!</v>
      </c>
      <c r="AW56" s="180" t="e">
        <f t="shared" si="59"/>
        <v>#DIV/0!</v>
      </c>
      <c r="AX56" s="178" t="e">
        <f t="shared" si="59"/>
        <v>#DIV/0!</v>
      </c>
      <c r="AY56" s="178" t="e">
        <f t="shared" si="59"/>
        <v>#DIV/0!</v>
      </c>
      <c r="AZ56" s="178" t="e">
        <f t="shared" si="59"/>
        <v>#DIV/0!</v>
      </c>
      <c r="BA56" s="178" t="e">
        <f t="shared" si="59"/>
        <v>#DIV/0!</v>
      </c>
      <c r="BB56" s="178" t="e">
        <f t="shared" si="59"/>
        <v>#DIV/0!</v>
      </c>
      <c r="BC56" s="178" t="e">
        <f t="shared" si="59"/>
        <v>#DIV/0!</v>
      </c>
      <c r="BD56" s="178" t="e">
        <f t="shared" si="59"/>
        <v>#DIV/0!</v>
      </c>
      <c r="BE56" s="178" t="e">
        <f t="shared" si="59"/>
        <v>#DIV/0!</v>
      </c>
      <c r="BF56" s="178" t="e">
        <f t="shared" si="59"/>
        <v>#DIV/0!</v>
      </c>
      <c r="BG56" s="178" t="e">
        <f t="shared" si="59"/>
        <v>#DIV/0!</v>
      </c>
      <c r="BH56" s="168" t="e">
        <f t="shared" si="59"/>
        <v>#DIV/0!</v>
      </c>
      <c r="BI56" s="169" t="e">
        <f t="shared" si="40"/>
        <v>#DIV/0!</v>
      </c>
      <c r="BJ56" s="179" t="e">
        <f t="shared" si="41"/>
        <v>#DIV/0!</v>
      </c>
      <c r="BK56" s="180" t="e">
        <f t="shared" si="60"/>
        <v>#DIV/0!</v>
      </c>
      <c r="BL56" s="178" t="e">
        <f t="shared" si="60"/>
        <v>#DIV/0!</v>
      </c>
      <c r="BM56" s="178" t="e">
        <f t="shared" si="60"/>
        <v>#DIV/0!</v>
      </c>
      <c r="BN56" s="178" t="e">
        <f t="shared" si="60"/>
        <v>#DIV/0!</v>
      </c>
      <c r="BO56" s="178" t="e">
        <f t="shared" si="60"/>
        <v>#DIV/0!</v>
      </c>
      <c r="BP56" s="178" t="e">
        <f t="shared" si="60"/>
        <v>#DIV/0!</v>
      </c>
      <c r="BQ56" s="178" t="e">
        <f t="shared" si="60"/>
        <v>#DIV/0!</v>
      </c>
      <c r="BR56" s="178" t="e">
        <f t="shared" si="60"/>
        <v>#DIV/0!</v>
      </c>
      <c r="BS56" s="178" t="e">
        <f t="shared" si="60"/>
        <v>#DIV/0!</v>
      </c>
      <c r="BT56" s="178" t="e">
        <f t="shared" si="60"/>
        <v>#DIV/0!</v>
      </c>
      <c r="BU56" s="178" t="e">
        <f t="shared" si="60"/>
        <v>#DIV/0!</v>
      </c>
      <c r="BV56" s="168" t="e">
        <f t="shared" si="60"/>
        <v>#DIV/0!</v>
      </c>
      <c r="BW56" s="169" t="e">
        <f t="shared" si="43"/>
        <v>#DIV/0!</v>
      </c>
      <c r="BX56" s="179" t="e">
        <f t="shared" si="44"/>
        <v>#DIV/0!</v>
      </c>
      <c r="BY56" s="180" t="e">
        <f t="shared" si="61"/>
        <v>#DIV/0!</v>
      </c>
      <c r="BZ56" s="178" t="e">
        <f t="shared" si="61"/>
        <v>#DIV/0!</v>
      </c>
      <c r="CA56" s="178" t="e">
        <f t="shared" si="61"/>
        <v>#DIV/0!</v>
      </c>
      <c r="CB56" s="178" t="e">
        <f t="shared" si="61"/>
        <v>#DIV/0!</v>
      </c>
      <c r="CC56" s="178" t="e">
        <f t="shared" si="61"/>
        <v>#DIV/0!</v>
      </c>
      <c r="CD56" s="178" t="e">
        <f t="shared" si="61"/>
        <v>#DIV/0!</v>
      </c>
      <c r="CE56" s="178" t="e">
        <f t="shared" si="61"/>
        <v>#DIV/0!</v>
      </c>
      <c r="CF56" s="178" t="e">
        <f t="shared" si="61"/>
        <v>#DIV/0!</v>
      </c>
      <c r="CG56" s="178" t="e">
        <f t="shared" si="61"/>
        <v>#DIV/0!</v>
      </c>
      <c r="CH56" s="178" t="e">
        <f t="shared" si="61"/>
        <v>#DIV/0!</v>
      </c>
      <c r="CI56" s="178" t="e">
        <f t="shared" si="61"/>
        <v>#DIV/0!</v>
      </c>
      <c r="CJ56" s="168" t="e">
        <f t="shared" si="61"/>
        <v>#DIV/0!</v>
      </c>
      <c r="CK56" s="169" t="e">
        <f t="shared" si="46"/>
        <v>#DIV/0!</v>
      </c>
      <c r="CL56" s="179" t="e">
        <f t="shared" si="47"/>
        <v>#DIV/0!</v>
      </c>
      <c r="CM56" s="180" t="e">
        <f t="shared" si="62"/>
        <v>#DIV/0!</v>
      </c>
      <c r="CN56" s="178" t="e">
        <f t="shared" si="62"/>
        <v>#DIV/0!</v>
      </c>
      <c r="CO56" s="178" t="e">
        <f t="shared" si="62"/>
        <v>#DIV/0!</v>
      </c>
      <c r="CP56" s="178" t="e">
        <f t="shared" si="62"/>
        <v>#DIV/0!</v>
      </c>
      <c r="CQ56" s="178" t="e">
        <f t="shared" si="62"/>
        <v>#DIV/0!</v>
      </c>
      <c r="CR56" s="178" t="e">
        <f t="shared" si="62"/>
        <v>#DIV/0!</v>
      </c>
      <c r="CS56" s="178" t="e">
        <f t="shared" si="62"/>
        <v>#DIV/0!</v>
      </c>
      <c r="CT56" s="178" t="e">
        <f t="shared" si="62"/>
        <v>#DIV/0!</v>
      </c>
      <c r="CU56" s="178" t="e">
        <f t="shared" si="62"/>
        <v>#DIV/0!</v>
      </c>
      <c r="CV56" s="178" t="e">
        <f t="shared" si="62"/>
        <v>#DIV/0!</v>
      </c>
      <c r="CW56" s="178" t="e">
        <f t="shared" si="62"/>
        <v>#DIV/0!</v>
      </c>
      <c r="CX56" s="168" t="e">
        <f t="shared" si="62"/>
        <v>#DIV/0!</v>
      </c>
      <c r="CY56" s="169" t="e">
        <f t="shared" si="49"/>
        <v>#DIV/0!</v>
      </c>
      <c r="CZ56" s="179" t="e">
        <f t="shared" si="50"/>
        <v>#DIV/0!</v>
      </c>
      <c r="DA56" s="180" t="e">
        <f t="shared" si="63"/>
        <v>#DIV/0!</v>
      </c>
      <c r="DB56" s="178" t="e">
        <f t="shared" si="63"/>
        <v>#DIV/0!</v>
      </c>
      <c r="DC56" s="178" t="e">
        <f t="shared" si="63"/>
        <v>#DIV/0!</v>
      </c>
      <c r="DD56" s="178" t="e">
        <f t="shared" si="63"/>
        <v>#DIV/0!</v>
      </c>
      <c r="DE56" s="178" t="e">
        <f t="shared" si="63"/>
        <v>#DIV/0!</v>
      </c>
      <c r="DF56" s="178" t="e">
        <f t="shared" si="63"/>
        <v>#DIV/0!</v>
      </c>
      <c r="DG56" s="178" t="e">
        <f t="shared" si="63"/>
        <v>#DIV/0!</v>
      </c>
      <c r="DH56" s="178" t="e">
        <f t="shared" si="63"/>
        <v>#DIV/0!</v>
      </c>
      <c r="DI56" s="178" t="e">
        <f t="shared" si="63"/>
        <v>#DIV/0!</v>
      </c>
      <c r="DJ56" s="178" t="e">
        <f t="shared" si="63"/>
        <v>#DIV/0!</v>
      </c>
      <c r="DK56" s="178" t="e">
        <f t="shared" si="63"/>
        <v>#DIV/0!</v>
      </c>
      <c r="DL56" s="168" t="e">
        <f t="shared" si="63"/>
        <v>#DIV/0!</v>
      </c>
      <c r="DM56" s="169" t="e">
        <f t="shared" si="52"/>
        <v>#DIV/0!</v>
      </c>
      <c r="DN56" s="171" t="e">
        <f t="shared" si="53"/>
        <v>#DIV/0!</v>
      </c>
      <c r="DO56" s="180" t="e">
        <f t="shared" si="64"/>
        <v>#DIV/0!</v>
      </c>
      <c r="DP56" s="178" t="e">
        <f t="shared" si="64"/>
        <v>#DIV/0!</v>
      </c>
      <c r="DQ56" s="178" t="e">
        <f t="shared" si="64"/>
        <v>#DIV/0!</v>
      </c>
      <c r="DR56" s="178" t="e">
        <f t="shared" si="64"/>
        <v>#DIV/0!</v>
      </c>
      <c r="DS56" s="178" t="e">
        <f t="shared" si="64"/>
        <v>#DIV/0!</v>
      </c>
      <c r="DT56" s="178" t="e">
        <f t="shared" si="64"/>
        <v>#DIV/0!</v>
      </c>
      <c r="DU56" s="178" t="e">
        <f t="shared" si="64"/>
        <v>#DIV/0!</v>
      </c>
      <c r="DV56" s="178" t="e">
        <f t="shared" si="64"/>
        <v>#DIV/0!</v>
      </c>
      <c r="DW56" s="178" t="e">
        <f t="shared" si="64"/>
        <v>#DIV/0!</v>
      </c>
      <c r="DX56" s="178" t="e">
        <f t="shared" si="64"/>
        <v>#DIV/0!</v>
      </c>
      <c r="DY56" s="178" t="e">
        <f t="shared" si="64"/>
        <v>#DIV/0!</v>
      </c>
      <c r="DZ56" s="168" t="e">
        <f t="shared" si="64"/>
        <v>#DIV/0!</v>
      </c>
      <c r="EA56" s="169" t="e">
        <f t="shared" si="55"/>
        <v>#DIV/0!</v>
      </c>
      <c r="EB56" s="171" t="e">
        <f t="shared" si="56"/>
        <v>#DIV/0!</v>
      </c>
    </row>
    <row r="57" spans="1:132" s="177" customFormat="1" ht="15.75">
      <c r="A57" s="163">
        <v>43831</v>
      </c>
      <c r="B57" s="407" t="s">
        <v>88</v>
      </c>
      <c r="C57" s="408" t="s">
        <v>294</v>
      </c>
      <c r="D57" s="405">
        <v>10000</v>
      </c>
      <c r="E57" s="167"/>
      <c r="F57" s="168" t="e">
        <f t="shared" si="20"/>
        <v>#DIV/0!</v>
      </c>
      <c r="G57" s="169" t="e">
        <f t="shared" si="65"/>
        <v>#DIV/0!</v>
      </c>
      <c r="H57" s="178" t="e">
        <f t="shared" si="65"/>
        <v>#DIV/0!</v>
      </c>
      <c r="I57" s="178" t="e">
        <f t="shared" si="65"/>
        <v>#DIV/0!</v>
      </c>
      <c r="J57" s="178" t="e">
        <f t="shared" si="65"/>
        <v>#DIV/0!</v>
      </c>
      <c r="K57" s="178" t="e">
        <f t="shared" si="65"/>
        <v>#DIV/0!</v>
      </c>
      <c r="L57" s="178" t="e">
        <f t="shared" si="65"/>
        <v>#DIV/0!</v>
      </c>
      <c r="M57" s="178" t="e">
        <f t="shared" si="65"/>
        <v>#DIV/0!</v>
      </c>
      <c r="N57" s="178" t="e">
        <f t="shared" si="65"/>
        <v>#DIV/0!</v>
      </c>
      <c r="O57" s="178" t="e">
        <f t="shared" si="65"/>
        <v>#DIV/0!</v>
      </c>
      <c r="P57" s="178" t="e">
        <f t="shared" si="65"/>
        <v>#DIV/0!</v>
      </c>
      <c r="Q57" s="178" t="e">
        <f t="shared" si="65"/>
        <v>#DIV/0!</v>
      </c>
      <c r="R57" s="179" t="e">
        <f t="shared" si="65"/>
        <v>#DIV/0!</v>
      </c>
      <c r="S57" s="169" t="e">
        <f t="shared" si="31"/>
        <v>#DIV/0!</v>
      </c>
      <c r="T57" s="179" t="e">
        <f t="shared" si="32"/>
        <v>#DIV/0!</v>
      </c>
      <c r="U57" s="180" t="e">
        <f t="shared" si="57"/>
        <v>#DIV/0!</v>
      </c>
      <c r="V57" s="178" t="e">
        <f t="shared" si="57"/>
        <v>#DIV/0!</v>
      </c>
      <c r="W57" s="178" t="e">
        <f t="shared" si="57"/>
        <v>#DIV/0!</v>
      </c>
      <c r="X57" s="178" t="e">
        <f t="shared" si="57"/>
        <v>#DIV/0!</v>
      </c>
      <c r="Y57" s="178" t="e">
        <f t="shared" si="57"/>
        <v>#DIV/0!</v>
      </c>
      <c r="Z57" s="178" t="e">
        <f t="shared" si="57"/>
        <v>#DIV/0!</v>
      </c>
      <c r="AA57" s="178" t="e">
        <f t="shared" si="57"/>
        <v>#DIV/0!</v>
      </c>
      <c r="AB57" s="178" t="e">
        <f t="shared" si="57"/>
        <v>#DIV/0!</v>
      </c>
      <c r="AC57" s="178" t="e">
        <f t="shared" si="57"/>
        <v>#DIV/0!</v>
      </c>
      <c r="AD57" s="178" t="e">
        <f t="shared" si="57"/>
        <v>#DIV/0!</v>
      </c>
      <c r="AE57" s="178" t="e">
        <f t="shared" si="57"/>
        <v>#DIV/0!</v>
      </c>
      <c r="AF57" s="168" t="e">
        <f t="shared" si="57"/>
        <v>#DIV/0!</v>
      </c>
      <c r="AG57" s="169" t="e">
        <f t="shared" si="34"/>
        <v>#DIV/0!</v>
      </c>
      <c r="AH57" s="179" t="e">
        <f t="shared" si="35"/>
        <v>#DIV/0!</v>
      </c>
      <c r="AI57" s="180" t="e">
        <f t="shared" si="58"/>
        <v>#DIV/0!</v>
      </c>
      <c r="AJ57" s="178" t="e">
        <f t="shared" si="58"/>
        <v>#DIV/0!</v>
      </c>
      <c r="AK57" s="178" t="e">
        <f t="shared" si="58"/>
        <v>#DIV/0!</v>
      </c>
      <c r="AL57" s="178" t="e">
        <f t="shared" si="58"/>
        <v>#DIV/0!</v>
      </c>
      <c r="AM57" s="178" t="e">
        <f t="shared" si="58"/>
        <v>#DIV/0!</v>
      </c>
      <c r="AN57" s="178" t="e">
        <f t="shared" si="58"/>
        <v>#DIV/0!</v>
      </c>
      <c r="AO57" s="178" t="e">
        <f t="shared" si="58"/>
        <v>#DIV/0!</v>
      </c>
      <c r="AP57" s="178" t="e">
        <f t="shared" si="58"/>
        <v>#DIV/0!</v>
      </c>
      <c r="AQ57" s="178" t="e">
        <f t="shared" si="58"/>
        <v>#DIV/0!</v>
      </c>
      <c r="AR57" s="178" t="e">
        <f t="shared" si="58"/>
        <v>#DIV/0!</v>
      </c>
      <c r="AS57" s="178" t="e">
        <f t="shared" si="58"/>
        <v>#DIV/0!</v>
      </c>
      <c r="AT57" s="168" t="e">
        <f t="shared" si="58"/>
        <v>#DIV/0!</v>
      </c>
      <c r="AU57" s="169" t="e">
        <f t="shared" si="37"/>
        <v>#DIV/0!</v>
      </c>
      <c r="AV57" s="179" t="e">
        <f t="shared" si="38"/>
        <v>#DIV/0!</v>
      </c>
      <c r="AW57" s="180" t="e">
        <f t="shared" si="59"/>
        <v>#DIV/0!</v>
      </c>
      <c r="AX57" s="178" t="e">
        <f t="shared" si="59"/>
        <v>#DIV/0!</v>
      </c>
      <c r="AY57" s="178" t="e">
        <f t="shared" si="59"/>
        <v>#DIV/0!</v>
      </c>
      <c r="AZ57" s="178" t="e">
        <f t="shared" si="59"/>
        <v>#DIV/0!</v>
      </c>
      <c r="BA57" s="178" t="e">
        <f t="shared" si="59"/>
        <v>#DIV/0!</v>
      </c>
      <c r="BB57" s="178" t="e">
        <f t="shared" si="59"/>
        <v>#DIV/0!</v>
      </c>
      <c r="BC57" s="178" t="e">
        <f t="shared" si="59"/>
        <v>#DIV/0!</v>
      </c>
      <c r="BD57" s="178" t="e">
        <f t="shared" si="59"/>
        <v>#DIV/0!</v>
      </c>
      <c r="BE57" s="178" t="e">
        <f t="shared" si="59"/>
        <v>#DIV/0!</v>
      </c>
      <c r="BF57" s="178" t="e">
        <f t="shared" si="59"/>
        <v>#DIV/0!</v>
      </c>
      <c r="BG57" s="178" t="e">
        <f t="shared" si="59"/>
        <v>#DIV/0!</v>
      </c>
      <c r="BH57" s="168" t="e">
        <f t="shared" si="59"/>
        <v>#DIV/0!</v>
      </c>
      <c r="BI57" s="169" t="e">
        <f t="shared" si="40"/>
        <v>#DIV/0!</v>
      </c>
      <c r="BJ57" s="179" t="e">
        <f t="shared" si="41"/>
        <v>#DIV/0!</v>
      </c>
      <c r="BK57" s="180" t="e">
        <f t="shared" si="60"/>
        <v>#DIV/0!</v>
      </c>
      <c r="BL57" s="178" t="e">
        <f t="shared" si="60"/>
        <v>#DIV/0!</v>
      </c>
      <c r="BM57" s="178" t="e">
        <f t="shared" si="60"/>
        <v>#DIV/0!</v>
      </c>
      <c r="BN57" s="178" t="e">
        <f t="shared" si="60"/>
        <v>#DIV/0!</v>
      </c>
      <c r="BO57" s="178" t="e">
        <f t="shared" si="60"/>
        <v>#DIV/0!</v>
      </c>
      <c r="BP57" s="178" t="e">
        <f t="shared" si="60"/>
        <v>#DIV/0!</v>
      </c>
      <c r="BQ57" s="178" t="e">
        <f t="shared" si="60"/>
        <v>#DIV/0!</v>
      </c>
      <c r="BR57" s="178" t="e">
        <f t="shared" si="60"/>
        <v>#DIV/0!</v>
      </c>
      <c r="BS57" s="178" t="e">
        <f t="shared" si="60"/>
        <v>#DIV/0!</v>
      </c>
      <c r="BT57" s="178" t="e">
        <f t="shared" si="60"/>
        <v>#DIV/0!</v>
      </c>
      <c r="BU57" s="178" t="e">
        <f t="shared" si="60"/>
        <v>#DIV/0!</v>
      </c>
      <c r="BV57" s="168" t="e">
        <f t="shared" si="60"/>
        <v>#DIV/0!</v>
      </c>
      <c r="BW57" s="169" t="e">
        <f t="shared" si="43"/>
        <v>#DIV/0!</v>
      </c>
      <c r="BX57" s="179" t="e">
        <f t="shared" si="44"/>
        <v>#DIV/0!</v>
      </c>
      <c r="BY57" s="180" t="e">
        <f t="shared" si="61"/>
        <v>#DIV/0!</v>
      </c>
      <c r="BZ57" s="178" t="e">
        <f t="shared" si="61"/>
        <v>#DIV/0!</v>
      </c>
      <c r="CA57" s="178" t="e">
        <f t="shared" si="61"/>
        <v>#DIV/0!</v>
      </c>
      <c r="CB57" s="178" t="e">
        <f t="shared" si="61"/>
        <v>#DIV/0!</v>
      </c>
      <c r="CC57" s="178" t="e">
        <f t="shared" si="61"/>
        <v>#DIV/0!</v>
      </c>
      <c r="CD57" s="178" t="e">
        <f t="shared" si="61"/>
        <v>#DIV/0!</v>
      </c>
      <c r="CE57" s="178" t="e">
        <f t="shared" si="61"/>
        <v>#DIV/0!</v>
      </c>
      <c r="CF57" s="178" t="e">
        <f t="shared" si="61"/>
        <v>#DIV/0!</v>
      </c>
      <c r="CG57" s="178" t="e">
        <f t="shared" si="61"/>
        <v>#DIV/0!</v>
      </c>
      <c r="CH57" s="178" t="e">
        <f t="shared" si="61"/>
        <v>#DIV/0!</v>
      </c>
      <c r="CI57" s="178" t="e">
        <f t="shared" si="61"/>
        <v>#DIV/0!</v>
      </c>
      <c r="CJ57" s="168" t="e">
        <f t="shared" si="61"/>
        <v>#DIV/0!</v>
      </c>
      <c r="CK57" s="169" t="e">
        <f t="shared" si="46"/>
        <v>#DIV/0!</v>
      </c>
      <c r="CL57" s="179" t="e">
        <f t="shared" si="47"/>
        <v>#DIV/0!</v>
      </c>
      <c r="CM57" s="180" t="e">
        <f t="shared" si="62"/>
        <v>#DIV/0!</v>
      </c>
      <c r="CN57" s="178" t="e">
        <f t="shared" si="62"/>
        <v>#DIV/0!</v>
      </c>
      <c r="CO57" s="178" t="e">
        <f t="shared" si="62"/>
        <v>#DIV/0!</v>
      </c>
      <c r="CP57" s="178" t="e">
        <f t="shared" si="62"/>
        <v>#DIV/0!</v>
      </c>
      <c r="CQ57" s="178" t="e">
        <f t="shared" si="62"/>
        <v>#DIV/0!</v>
      </c>
      <c r="CR57" s="178" t="e">
        <f t="shared" si="62"/>
        <v>#DIV/0!</v>
      </c>
      <c r="CS57" s="178" t="e">
        <f t="shared" si="62"/>
        <v>#DIV/0!</v>
      </c>
      <c r="CT57" s="178" t="e">
        <f t="shared" si="62"/>
        <v>#DIV/0!</v>
      </c>
      <c r="CU57" s="178" t="e">
        <f t="shared" si="62"/>
        <v>#DIV/0!</v>
      </c>
      <c r="CV57" s="178" t="e">
        <f t="shared" si="62"/>
        <v>#DIV/0!</v>
      </c>
      <c r="CW57" s="178" t="e">
        <f t="shared" si="62"/>
        <v>#DIV/0!</v>
      </c>
      <c r="CX57" s="168" t="e">
        <f t="shared" si="62"/>
        <v>#DIV/0!</v>
      </c>
      <c r="CY57" s="169" t="e">
        <f t="shared" si="49"/>
        <v>#DIV/0!</v>
      </c>
      <c r="CZ57" s="179" t="e">
        <f t="shared" si="50"/>
        <v>#DIV/0!</v>
      </c>
      <c r="DA57" s="180" t="e">
        <f t="shared" si="63"/>
        <v>#DIV/0!</v>
      </c>
      <c r="DB57" s="178" t="e">
        <f t="shared" si="63"/>
        <v>#DIV/0!</v>
      </c>
      <c r="DC57" s="178" t="e">
        <f t="shared" si="63"/>
        <v>#DIV/0!</v>
      </c>
      <c r="DD57" s="178" t="e">
        <f t="shared" si="63"/>
        <v>#DIV/0!</v>
      </c>
      <c r="DE57" s="178" t="e">
        <f t="shared" si="63"/>
        <v>#DIV/0!</v>
      </c>
      <c r="DF57" s="178" t="e">
        <f t="shared" si="63"/>
        <v>#DIV/0!</v>
      </c>
      <c r="DG57" s="178" t="e">
        <f t="shared" si="63"/>
        <v>#DIV/0!</v>
      </c>
      <c r="DH57" s="178" t="e">
        <f t="shared" si="63"/>
        <v>#DIV/0!</v>
      </c>
      <c r="DI57" s="178" t="e">
        <f t="shared" si="63"/>
        <v>#DIV/0!</v>
      </c>
      <c r="DJ57" s="178" t="e">
        <f t="shared" si="63"/>
        <v>#DIV/0!</v>
      </c>
      <c r="DK57" s="178" t="e">
        <f t="shared" si="63"/>
        <v>#DIV/0!</v>
      </c>
      <c r="DL57" s="168" t="e">
        <f t="shared" si="63"/>
        <v>#DIV/0!</v>
      </c>
      <c r="DM57" s="169" t="e">
        <f t="shared" si="52"/>
        <v>#DIV/0!</v>
      </c>
      <c r="DN57" s="171" t="e">
        <f t="shared" si="53"/>
        <v>#DIV/0!</v>
      </c>
      <c r="DO57" s="180" t="e">
        <f t="shared" si="64"/>
        <v>#DIV/0!</v>
      </c>
      <c r="DP57" s="178" t="e">
        <f t="shared" si="64"/>
        <v>#DIV/0!</v>
      </c>
      <c r="DQ57" s="178" t="e">
        <f t="shared" si="64"/>
        <v>#DIV/0!</v>
      </c>
      <c r="DR57" s="178" t="e">
        <f t="shared" si="64"/>
        <v>#DIV/0!</v>
      </c>
      <c r="DS57" s="178" t="e">
        <f t="shared" si="64"/>
        <v>#DIV/0!</v>
      </c>
      <c r="DT57" s="178" t="e">
        <f t="shared" si="64"/>
        <v>#DIV/0!</v>
      </c>
      <c r="DU57" s="178" t="e">
        <f t="shared" si="64"/>
        <v>#DIV/0!</v>
      </c>
      <c r="DV57" s="178" t="e">
        <f t="shared" si="64"/>
        <v>#DIV/0!</v>
      </c>
      <c r="DW57" s="178" t="e">
        <f t="shared" si="64"/>
        <v>#DIV/0!</v>
      </c>
      <c r="DX57" s="178" t="e">
        <f t="shared" si="64"/>
        <v>#DIV/0!</v>
      </c>
      <c r="DY57" s="178" t="e">
        <f t="shared" si="64"/>
        <v>#DIV/0!</v>
      </c>
      <c r="DZ57" s="168" t="e">
        <f t="shared" si="64"/>
        <v>#DIV/0!</v>
      </c>
      <c r="EA57" s="169" t="e">
        <f t="shared" si="55"/>
        <v>#DIV/0!</v>
      </c>
      <c r="EB57" s="171" t="e">
        <f t="shared" si="56"/>
        <v>#DIV/0!</v>
      </c>
    </row>
    <row r="58" spans="1:132" s="177" customFormat="1" ht="15.75">
      <c r="A58" s="163">
        <v>43831</v>
      </c>
      <c r="B58" s="407" t="s">
        <v>91</v>
      </c>
      <c r="C58" s="408" t="s">
        <v>295</v>
      </c>
      <c r="D58" s="405">
        <v>10000</v>
      </c>
      <c r="E58" s="167"/>
      <c r="F58" s="168" t="e">
        <f t="shared" si="20"/>
        <v>#DIV/0!</v>
      </c>
      <c r="G58" s="169" t="e">
        <f t="shared" si="65"/>
        <v>#DIV/0!</v>
      </c>
      <c r="H58" s="178" t="e">
        <f t="shared" si="65"/>
        <v>#DIV/0!</v>
      </c>
      <c r="I58" s="178" t="e">
        <f t="shared" si="65"/>
        <v>#DIV/0!</v>
      </c>
      <c r="J58" s="178" t="e">
        <f t="shared" si="65"/>
        <v>#DIV/0!</v>
      </c>
      <c r="K58" s="178" t="e">
        <f t="shared" si="65"/>
        <v>#DIV/0!</v>
      </c>
      <c r="L58" s="178" t="e">
        <f t="shared" si="65"/>
        <v>#DIV/0!</v>
      </c>
      <c r="M58" s="178" t="e">
        <f t="shared" si="65"/>
        <v>#DIV/0!</v>
      </c>
      <c r="N58" s="178" t="e">
        <f t="shared" si="65"/>
        <v>#DIV/0!</v>
      </c>
      <c r="O58" s="178" t="e">
        <f t="shared" si="65"/>
        <v>#DIV/0!</v>
      </c>
      <c r="P58" s="178" t="e">
        <f t="shared" si="65"/>
        <v>#DIV/0!</v>
      </c>
      <c r="Q58" s="178" t="e">
        <f t="shared" si="65"/>
        <v>#DIV/0!</v>
      </c>
      <c r="R58" s="179" t="e">
        <f t="shared" si="65"/>
        <v>#DIV/0!</v>
      </c>
      <c r="S58" s="169" t="e">
        <f t="shared" si="31"/>
        <v>#DIV/0!</v>
      </c>
      <c r="T58" s="179" t="e">
        <f t="shared" si="32"/>
        <v>#DIV/0!</v>
      </c>
      <c r="U58" s="180" t="e">
        <f t="shared" si="57"/>
        <v>#DIV/0!</v>
      </c>
      <c r="V58" s="178" t="e">
        <f t="shared" si="57"/>
        <v>#DIV/0!</v>
      </c>
      <c r="W58" s="178" t="e">
        <f t="shared" si="57"/>
        <v>#DIV/0!</v>
      </c>
      <c r="X58" s="178" t="e">
        <f t="shared" si="57"/>
        <v>#DIV/0!</v>
      </c>
      <c r="Y58" s="178" t="e">
        <f t="shared" si="57"/>
        <v>#DIV/0!</v>
      </c>
      <c r="Z58" s="178" t="e">
        <f t="shared" si="57"/>
        <v>#DIV/0!</v>
      </c>
      <c r="AA58" s="178" t="e">
        <f t="shared" si="57"/>
        <v>#DIV/0!</v>
      </c>
      <c r="AB58" s="178" t="e">
        <f t="shared" si="57"/>
        <v>#DIV/0!</v>
      </c>
      <c r="AC58" s="178" t="e">
        <f t="shared" si="57"/>
        <v>#DIV/0!</v>
      </c>
      <c r="AD58" s="178" t="e">
        <f t="shared" si="57"/>
        <v>#DIV/0!</v>
      </c>
      <c r="AE58" s="178" t="e">
        <f t="shared" si="57"/>
        <v>#DIV/0!</v>
      </c>
      <c r="AF58" s="168" t="e">
        <f t="shared" si="57"/>
        <v>#DIV/0!</v>
      </c>
      <c r="AG58" s="169" t="e">
        <f t="shared" si="34"/>
        <v>#DIV/0!</v>
      </c>
      <c r="AH58" s="179" t="e">
        <f t="shared" si="35"/>
        <v>#DIV/0!</v>
      </c>
      <c r="AI58" s="180" t="e">
        <f t="shared" si="58"/>
        <v>#DIV/0!</v>
      </c>
      <c r="AJ58" s="178" t="e">
        <f t="shared" si="58"/>
        <v>#DIV/0!</v>
      </c>
      <c r="AK58" s="178" t="e">
        <f t="shared" si="58"/>
        <v>#DIV/0!</v>
      </c>
      <c r="AL58" s="178" t="e">
        <f t="shared" si="58"/>
        <v>#DIV/0!</v>
      </c>
      <c r="AM58" s="178" t="e">
        <f t="shared" si="58"/>
        <v>#DIV/0!</v>
      </c>
      <c r="AN58" s="178" t="e">
        <f t="shared" si="58"/>
        <v>#DIV/0!</v>
      </c>
      <c r="AO58" s="178" t="e">
        <f t="shared" si="58"/>
        <v>#DIV/0!</v>
      </c>
      <c r="AP58" s="178" t="e">
        <f t="shared" si="58"/>
        <v>#DIV/0!</v>
      </c>
      <c r="AQ58" s="178" t="e">
        <f t="shared" si="58"/>
        <v>#DIV/0!</v>
      </c>
      <c r="AR58" s="178" t="e">
        <f t="shared" si="58"/>
        <v>#DIV/0!</v>
      </c>
      <c r="AS58" s="178" t="e">
        <f t="shared" si="58"/>
        <v>#DIV/0!</v>
      </c>
      <c r="AT58" s="168" t="e">
        <f t="shared" si="58"/>
        <v>#DIV/0!</v>
      </c>
      <c r="AU58" s="169" t="e">
        <f t="shared" si="37"/>
        <v>#DIV/0!</v>
      </c>
      <c r="AV58" s="179" t="e">
        <f t="shared" si="38"/>
        <v>#DIV/0!</v>
      </c>
      <c r="AW58" s="180" t="e">
        <f t="shared" si="59"/>
        <v>#DIV/0!</v>
      </c>
      <c r="AX58" s="178" t="e">
        <f t="shared" si="59"/>
        <v>#DIV/0!</v>
      </c>
      <c r="AY58" s="178" t="e">
        <f t="shared" si="59"/>
        <v>#DIV/0!</v>
      </c>
      <c r="AZ58" s="178" t="e">
        <f t="shared" si="59"/>
        <v>#DIV/0!</v>
      </c>
      <c r="BA58" s="178" t="e">
        <f t="shared" si="59"/>
        <v>#DIV/0!</v>
      </c>
      <c r="BB58" s="178" t="e">
        <f t="shared" si="59"/>
        <v>#DIV/0!</v>
      </c>
      <c r="BC58" s="178" t="e">
        <f t="shared" si="59"/>
        <v>#DIV/0!</v>
      </c>
      <c r="BD58" s="178" t="e">
        <f t="shared" si="59"/>
        <v>#DIV/0!</v>
      </c>
      <c r="BE58" s="178" t="e">
        <f t="shared" si="59"/>
        <v>#DIV/0!</v>
      </c>
      <c r="BF58" s="178" t="e">
        <f t="shared" si="59"/>
        <v>#DIV/0!</v>
      </c>
      <c r="BG58" s="178" t="e">
        <f t="shared" si="59"/>
        <v>#DIV/0!</v>
      </c>
      <c r="BH58" s="168" t="e">
        <f t="shared" si="59"/>
        <v>#DIV/0!</v>
      </c>
      <c r="BI58" s="169" t="e">
        <f t="shared" si="40"/>
        <v>#DIV/0!</v>
      </c>
      <c r="BJ58" s="179" t="e">
        <f t="shared" si="41"/>
        <v>#DIV/0!</v>
      </c>
      <c r="BK58" s="180" t="e">
        <f t="shared" si="60"/>
        <v>#DIV/0!</v>
      </c>
      <c r="BL58" s="178" t="e">
        <f t="shared" si="60"/>
        <v>#DIV/0!</v>
      </c>
      <c r="BM58" s="178" t="e">
        <f t="shared" si="60"/>
        <v>#DIV/0!</v>
      </c>
      <c r="BN58" s="178" t="e">
        <f t="shared" si="60"/>
        <v>#DIV/0!</v>
      </c>
      <c r="BO58" s="178" t="e">
        <f t="shared" si="60"/>
        <v>#DIV/0!</v>
      </c>
      <c r="BP58" s="178" t="e">
        <f t="shared" si="60"/>
        <v>#DIV/0!</v>
      </c>
      <c r="BQ58" s="178" t="e">
        <f t="shared" si="60"/>
        <v>#DIV/0!</v>
      </c>
      <c r="BR58" s="178" t="e">
        <f t="shared" si="60"/>
        <v>#DIV/0!</v>
      </c>
      <c r="BS58" s="178" t="e">
        <f t="shared" si="60"/>
        <v>#DIV/0!</v>
      </c>
      <c r="BT58" s="178" t="e">
        <f t="shared" si="60"/>
        <v>#DIV/0!</v>
      </c>
      <c r="BU58" s="178" t="e">
        <f t="shared" si="60"/>
        <v>#DIV/0!</v>
      </c>
      <c r="BV58" s="168" t="e">
        <f t="shared" si="60"/>
        <v>#DIV/0!</v>
      </c>
      <c r="BW58" s="169" t="e">
        <f t="shared" si="43"/>
        <v>#DIV/0!</v>
      </c>
      <c r="BX58" s="179" t="e">
        <f t="shared" si="44"/>
        <v>#DIV/0!</v>
      </c>
      <c r="BY58" s="180" t="e">
        <f t="shared" si="61"/>
        <v>#DIV/0!</v>
      </c>
      <c r="BZ58" s="178" t="e">
        <f t="shared" si="61"/>
        <v>#DIV/0!</v>
      </c>
      <c r="CA58" s="178" t="e">
        <f t="shared" si="61"/>
        <v>#DIV/0!</v>
      </c>
      <c r="CB58" s="178" t="e">
        <f t="shared" si="61"/>
        <v>#DIV/0!</v>
      </c>
      <c r="CC58" s="178" t="e">
        <f t="shared" si="61"/>
        <v>#DIV/0!</v>
      </c>
      <c r="CD58" s="178" t="e">
        <f t="shared" si="61"/>
        <v>#DIV/0!</v>
      </c>
      <c r="CE58" s="178" t="e">
        <f t="shared" si="61"/>
        <v>#DIV/0!</v>
      </c>
      <c r="CF58" s="178" t="e">
        <f t="shared" si="61"/>
        <v>#DIV/0!</v>
      </c>
      <c r="CG58" s="178" t="e">
        <f t="shared" si="61"/>
        <v>#DIV/0!</v>
      </c>
      <c r="CH58" s="178" t="e">
        <f t="shared" si="61"/>
        <v>#DIV/0!</v>
      </c>
      <c r="CI58" s="178" t="e">
        <f t="shared" si="61"/>
        <v>#DIV/0!</v>
      </c>
      <c r="CJ58" s="168" t="e">
        <f t="shared" si="61"/>
        <v>#DIV/0!</v>
      </c>
      <c r="CK58" s="169" t="e">
        <f t="shared" si="46"/>
        <v>#DIV/0!</v>
      </c>
      <c r="CL58" s="179" t="e">
        <f t="shared" si="47"/>
        <v>#DIV/0!</v>
      </c>
      <c r="CM58" s="180" t="e">
        <f t="shared" si="62"/>
        <v>#DIV/0!</v>
      </c>
      <c r="CN58" s="178" t="e">
        <f t="shared" si="62"/>
        <v>#DIV/0!</v>
      </c>
      <c r="CO58" s="178" t="e">
        <f t="shared" si="62"/>
        <v>#DIV/0!</v>
      </c>
      <c r="CP58" s="178" t="e">
        <f t="shared" si="62"/>
        <v>#DIV/0!</v>
      </c>
      <c r="CQ58" s="178" t="e">
        <f t="shared" si="62"/>
        <v>#DIV/0!</v>
      </c>
      <c r="CR58" s="178" t="e">
        <f t="shared" si="62"/>
        <v>#DIV/0!</v>
      </c>
      <c r="CS58" s="178" t="e">
        <f t="shared" si="62"/>
        <v>#DIV/0!</v>
      </c>
      <c r="CT58" s="178" t="e">
        <f t="shared" si="62"/>
        <v>#DIV/0!</v>
      </c>
      <c r="CU58" s="178" t="e">
        <f t="shared" si="62"/>
        <v>#DIV/0!</v>
      </c>
      <c r="CV58" s="178" t="e">
        <f t="shared" si="62"/>
        <v>#DIV/0!</v>
      </c>
      <c r="CW58" s="178" t="e">
        <f t="shared" si="62"/>
        <v>#DIV/0!</v>
      </c>
      <c r="CX58" s="168" t="e">
        <f t="shared" si="62"/>
        <v>#DIV/0!</v>
      </c>
      <c r="CY58" s="169" t="e">
        <f t="shared" si="49"/>
        <v>#DIV/0!</v>
      </c>
      <c r="CZ58" s="179" t="e">
        <f t="shared" si="50"/>
        <v>#DIV/0!</v>
      </c>
      <c r="DA58" s="180" t="e">
        <f t="shared" si="63"/>
        <v>#DIV/0!</v>
      </c>
      <c r="DB58" s="178" t="e">
        <f t="shared" si="63"/>
        <v>#DIV/0!</v>
      </c>
      <c r="DC58" s="178" t="e">
        <f t="shared" si="63"/>
        <v>#DIV/0!</v>
      </c>
      <c r="DD58" s="178" t="e">
        <f t="shared" si="63"/>
        <v>#DIV/0!</v>
      </c>
      <c r="DE58" s="178" t="e">
        <f t="shared" si="63"/>
        <v>#DIV/0!</v>
      </c>
      <c r="DF58" s="178" t="e">
        <f t="shared" si="63"/>
        <v>#DIV/0!</v>
      </c>
      <c r="DG58" s="178" t="e">
        <f t="shared" si="63"/>
        <v>#DIV/0!</v>
      </c>
      <c r="DH58" s="178" t="e">
        <f t="shared" si="63"/>
        <v>#DIV/0!</v>
      </c>
      <c r="DI58" s="178" t="e">
        <f t="shared" si="63"/>
        <v>#DIV/0!</v>
      </c>
      <c r="DJ58" s="178" t="e">
        <f t="shared" si="63"/>
        <v>#DIV/0!</v>
      </c>
      <c r="DK58" s="178" t="e">
        <f t="shared" si="63"/>
        <v>#DIV/0!</v>
      </c>
      <c r="DL58" s="168" t="e">
        <f t="shared" si="63"/>
        <v>#DIV/0!</v>
      </c>
      <c r="DM58" s="169" t="e">
        <f t="shared" si="52"/>
        <v>#DIV/0!</v>
      </c>
      <c r="DN58" s="171" t="e">
        <f t="shared" si="53"/>
        <v>#DIV/0!</v>
      </c>
      <c r="DO58" s="180" t="e">
        <f t="shared" si="64"/>
        <v>#DIV/0!</v>
      </c>
      <c r="DP58" s="178" t="e">
        <f t="shared" si="64"/>
        <v>#DIV/0!</v>
      </c>
      <c r="DQ58" s="178" t="e">
        <f t="shared" si="64"/>
        <v>#DIV/0!</v>
      </c>
      <c r="DR58" s="178" t="e">
        <f t="shared" si="64"/>
        <v>#DIV/0!</v>
      </c>
      <c r="DS58" s="178" t="e">
        <f t="shared" si="64"/>
        <v>#DIV/0!</v>
      </c>
      <c r="DT58" s="178" t="e">
        <f t="shared" si="64"/>
        <v>#DIV/0!</v>
      </c>
      <c r="DU58" s="178" t="e">
        <f t="shared" si="64"/>
        <v>#DIV/0!</v>
      </c>
      <c r="DV58" s="178" t="e">
        <f t="shared" si="64"/>
        <v>#DIV/0!</v>
      </c>
      <c r="DW58" s="178" t="e">
        <f t="shared" si="64"/>
        <v>#DIV/0!</v>
      </c>
      <c r="DX58" s="178" t="e">
        <f t="shared" si="64"/>
        <v>#DIV/0!</v>
      </c>
      <c r="DY58" s="178" t="e">
        <f t="shared" si="64"/>
        <v>#DIV/0!</v>
      </c>
      <c r="DZ58" s="168" t="e">
        <f t="shared" si="64"/>
        <v>#DIV/0!</v>
      </c>
      <c r="EA58" s="169" t="e">
        <f t="shared" si="55"/>
        <v>#DIV/0!</v>
      </c>
      <c r="EB58" s="171" t="e">
        <f t="shared" si="56"/>
        <v>#DIV/0!</v>
      </c>
    </row>
    <row r="59" spans="1:132" s="177" customFormat="1" ht="15.75">
      <c r="A59" s="163">
        <v>43831</v>
      </c>
      <c r="B59" s="407" t="s">
        <v>90</v>
      </c>
      <c r="C59" s="408" t="s">
        <v>296</v>
      </c>
      <c r="D59" s="405">
        <v>80000</v>
      </c>
      <c r="E59" s="167"/>
      <c r="F59" s="168" t="e">
        <f t="shared" si="20"/>
        <v>#DIV/0!</v>
      </c>
      <c r="G59" s="169" t="e">
        <f t="shared" si="65"/>
        <v>#DIV/0!</v>
      </c>
      <c r="H59" s="178" t="e">
        <f t="shared" si="65"/>
        <v>#DIV/0!</v>
      </c>
      <c r="I59" s="178" t="e">
        <f t="shared" si="65"/>
        <v>#DIV/0!</v>
      </c>
      <c r="J59" s="178" t="e">
        <f t="shared" si="65"/>
        <v>#DIV/0!</v>
      </c>
      <c r="K59" s="178" t="e">
        <f t="shared" si="65"/>
        <v>#DIV/0!</v>
      </c>
      <c r="L59" s="178" t="e">
        <f t="shared" si="65"/>
        <v>#DIV/0!</v>
      </c>
      <c r="M59" s="178" t="e">
        <f t="shared" si="65"/>
        <v>#DIV/0!</v>
      </c>
      <c r="N59" s="178" t="e">
        <f t="shared" si="65"/>
        <v>#DIV/0!</v>
      </c>
      <c r="O59" s="178" t="e">
        <f t="shared" si="65"/>
        <v>#DIV/0!</v>
      </c>
      <c r="P59" s="178" t="e">
        <f t="shared" si="65"/>
        <v>#DIV/0!</v>
      </c>
      <c r="Q59" s="178" t="e">
        <f t="shared" si="65"/>
        <v>#DIV/0!</v>
      </c>
      <c r="R59" s="179" t="e">
        <f t="shared" si="65"/>
        <v>#DIV/0!</v>
      </c>
      <c r="S59" s="169" t="e">
        <f t="shared" si="31"/>
        <v>#DIV/0!</v>
      </c>
      <c r="T59" s="179" t="e">
        <f t="shared" si="32"/>
        <v>#DIV/0!</v>
      </c>
      <c r="U59" s="180" t="e">
        <f t="shared" si="57"/>
        <v>#DIV/0!</v>
      </c>
      <c r="V59" s="178" t="e">
        <f t="shared" si="57"/>
        <v>#DIV/0!</v>
      </c>
      <c r="W59" s="178" t="e">
        <f t="shared" si="57"/>
        <v>#DIV/0!</v>
      </c>
      <c r="X59" s="178" t="e">
        <f t="shared" si="57"/>
        <v>#DIV/0!</v>
      </c>
      <c r="Y59" s="178" t="e">
        <f t="shared" si="57"/>
        <v>#DIV/0!</v>
      </c>
      <c r="Z59" s="178" t="e">
        <f t="shared" si="57"/>
        <v>#DIV/0!</v>
      </c>
      <c r="AA59" s="178" t="e">
        <f t="shared" si="57"/>
        <v>#DIV/0!</v>
      </c>
      <c r="AB59" s="178" t="e">
        <f t="shared" si="57"/>
        <v>#DIV/0!</v>
      </c>
      <c r="AC59" s="178" t="e">
        <f t="shared" si="57"/>
        <v>#DIV/0!</v>
      </c>
      <c r="AD59" s="178" t="e">
        <f t="shared" si="57"/>
        <v>#DIV/0!</v>
      </c>
      <c r="AE59" s="178" t="e">
        <f t="shared" si="57"/>
        <v>#DIV/0!</v>
      </c>
      <c r="AF59" s="168" t="e">
        <f t="shared" si="57"/>
        <v>#DIV/0!</v>
      </c>
      <c r="AG59" s="169" t="e">
        <f t="shared" si="34"/>
        <v>#DIV/0!</v>
      </c>
      <c r="AH59" s="179" t="e">
        <f t="shared" si="35"/>
        <v>#DIV/0!</v>
      </c>
      <c r="AI59" s="180">
        <v>0</v>
      </c>
      <c r="AJ59" s="178">
        <v>0</v>
      </c>
      <c r="AK59" s="178">
        <v>0</v>
      </c>
      <c r="AL59" s="178">
        <v>0</v>
      </c>
      <c r="AM59" s="178">
        <v>0</v>
      </c>
      <c r="AN59" s="178">
        <v>0</v>
      </c>
      <c r="AO59" s="178">
        <v>0</v>
      </c>
      <c r="AP59" s="178">
        <v>0</v>
      </c>
      <c r="AQ59" s="178">
        <v>0</v>
      </c>
      <c r="AR59" s="178">
        <v>0</v>
      </c>
      <c r="AS59" s="178">
        <v>0</v>
      </c>
      <c r="AT59" s="168">
        <v>0</v>
      </c>
      <c r="AU59" s="169">
        <f t="shared" si="37"/>
        <v>0</v>
      </c>
      <c r="AV59" s="179">
        <f t="shared" si="38"/>
        <v>0</v>
      </c>
      <c r="AW59" s="180" t="e">
        <f t="shared" si="59"/>
        <v>#DIV/0!</v>
      </c>
      <c r="AX59" s="178" t="e">
        <f t="shared" si="59"/>
        <v>#DIV/0!</v>
      </c>
      <c r="AY59" s="178" t="e">
        <f t="shared" si="59"/>
        <v>#DIV/0!</v>
      </c>
      <c r="AZ59" s="178" t="e">
        <f t="shared" si="59"/>
        <v>#DIV/0!</v>
      </c>
      <c r="BA59" s="178" t="e">
        <f t="shared" si="59"/>
        <v>#DIV/0!</v>
      </c>
      <c r="BB59" s="178" t="e">
        <f t="shared" si="59"/>
        <v>#DIV/0!</v>
      </c>
      <c r="BC59" s="178" t="e">
        <f t="shared" si="59"/>
        <v>#DIV/0!</v>
      </c>
      <c r="BD59" s="178" t="e">
        <f t="shared" si="59"/>
        <v>#DIV/0!</v>
      </c>
      <c r="BE59" s="178" t="e">
        <f t="shared" si="59"/>
        <v>#DIV/0!</v>
      </c>
      <c r="BF59" s="178" t="e">
        <f t="shared" si="59"/>
        <v>#DIV/0!</v>
      </c>
      <c r="BG59" s="178" t="e">
        <f t="shared" si="59"/>
        <v>#DIV/0!</v>
      </c>
      <c r="BH59" s="168" t="e">
        <f t="shared" si="59"/>
        <v>#DIV/0!</v>
      </c>
      <c r="BI59" s="169">
        <v>0</v>
      </c>
      <c r="BJ59" s="179">
        <v>0</v>
      </c>
      <c r="BK59" s="180">
        <f t="shared" si="60"/>
        <v>0</v>
      </c>
      <c r="BL59" s="178">
        <f t="shared" si="60"/>
        <v>0</v>
      </c>
      <c r="BM59" s="178">
        <f t="shared" si="60"/>
        <v>0</v>
      </c>
      <c r="BN59" s="178">
        <f t="shared" si="60"/>
        <v>0</v>
      </c>
      <c r="BO59" s="178">
        <f t="shared" si="60"/>
        <v>0</v>
      </c>
      <c r="BP59" s="178">
        <f t="shared" si="60"/>
        <v>0</v>
      </c>
      <c r="BQ59" s="178">
        <f t="shared" si="60"/>
        <v>0</v>
      </c>
      <c r="BR59" s="178">
        <f t="shared" si="60"/>
        <v>0</v>
      </c>
      <c r="BS59" s="178">
        <f t="shared" si="60"/>
        <v>0</v>
      </c>
      <c r="BT59" s="178">
        <f t="shared" si="60"/>
        <v>0</v>
      </c>
      <c r="BU59" s="178">
        <f t="shared" si="60"/>
        <v>0</v>
      </c>
      <c r="BV59" s="168">
        <f t="shared" si="60"/>
        <v>0</v>
      </c>
      <c r="BW59" s="169">
        <f t="shared" si="43"/>
        <v>0</v>
      </c>
      <c r="BX59" s="179">
        <f t="shared" si="44"/>
        <v>0</v>
      </c>
      <c r="BY59" s="180">
        <f t="shared" si="61"/>
        <v>0</v>
      </c>
      <c r="BZ59" s="178">
        <f t="shared" si="61"/>
        <v>0</v>
      </c>
      <c r="CA59" s="178">
        <f t="shared" si="61"/>
        <v>0</v>
      </c>
      <c r="CB59" s="178">
        <f t="shared" si="61"/>
        <v>0</v>
      </c>
      <c r="CC59" s="178">
        <f t="shared" si="61"/>
        <v>0</v>
      </c>
      <c r="CD59" s="178">
        <f t="shared" si="61"/>
        <v>0</v>
      </c>
      <c r="CE59" s="178">
        <f t="shared" si="61"/>
        <v>0</v>
      </c>
      <c r="CF59" s="178">
        <f t="shared" si="61"/>
        <v>0</v>
      </c>
      <c r="CG59" s="178">
        <f t="shared" si="61"/>
        <v>0</v>
      </c>
      <c r="CH59" s="178">
        <f t="shared" si="61"/>
        <v>0</v>
      </c>
      <c r="CI59" s="178">
        <f t="shared" si="61"/>
        <v>0</v>
      </c>
      <c r="CJ59" s="168">
        <f t="shared" si="61"/>
        <v>0</v>
      </c>
      <c r="CK59" s="169">
        <f t="shared" si="46"/>
        <v>0</v>
      </c>
      <c r="CL59" s="179">
        <f t="shared" si="47"/>
        <v>0</v>
      </c>
      <c r="CM59" s="180">
        <f t="shared" si="62"/>
        <v>0</v>
      </c>
      <c r="CN59" s="178">
        <f t="shared" si="62"/>
        <v>0</v>
      </c>
      <c r="CO59" s="178">
        <f t="shared" si="62"/>
        <v>0</v>
      </c>
      <c r="CP59" s="178">
        <f t="shared" si="62"/>
        <v>0</v>
      </c>
      <c r="CQ59" s="178">
        <f t="shared" si="62"/>
        <v>0</v>
      </c>
      <c r="CR59" s="178">
        <f t="shared" si="62"/>
        <v>0</v>
      </c>
      <c r="CS59" s="178">
        <f t="shared" si="62"/>
        <v>0</v>
      </c>
      <c r="CT59" s="178">
        <f t="shared" si="62"/>
        <v>0</v>
      </c>
      <c r="CU59" s="178">
        <f t="shared" si="62"/>
        <v>0</v>
      </c>
      <c r="CV59" s="178">
        <f t="shared" si="62"/>
        <v>0</v>
      </c>
      <c r="CW59" s="178">
        <f t="shared" si="62"/>
        <v>0</v>
      </c>
      <c r="CX59" s="168">
        <f t="shared" si="62"/>
        <v>0</v>
      </c>
      <c r="CY59" s="169">
        <f t="shared" si="49"/>
        <v>0</v>
      </c>
      <c r="CZ59" s="179">
        <f t="shared" si="50"/>
        <v>0</v>
      </c>
      <c r="DA59" s="180">
        <f t="shared" si="63"/>
        <v>0</v>
      </c>
      <c r="DB59" s="178">
        <f t="shared" si="63"/>
        <v>0</v>
      </c>
      <c r="DC59" s="178">
        <f t="shared" si="63"/>
        <v>0</v>
      </c>
      <c r="DD59" s="178">
        <f t="shared" si="63"/>
        <v>0</v>
      </c>
      <c r="DE59" s="178">
        <f t="shared" si="63"/>
        <v>0</v>
      </c>
      <c r="DF59" s="178">
        <f t="shared" si="63"/>
        <v>0</v>
      </c>
      <c r="DG59" s="178">
        <f t="shared" si="63"/>
        <v>0</v>
      </c>
      <c r="DH59" s="178">
        <f t="shared" si="63"/>
        <v>0</v>
      </c>
      <c r="DI59" s="178">
        <f t="shared" si="63"/>
        <v>0</v>
      </c>
      <c r="DJ59" s="178">
        <f t="shared" si="63"/>
        <v>0</v>
      </c>
      <c r="DK59" s="178">
        <f t="shared" si="63"/>
        <v>0</v>
      </c>
      <c r="DL59" s="168">
        <f t="shared" si="63"/>
        <v>0</v>
      </c>
      <c r="DM59" s="169">
        <f t="shared" si="52"/>
        <v>0</v>
      </c>
      <c r="DN59" s="171">
        <f t="shared" si="53"/>
        <v>0</v>
      </c>
      <c r="DO59" s="180">
        <f t="shared" si="64"/>
        <v>0</v>
      </c>
      <c r="DP59" s="178">
        <f t="shared" si="64"/>
        <v>0</v>
      </c>
      <c r="DQ59" s="178">
        <f t="shared" si="64"/>
        <v>0</v>
      </c>
      <c r="DR59" s="178">
        <f t="shared" si="64"/>
        <v>0</v>
      </c>
      <c r="DS59" s="178">
        <f t="shared" si="64"/>
        <v>0</v>
      </c>
      <c r="DT59" s="178">
        <f t="shared" si="64"/>
        <v>0</v>
      </c>
      <c r="DU59" s="178">
        <f t="shared" si="64"/>
        <v>0</v>
      </c>
      <c r="DV59" s="178">
        <f t="shared" si="64"/>
        <v>0</v>
      </c>
      <c r="DW59" s="178">
        <f t="shared" si="64"/>
        <v>0</v>
      </c>
      <c r="DX59" s="178">
        <f t="shared" si="64"/>
        <v>0</v>
      </c>
      <c r="DY59" s="178">
        <f t="shared" si="64"/>
        <v>0</v>
      </c>
      <c r="DZ59" s="168">
        <f t="shared" si="64"/>
        <v>0</v>
      </c>
      <c r="EA59" s="169">
        <f t="shared" si="55"/>
        <v>0</v>
      </c>
      <c r="EB59" s="171">
        <f t="shared" si="56"/>
        <v>0</v>
      </c>
    </row>
    <row r="60" spans="1:132" s="177" customFormat="1" ht="15.75">
      <c r="A60" s="163">
        <v>43831</v>
      </c>
      <c r="B60" s="407" t="s">
        <v>90</v>
      </c>
      <c r="C60" s="409" t="s">
        <v>297</v>
      </c>
      <c r="D60" s="410">
        <v>10400</v>
      </c>
      <c r="E60" s="167"/>
      <c r="F60" s="168" t="e">
        <f t="shared" si="20"/>
        <v>#DIV/0!</v>
      </c>
      <c r="G60" s="169" t="e">
        <f t="shared" si="65"/>
        <v>#DIV/0!</v>
      </c>
      <c r="H60" s="178" t="e">
        <f t="shared" si="65"/>
        <v>#DIV/0!</v>
      </c>
      <c r="I60" s="178" t="e">
        <f t="shared" si="65"/>
        <v>#DIV/0!</v>
      </c>
      <c r="J60" s="178" t="e">
        <f t="shared" si="65"/>
        <v>#DIV/0!</v>
      </c>
      <c r="K60" s="178" t="e">
        <f t="shared" si="65"/>
        <v>#DIV/0!</v>
      </c>
      <c r="L60" s="178" t="e">
        <f t="shared" si="65"/>
        <v>#DIV/0!</v>
      </c>
      <c r="M60" s="178" t="e">
        <f t="shared" si="65"/>
        <v>#DIV/0!</v>
      </c>
      <c r="N60" s="178" t="e">
        <f t="shared" si="65"/>
        <v>#DIV/0!</v>
      </c>
      <c r="O60" s="178" t="e">
        <f t="shared" si="65"/>
        <v>#DIV/0!</v>
      </c>
      <c r="P60" s="178" t="e">
        <f t="shared" si="65"/>
        <v>#DIV/0!</v>
      </c>
      <c r="Q60" s="178" t="e">
        <f t="shared" si="65"/>
        <v>#DIV/0!</v>
      </c>
      <c r="R60" s="179" t="e">
        <f t="shared" si="65"/>
        <v>#DIV/0!</v>
      </c>
      <c r="S60" s="169" t="e">
        <f t="shared" si="31"/>
        <v>#DIV/0!</v>
      </c>
      <c r="T60" s="179" t="e">
        <f t="shared" si="32"/>
        <v>#DIV/0!</v>
      </c>
      <c r="U60" s="180" t="e">
        <f t="shared" si="57"/>
        <v>#DIV/0!</v>
      </c>
      <c r="V60" s="178" t="e">
        <f t="shared" si="57"/>
        <v>#DIV/0!</v>
      </c>
      <c r="W60" s="178" t="e">
        <f t="shared" si="57"/>
        <v>#DIV/0!</v>
      </c>
      <c r="X60" s="178" t="e">
        <f t="shared" si="57"/>
        <v>#DIV/0!</v>
      </c>
      <c r="Y60" s="178" t="e">
        <f t="shared" si="57"/>
        <v>#DIV/0!</v>
      </c>
      <c r="Z60" s="178" t="e">
        <f t="shared" si="57"/>
        <v>#DIV/0!</v>
      </c>
      <c r="AA60" s="178" t="e">
        <f t="shared" si="57"/>
        <v>#DIV/0!</v>
      </c>
      <c r="AB60" s="178" t="e">
        <f t="shared" si="57"/>
        <v>#DIV/0!</v>
      </c>
      <c r="AC60" s="178" t="e">
        <f t="shared" si="57"/>
        <v>#DIV/0!</v>
      </c>
      <c r="AD60" s="178" t="e">
        <f t="shared" si="57"/>
        <v>#DIV/0!</v>
      </c>
      <c r="AE60" s="178" t="e">
        <f t="shared" si="57"/>
        <v>#DIV/0!</v>
      </c>
      <c r="AF60" s="168" t="e">
        <f t="shared" si="57"/>
        <v>#DIV/0!</v>
      </c>
      <c r="AG60" s="169" t="e">
        <f t="shared" si="34"/>
        <v>#DIV/0!</v>
      </c>
      <c r="AH60" s="179" t="e">
        <f t="shared" si="35"/>
        <v>#DIV/0!</v>
      </c>
      <c r="AI60" s="180" t="e">
        <f t="shared" si="58"/>
        <v>#DIV/0!</v>
      </c>
      <c r="AJ60" s="178" t="e">
        <f t="shared" si="58"/>
        <v>#DIV/0!</v>
      </c>
      <c r="AK60" s="178" t="e">
        <f t="shared" si="58"/>
        <v>#DIV/0!</v>
      </c>
      <c r="AL60" s="178" t="e">
        <f t="shared" si="58"/>
        <v>#DIV/0!</v>
      </c>
      <c r="AM60" s="178" t="e">
        <f t="shared" si="58"/>
        <v>#DIV/0!</v>
      </c>
      <c r="AN60" s="178" t="e">
        <f t="shared" si="58"/>
        <v>#DIV/0!</v>
      </c>
      <c r="AO60" s="178" t="e">
        <f t="shared" si="58"/>
        <v>#DIV/0!</v>
      </c>
      <c r="AP60" s="178" t="e">
        <f t="shared" si="58"/>
        <v>#DIV/0!</v>
      </c>
      <c r="AQ60" s="178" t="e">
        <f t="shared" si="58"/>
        <v>#DIV/0!</v>
      </c>
      <c r="AR60" s="178" t="e">
        <f t="shared" si="58"/>
        <v>#DIV/0!</v>
      </c>
      <c r="AS60" s="178" t="e">
        <f t="shared" si="58"/>
        <v>#DIV/0!</v>
      </c>
      <c r="AT60" s="168" t="e">
        <f t="shared" si="58"/>
        <v>#DIV/0!</v>
      </c>
      <c r="AU60" s="169" t="e">
        <f t="shared" si="37"/>
        <v>#DIV/0!</v>
      </c>
      <c r="AV60" s="179" t="e">
        <f t="shared" si="38"/>
        <v>#DIV/0!</v>
      </c>
      <c r="AW60" s="180" t="e">
        <f t="shared" si="59"/>
        <v>#DIV/0!</v>
      </c>
      <c r="AX60" s="178" t="e">
        <f t="shared" si="59"/>
        <v>#DIV/0!</v>
      </c>
      <c r="AY60" s="178" t="e">
        <f t="shared" si="59"/>
        <v>#DIV/0!</v>
      </c>
      <c r="AZ60" s="178" t="e">
        <f t="shared" si="59"/>
        <v>#DIV/0!</v>
      </c>
      <c r="BA60" s="178" t="e">
        <f t="shared" si="59"/>
        <v>#DIV/0!</v>
      </c>
      <c r="BB60" s="178" t="e">
        <f t="shared" si="59"/>
        <v>#DIV/0!</v>
      </c>
      <c r="BC60" s="178" t="e">
        <f t="shared" si="59"/>
        <v>#DIV/0!</v>
      </c>
      <c r="BD60" s="178" t="e">
        <f t="shared" si="59"/>
        <v>#DIV/0!</v>
      </c>
      <c r="BE60" s="178" t="e">
        <f t="shared" si="59"/>
        <v>#DIV/0!</v>
      </c>
      <c r="BF60" s="178" t="e">
        <f t="shared" si="59"/>
        <v>#DIV/0!</v>
      </c>
      <c r="BG60" s="178" t="e">
        <f t="shared" si="59"/>
        <v>#DIV/0!</v>
      </c>
      <c r="BH60" s="168" t="e">
        <f t="shared" si="59"/>
        <v>#DIV/0!</v>
      </c>
      <c r="BI60" s="169" t="e">
        <f t="shared" si="40"/>
        <v>#DIV/0!</v>
      </c>
      <c r="BJ60" s="179" t="e">
        <f t="shared" si="41"/>
        <v>#DIV/0!</v>
      </c>
      <c r="BK60" s="180" t="e">
        <f t="shared" si="60"/>
        <v>#DIV/0!</v>
      </c>
      <c r="BL60" s="178" t="e">
        <f t="shared" si="60"/>
        <v>#DIV/0!</v>
      </c>
      <c r="BM60" s="178" t="e">
        <f t="shared" si="60"/>
        <v>#DIV/0!</v>
      </c>
      <c r="BN60" s="178" t="e">
        <f t="shared" si="60"/>
        <v>#DIV/0!</v>
      </c>
      <c r="BO60" s="178" t="e">
        <f t="shared" si="60"/>
        <v>#DIV/0!</v>
      </c>
      <c r="BP60" s="178" t="e">
        <f t="shared" si="60"/>
        <v>#DIV/0!</v>
      </c>
      <c r="BQ60" s="178" t="e">
        <f t="shared" si="60"/>
        <v>#DIV/0!</v>
      </c>
      <c r="BR60" s="178" t="e">
        <f t="shared" si="60"/>
        <v>#DIV/0!</v>
      </c>
      <c r="BS60" s="178" t="e">
        <f t="shared" si="60"/>
        <v>#DIV/0!</v>
      </c>
      <c r="BT60" s="178" t="e">
        <f t="shared" si="60"/>
        <v>#DIV/0!</v>
      </c>
      <c r="BU60" s="178" t="e">
        <f t="shared" si="60"/>
        <v>#DIV/0!</v>
      </c>
      <c r="BV60" s="168" t="e">
        <f t="shared" si="60"/>
        <v>#DIV/0!</v>
      </c>
      <c r="BW60" s="169" t="e">
        <f t="shared" si="43"/>
        <v>#DIV/0!</v>
      </c>
      <c r="BX60" s="179" t="e">
        <f t="shared" si="44"/>
        <v>#DIV/0!</v>
      </c>
      <c r="BY60" s="180" t="e">
        <f t="shared" si="61"/>
        <v>#DIV/0!</v>
      </c>
      <c r="BZ60" s="178" t="e">
        <f t="shared" si="61"/>
        <v>#DIV/0!</v>
      </c>
      <c r="CA60" s="178" t="e">
        <f t="shared" si="61"/>
        <v>#DIV/0!</v>
      </c>
      <c r="CB60" s="178" t="e">
        <f t="shared" si="61"/>
        <v>#DIV/0!</v>
      </c>
      <c r="CC60" s="178" t="e">
        <f t="shared" si="61"/>
        <v>#DIV/0!</v>
      </c>
      <c r="CD60" s="178" t="e">
        <f t="shared" si="61"/>
        <v>#DIV/0!</v>
      </c>
      <c r="CE60" s="178" t="e">
        <f t="shared" si="61"/>
        <v>#DIV/0!</v>
      </c>
      <c r="CF60" s="178" t="e">
        <f t="shared" si="61"/>
        <v>#DIV/0!</v>
      </c>
      <c r="CG60" s="178" t="e">
        <f t="shared" si="61"/>
        <v>#DIV/0!</v>
      </c>
      <c r="CH60" s="178" t="e">
        <f t="shared" si="61"/>
        <v>#DIV/0!</v>
      </c>
      <c r="CI60" s="178" t="e">
        <f t="shared" si="61"/>
        <v>#DIV/0!</v>
      </c>
      <c r="CJ60" s="168" t="e">
        <f t="shared" si="61"/>
        <v>#DIV/0!</v>
      </c>
      <c r="CK60" s="169" t="e">
        <f t="shared" si="46"/>
        <v>#DIV/0!</v>
      </c>
      <c r="CL60" s="179" t="e">
        <f t="shared" si="47"/>
        <v>#DIV/0!</v>
      </c>
      <c r="CM60" s="180" t="e">
        <f t="shared" si="62"/>
        <v>#DIV/0!</v>
      </c>
      <c r="CN60" s="178" t="e">
        <f t="shared" si="62"/>
        <v>#DIV/0!</v>
      </c>
      <c r="CO60" s="178" t="e">
        <f t="shared" si="62"/>
        <v>#DIV/0!</v>
      </c>
      <c r="CP60" s="178" t="e">
        <f t="shared" si="62"/>
        <v>#DIV/0!</v>
      </c>
      <c r="CQ60" s="178" t="e">
        <f t="shared" si="62"/>
        <v>#DIV/0!</v>
      </c>
      <c r="CR60" s="178" t="e">
        <f t="shared" si="62"/>
        <v>#DIV/0!</v>
      </c>
      <c r="CS60" s="178" t="e">
        <f t="shared" si="62"/>
        <v>#DIV/0!</v>
      </c>
      <c r="CT60" s="178" t="e">
        <f t="shared" si="62"/>
        <v>#DIV/0!</v>
      </c>
      <c r="CU60" s="178" t="e">
        <f t="shared" si="62"/>
        <v>#DIV/0!</v>
      </c>
      <c r="CV60" s="178" t="e">
        <f t="shared" si="62"/>
        <v>#DIV/0!</v>
      </c>
      <c r="CW60" s="178" t="e">
        <f t="shared" si="62"/>
        <v>#DIV/0!</v>
      </c>
      <c r="CX60" s="168" t="e">
        <f t="shared" si="62"/>
        <v>#DIV/0!</v>
      </c>
      <c r="CY60" s="169" t="e">
        <f t="shared" si="49"/>
        <v>#DIV/0!</v>
      </c>
      <c r="CZ60" s="179" t="e">
        <f t="shared" si="50"/>
        <v>#DIV/0!</v>
      </c>
      <c r="DA60" s="180" t="e">
        <f t="shared" si="63"/>
        <v>#DIV/0!</v>
      </c>
      <c r="DB60" s="178" t="e">
        <f t="shared" si="63"/>
        <v>#DIV/0!</v>
      </c>
      <c r="DC60" s="178" t="e">
        <f t="shared" si="63"/>
        <v>#DIV/0!</v>
      </c>
      <c r="DD60" s="178" t="e">
        <f t="shared" si="63"/>
        <v>#DIV/0!</v>
      </c>
      <c r="DE60" s="178" t="e">
        <f t="shared" si="63"/>
        <v>#DIV/0!</v>
      </c>
      <c r="DF60" s="178" t="e">
        <f t="shared" si="63"/>
        <v>#DIV/0!</v>
      </c>
      <c r="DG60" s="178" t="e">
        <f t="shared" si="63"/>
        <v>#DIV/0!</v>
      </c>
      <c r="DH60" s="178" t="e">
        <f t="shared" si="63"/>
        <v>#DIV/0!</v>
      </c>
      <c r="DI60" s="178" t="e">
        <f t="shared" si="63"/>
        <v>#DIV/0!</v>
      </c>
      <c r="DJ60" s="178" t="e">
        <f t="shared" si="63"/>
        <v>#DIV/0!</v>
      </c>
      <c r="DK60" s="178" t="e">
        <f t="shared" si="63"/>
        <v>#DIV/0!</v>
      </c>
      <c r="DL60" s="168" t="e">
        <f t="shared" si="63"/>
        <v>#DIV/0!</v>
      </c>
      <c r="DM60" s="169" t="e">
        <f t="shared" si="52"/>
        <v>#DIV/0!</v>
      </c>
      <c r="DN60" s="171" t="e">
        <f t="shared" si="53"/>
        <v>#DIV/0!</v>
      </c>
      <c r="DO60" s="180" t="e">
        <f t="shared" si="64"/>
        <v>#DIV/0!</v>
      </c>
      <c r="DP60" s="178" t="e">
        <f t="shared" si="64"/>
        <v>#DIV/0!</v>
      </c>
      <c r="DQ60" s="178" t="e">
        <f t="shared" si="64"/>
        <v>#DIV/0!</v>
      </c>
      <c r="DR60" s="178" t="e">
        <f t="shared" si="64"/>
        <v>#DIV/0!</v>
      </c>
      <c r="DS60" s="178" t="e">
        <f t="shared" si="64"/>
        <v>#DIV/0!</v>
      </c>
      <c r="DT60" s="178" t="e">
        <f t="shared" si="64"/>
        <v>#DIV/0!</v>
      </c>
      <c r="DU60" s="178" t="e">
        <f t="shared" si="64"/>
        <v>#DIV/0!</v>
      </c>
      <c r="DV60" s="178" t="e">
        <f t="shared" si="64"/>
        <v>#DIV/0!</v>
      </c>
      <c r="DW60" s="178" t="e">
        <f t="shared" si="64"/>
        <v>#DIV/0!</v>
      </c>
      <c r="DX60" s="178" t="e">
        <f t="shared" si="64"/>
        <v>#DIV/0!</v>
      </c>
      <c r="DY60" s="178" t="e">
        <f t="shared" si="64"/>
        <v>#DIV/0!</v>
      </c>
      <c r="DZ60" s="168" t="e">
        <f t="shared" si="64"/>
        <v>#DIV/0!</v>
      </c>
      <c r="EA60" s="169" t="e">
        <f t="shared" si="55"/>
        <v>#DIV/0!</v>
      </c>
      <c r="EB60" s="171" t="e">
        <f t="shared" si="56"/>
        <v>#DIV/0!</v>
      </c>
    </row>
    <row r="61" spans="1:132" s="177" customFormat="1" ht="15.75">
      <c r="A61" s="163">
        <v>43831</v>
      </c>
      <c r="B61" s="407" t="s">
        <v>90</v>
      </c>
      <c r="C61" s="407" t="s">
        <v>298</v>
      </c>
      <c r="D61" s="410">
        <v>4300</v>
      </c>
      <c r="E61" s="167"/>
      <c r="F61" s="168" t="e">
        <f t="shared" si="20"/>
        <v>#DIV/0!</v>
      </c>
      <c r="G61" s="169" t="e">
        <f t="shared" si="65"/>
        <v>#DIV/0!</v>
      </c>
      <c r="H61" s="178" t="e">
        <f t="shared" si="65"/>
        <v>#DIV/0!</v>
      </c>
      <c r="I61" s="178" t="e">
        <f t="shared" si="65"/>
        <v>#DIV/0!</v>
      </c>
      <c r="J61" s="178" t="e">
        <f t="shared" si="65"/>
        <v>#DIV/0!</v>
      </c>
      <c r="K61" s="178" t="e">
        <f t="shared" si="65"/>
        <v>#DIV/0!</v>
      </c>
      <c r="L61" s="178" t="e">
        <f t="shared" si="65"/>
        <v>#DIV/0!</v>
      </c>
      <c r="M61" s="178" t="e">
        <f t="shared" si="65"/>
        <v>#DIV/0!</v>
      </c>
      <c r="N61" s="178" t="e">
        <f t="shared" si="65"/>
        <v>#DIV/0!</v>
      </c>
      <c r="O61" s="178" t="e">
        <f t="shared" si="65"/>
        <v>#DIV/0!</v>
      </c>
      <c r="P61" s="178" t="e">
        <f t="shared" si="65"/>
        <v>#DIV/0!</v>
      </c>
      <c r="Q61" s="178" t="e">
        <f t="shared" si="65"/>
        <v>#DIV/0!</v>
      </c>
      <c r="R61" s="179" t="e">
        <f t="shared" si="65"/>
        <v>#DIV/0!</v>
      </c>
      <c r="S61" s="169" t="e">
        <f t="shared" si="31"/>
        <v>#DIV/0!</v>
      </c>
      <c r="T61" s="179" t="e">
        <f t="shared" si="32"/>
        <v>#DIV/0!</v>
      </c>
      <c r="U61" s="180" t="e">
        <f t="shared" si="57"/>
        <v>#DIV/0!</v>
      </c>
      <c r="V61" s="178" t="e">
        <f t="shared" si="57"/>
        <v>#DIV/0!</v>
      </c>
      <c r="W61" s="178" t="e">
        <f t="shared" si="57"/>
        <v>#DIV/0!</v>
      </c>
      <c r="X61" s="178" t="e">
        <f t="shared" si="57"/>
        <v>#DIV/0!</v>
      </c>
      <c r="Y61" s="178" t="e">
        <f t="shared" si="57"/>
        <v>#DIV/0!</v>
      </c>
      <c r="Z61" s="178" t="e">
        <f t="shared" si="57"/>
        <v>#DIV/0!</v>
      </c>
      <c r="AA61" s="178" t="e">
        <f t="shared" si="57"/>
        <v>#DIV/0!</v>
      </c>
      <c r="AB61" s="178" t="e">
        <f t="shared" si="57"/>
        <v>#DIV/0!</v>
      </c>
      <c r="AC61" s="178" t="e">
        <f t="shared" si="57"/>
        <v>#DIV/0!</v>
      </c>
      <c r="AD61" s="178" t="e">
        <f t="shared" si="57"/>
        <v>#DIV/0!</v>
      </c>
      <c r="AE61" s="178" t="e">
        <f t="shared" si="57"/>
        <v>#DIV/0!</v>
      </c>
      <c r="AF61" s="168" t="e">
        <f t="shared" si="57"/>
        <v>#DIV/0!</v>
      </c>
      <c r="AG61" s="169" t="e">
        <f t="shared" si="34"/>
        <v>#DIV/0!</v>
      </c>
      <c r="AH61" s="179" t="e">
        <f t="shared" si="35"/>
        <v>#DIV/0!</v>
      </c>
      <c r="AI61" s="180" t="e">
        <f t="shared" si="58"/>
        <v>#DIV/0!</v>
      </c>
      <c r="AJ61" s="178" t="e">
        <f t="shared" si="58"/>
        <v>#DIV/0!</v>
      </c>
      <c r="AK61" s="178" t="e">
        <f t="shared" si="58"/>
        <v>#DIV/0!</v>
      </c>
      <c r="AL61" s="178" t="e">
        <f t="shared" si="58"/>
        <v>#DIV/0!</v>
      </c>
      <c r="AM61" s="178" t="e">
        <f t="shared" si="58"/>
        <v>#DIV/0!</v>
      </c>
      <c r="AN61" s="178" t="e">
        <f t="shared" si="58"/>
        <v>#DIV/0!</v>
      </c>
      <c r="AO61" s="178" t="e">
        <f t="shared" si="58"/>
        <v>#DIV/0!</v>
      </c>
      <c r="AP61" s="178" t="e">
        <f t="shared" si="58"/>
        <v>#DIV/0!</v>
      </c>
      <c r="AQ61" s="178" t="e">
        <f t="shared" si="58"/>
        <v>#DIV/0!</v>
      </c>
      <c r="AR61" s="178" t="e">
        <f t="shared" si="58"/>
        <v>#DIV/0!</v>
      </c>
      <c r="AS61" s="178" t="e">
        <f t="shared" si="58"/>
        <v>#DIV/0!</v>
      </c>
      <c r="AT61" s="168" t="e">
        <f t="shared" si="58"/>
        <v>#DIV/0!</v>
      </c>
      <c r="AU61" s="169" t="e">
        <f t="shared" si="37"/>
        <v>#DIV/0!</v>
      </c>
      <c r="AV61" s="179" t="e">
        <f t="shared" si="38"/>
        <v>#DIV/0!</v>
      </c>
      <c r="AW61" s="180" t="e">
        <f t="shared" si="59"/>
        <v>#DIV/0!</v>
      </c>
      <c r="AX61" s="178" t="e">
        <f t="shared" si="59"/>
        <v>#DIV/0!</v>
      </c>
      <c r="AY61" s="178" t="e">
        <f t="shared" si="59"/>
        <v>#DIV/0!</v>
      </c>
      <c r="AZ61" s="178" t="e">
        <f t="shared" si="59"/>
        <v>#DIV/0!</v>
      </c>
      <c r="BA61" s="178" t="e">
        <f t="shared" si="59"/>
        <v>#DIV/0!</v>
      </c>
      <c r="BB61" s="178" t="e">
        <f t="shared" si="59"/>
        <v>#DIV/0!</v>
      </c>
      <c r="BC61" s="178" t="e">
        <f t="shared" si="59"/>
        <v>#DIV/0!</v>
      </c>
      <c r="BD61" s="178" t="e">
        <f t="shared" si="59"/>
        <v>#DIV/0!</v>
      </c>
      <c r="BE61" s="178" t="e">
        <f t="shared" si="59"/>
        <v>#DIV/0!</v>
      </c>
      <c r="BF61" s="178" t="e">
        <f t="shared" si="59"/>
        <v>#DIV/0!</v>
      </c>
      <c r="BG61" s="178" t="e">
        <f t="shared" si="59"/>
        <v>#DIV/0!</v>
      </c>
      <c r="BH61" s="168" t="e">
        <f t="shared" si="59"/>
        <v>#DIV/0!</v>
      </c>
      <c r="BI61" s="169" t="e">
        <f t="shared" si="40"/>
        <v>#DIV/0!</v>
      </c>
      <c r="BJ61" s="179" t="e">
        <f t="shared" si="41"/>
        <v>#DIV/0!</v>
      </c>
      <c r="BK61" s="180" t="e">
        <f t="shared" si="60"/>
        <v>#DIV/0!</v>
      </c>
      <c r="BL61" s="178" t="e">
        <f t="shared" si="60"/>
        <v>#DIV/0!</v>
      </c>
      <c r="BM61" s="178" t="e">
        <f t="shared" si="60"/>
        <v>#DIV/0!</v>
      </c>
      <c r="BN61" s="178" t="e">
        <f t="shared" si="60"/>
        <v>#DIV/0!</v>
      </c>
      <c r="BO61" s="178" t="e">
        <f t="shared" si="60"/>
        <v>#DIV/0!</v>
      </c>
      <c r="BP61" s="178" t="e">
        <f t="shared" si="60"/>
        <v>#DIV/0!</v>
      </c>
      <c r="BQ61" s="178" t="e">
        <f t="shared" si="60"/>
        <v>#DIV/0!</v>
      </c>
      <c r="BR61" s="178" t="e">
        <f t="shared" si="60"/>
        <v>#DIV/0!</v>
      </c>
      <c r="BS61" s="178" t="e">
        <f t="shared" si="60"/>
        <v>#DIV/0!</v>
      </c>
      <c r="BT61" s="178" t="e">
        <f t="shared" si="60"/>
        <v>#DIV/0!</v>
      </c>
      <c r="BU61" s="178" t="e">
        <f t="shared" si="60"/>
        <v>#DIV/0!</v>
      </c>
      <c r="BV61" s="168" t="e">
        <f t="shared" si="60"/>
        <v>#DIV/0!</v>
      </c>
      <c r="BW61" s="169" t="e">
        <f t="shared" si="43"/>
        <v>#DIV/0!</v>
      </c>
      <c r="BX61" s="179" t="e">
        <f t="shared" si="44"/>
        <v>#DIV/0!</v>
      </c>
      <c r="BY61" s="180" t="e">
        <f t="shared" si="61"/>
        <v>#DIV/0!</v>
      </c>
      <c r="BZ61" s="178" t="e">
        <f t="shared" si="61"/>
        <v>#DIV/0!</v>
      </c>
      <c r="CA61" s="178" t="e">
        <f t="shared" si="61"/>
        <v>#DIV/0!</v>
      </c>
      <c r="CB61" s="178" t="e">
        <f t="shared" si="61"/>
        <v>#DIV/0!</v>
      </c>
      <c r="CC61" s="178" t="e">
        <f t="shared" si="61"/>
        <v>#DIV/0!</v>
      </c>
      <c r="CD61" s="178" t="e">
        <f t="shared" si="61"/>
        <v>#DIV/0!</v>
      </c>
      <c r="CE61" s="178" t="e">
        <f t="shared" si="61"/>
        <v>#DIV/0!</v>
      </c>
      <c r="CF61" s="178" t="e">
        <f t="shared" si="61"/>
        <v>#DIV/0!</v>
      </c>
      <c r="CG61" s="178" t="e">
        <f t="shared" si="61"/>
        <v>#DIV/0!</v>
      </c>
      <c r="CH61" s="178" t="e">
        <f t="shared" si="61"/>
        <v>#DIV/0!</v>
      </c>
      <c r="CI61" s="178" t="e">
        <f t="shared" si="61"/>
        <v>#DIV/0!</v>
      </c>
      <c r="CJ61" s="168" t="e">
        <f t="shared" si="61"/>
        <v>#DIV/0!</v>
      </c>
      <c r="CK61" s="169" t="e">
        <f t="shared" si="46"/>
        <v>#DIV/0!</v>
      </c>
      <c r="CL61" s="179" t="e">
        <f t="shared" si="47"/>
        <v>#DIV/0!</v>
      </c>
      <c r="CM61" s="180" t="e">
        <f t="shared" si="62"/>
        <v>#DIV/0!</v>
      </c>
      <c r="CN61" s="178" t="e">
        <f t="shared" si="62"/>
        <v>#DIV/0!</v>
      </c>
      <c r="CO61" s="178" t="e">
        <f t="shared" si="62"/>
        <v>#DIV/0!</v>
      </c>
      <c r="CP61" s="178" t="e">
        <f t="shared" si="62"/>
        <v>#DIV/0!</v>
      </c>
      <c r="CQ61" s="178" t="e">
        <f t="shared" si="62"/>
        <v>#DIV/0!</v>
      </c>
      <c r="CR61" s="178" t="e">
        <f t="shared" si="62"/>
        <v>#DIV/0!</v>
      </c>
      <c r="CS61" s="178" t="e">
        <f t="shared" si="62"/>
        <v>#DIV/0!</v>
      </c>
      <c r="CT61" s="178" t="e">
        <f t="shared" si="62"/>
        <v>#DIV/0!</v>
      </c>
      <c r="CU61" s="178" t="e">
        <f t="shared" si="62"/>
        <v>#DIV/0!</v>
      </c>
      <c r="CV61" s="178" t="e">
        <f t="shared" si="62"/>
        <v>#DIV/0!</v>
      </c>
      <c r="CW61" s="178" t="e">
        <f t="shared" si="62"/>
        <v>#DIV/0!</v>
      </c>
      <c r="CX61" s="168" t="e">
        <f t="shared" si="62"/>
        <v>#DIV/0!</v>
      </c>
      <c r="CY61" s="169" t="e">
        <f t="shared" si="49"/>
        <v>#DIV/0!</v>
      </c>
      <c r="CZ61" s="179" t="e">
        <f t="shared" si="50"/>
        <v>#DIV/0!</v>
      </c>
      <c r="DA61" s="180" t="e">
        <f t="shared" si="63"/>
        <v>#DIV/0!</v>
      </c>
      <c r="DB61" s="178" t="e">
        <f t="shared" si="63"/>
        <v>#DIV/0!</v>
      </c>
      <c r="DC61" s="178" t="e">
        <f t="shared" si="63"/>
        <v>#DIV/0!</v>
      </c>
      <c r="DD61" s="178" t="e">
        <f t="shared" si="63"/>
        <v>#DIV/0!</v>
      </c>
      <c r="DE61" s="178" t="e">
        <f t="shared" si="63"/>
        <v>#DIV/0!</v>
      </c>
      <c r="DF61" s="178" t="e">
        <f t="shared" si="63"/>
        <v>#DIV/0!</v>
      </c>
      <c r="DG61" s="178" t="e">
        <f t="shared" si="63"/>
        <v>#DIV/0!</v>
      </c>
      <c r="DH61" s="178" t="e">
        <f t="shared" si="63"/>
        <v>#DIV/0!</v>
      </c>
      <c r="DI61" s="178" t="e">
        <f t="shared" si="63"/>
        <v>#DIV/0!</v>
      </c>
      <c r="DJ61" s="178" t="e">
        <f t="shared" si="63"/>
        <v>#DIV/0!</v>
      </c>
      <c r="DK61" s="178" t="e">
        <f t="shared" si="63"/>
        <v>#DIV/0!</v>
      </c>
      <c r="DL61" s="168" t="e">
        <f t="shared" si="63"/>
        <v>#DIV/0!</v>
      </c>
      <c r="DM61" s="169" t="e">
        <f t="shared" si="52"/>
        <v>#DIV/0!</v>
      </c>
      <c r="DN61" s="171" t="e">
        <f t="shared" si="53"/>
        <v>#DIV/0!</v>
      </c>
      <c r="DO61" s="180" t="e">
        <f t="shared" si="64"/>
        <v>#DIV/0!</v>
      </c>
      <c r="DP61" s="178" t="e">
        <f t="shared" si="64"/>
        <v>#DIV/0!</v>
      </c>
      <c r="DQ61" s="178" t="e">
        <f t="shared" si="64"/>
        <v>#DIV/0!</v>
      </c>
      <c r="DR61" s="178" t="e">
        <f t="shared" si="64"/>
        <v>#DIV/0!</v>
      </c>
      <c r="DS61" s="178" t="e">
        <f t="shared" si="64"/>
        <v>#DIV/0!</v>
      </c>
      <c r="DT61" s="178" t="e">
        <f t="shared" si="64"/>
        <v>#DIV/0!</v>
      </c>
      <c r="DU61" s="178" t="e">
        <f t="shared" si="64"/>
        <v>#DIV/0!</v>
      </c>
      <c r="DV61" s="178" t="e">
        <f t="shared" si="64"/>
        <v>#DIV/0!</v>
      </c>
      <c r="DW61" s="178" t="e">
        <f t="shared" si="64"/>
        <v>#DIV/0!</v>
      </c>
      <c r="DX61" s="178" t="e">
        <f t="shared" si="64"/>
        <v>#DIV/0!</v>
      </c>
      <c r="DY61" s="178" t="e">
        <f t="shared" si="64"/>
        <v>#DIV/0!</v>
      </c>
      <c r="DZ61" s="168" t="e">
        <f t="shared" si="64"/>
        <v>#DIV/0!</v>
      </c>
      <c r="EA61" s="169" t="e">
        <f t="shared" si="55"/>
        <v>#DIV/0!</v>
      </c>
      <c r="EB61" s="171" t="e">
        <f t="shared" si="56"/>
        <v>#DIV/0!</v>
      </c>
    </row>
    <row r="62" spans="1:132" s="177" customFormat="1" ht="15.75">
      <c r="A62" s="163">
        <v>43831</v>
      </c>
      <c r="B62" s="407" t="s">
        <v>88</v>
      </c>
      <c r="C62" s="407" t="s">
        <v>299</v>
      </c>
      <c r="D62" s="410">
        <v>8500</v>
      </c>
      <c r="E62" s="167"/>
      <c r="F62" s="168" t="e">
        <f t="shared" si="20"/>
        <v>#DIV/0!</v>
      </c>
      <c r="G62" s="169" t="e">
        <f t="shared" si="65"/>
        <v>#DIV/0!</v>
      </c>
      <c r="H62" s="178" t="e">
        <f t="shared" si="65"/>
        <v>#DIV/0!</v>
      </c>
      <c r="I62" s="178" t="e">
        <f t="shared" si="65"/>
        <v>#DIV/0!</v>
      </c>
      <c r="J62" s="178" t="e">
        <f t="shared" si="65"/>
        <v>#DIV/0!</v>
      </c>
      <c r="K62" s="178" t="e">
        <f t="shared" si="65"/>
        <v>#DIV/0!</v>
      </c>
      <c r="L62" s="178" t="e">
        <f t="shared" si="65"/>
        <v>#DIV/0!</v>
      </c>
      <c r="M62" s="178" t="e">
        <f t="shared" si="65"/>
        <v>#DIV/0!</v>
      </c>
      <c r="N62" s="178" t="e">
        <f t="shared" si="65"/>
        <v>#DIV/0!</v>
      </c>
      <c r="O62" s="178" t="e">
        <f t="shared" si="65"/>
        <v>#DIV/0!</v>
      </c>
      <c r="P62" s="178" t="e">
        <f t="shared" si="65"/>
        <v>#DIV/0!</v>
      </c>
      <c r="Q62" s="178" t="e">
        <f t="shared" si="65"/>
        <v>#DIV/0!</v>
      </c>
      <c r="R62" s="179" t="e">
        <f t="shared" si="65"/>
        <v>#DIV/0!</v>
      </c>
      <c r="S62" s="169" t="e">
        <f t="shared" si="31"/>
        <v>#DIV/0!</v>
      </c>
      <c r="T62" s="179" t="e">
        <f t="shared" si="32"/>
        <v>#DIV/0!</v>
      </c>
      <c r="U62" s="180" t="e">
        <f t="shared" si="57"/>
        <v>#DIV/0!</v>
      </c>
      <c r="V62" s="178" t="e">
        <f t="shared" si="57"/>
        <v>#DIV/0!</v>
      </c>
      <c r="W62" s="178" t="e">
        <f t="shared" si="57"/>
        <v>#DIV/0!</v>
      </c>
      <c r="X62" s="178" t="e">
        <f t="shared" si="57"/>
        <v>#DIV/0!</v>
      </c>
      <c r="Y62" s="178" t="e">
        <f t="shared" si="57"/>
        <v>#DIV/0!</v>
      </c>
      <c r="Z62" s="178" t="e">
        <f t="shared" si="57"/>
        <v>#DIV/0!</v>
      </c>
      <c r="AA62" s="178" t="e">
        <f t="shared" si="57"/>
        <v>#DIV/0!</v>
      </c>
      <c r="AB62" s="178" t="e">
        <f t="shared" si="57"/>
        <v>#DIV/0!</v>
      </c>
      <c r="AC62" s="178" t="e">
        <f t="shared" si="57"/>
        <v>#DIV/0!</v>
      </c>
      <c r="AD62" s="178" t="e">
        <f t="shared" si="57"/>
        <v>#DIV/0!</v>
      </c>
      <c r="AE62" s="178" t="e">
        <f t="shared" si="57"/>
        <v>#DIV/0!</v>
      </c>
      <c r="AF62" s="168" t="e">
        <f t="shared" si="57"/>
        <v>#DIV/0!</v>
      </c>
      <c r="AG62" s="169" t="e">
        <f t="shared" si="34"/>
        <v>#DIV/0!</v>
      </c>
      <c r="AH62" s="179" t="e">
        <f t="shared" si="35"/>
        <v>#DIV/0!</v>
      </c>
      <c r="AI62" s="180" t="e">
        <f t="shared" si="58"/>
        <v>#DIV/0!</v>
      </c>
      <c r="AJ62" s="178" t="e">
        <f t="shared" si="58"/>
        <v>#DIV/0!</v>
      </c>
      <c r="AK62" s="178" t="e">
        <f t="shared" si="58"/>
        <v>#DIV/0!</v>
      </c>
      <c r="AL62" s="178" t="e">
        <f t="shared" si="58"/>
        <v>#DIV/0!</v>
      </c>
      <c r="AM62" s="178" t="e">
        <f t="shared" si="58"/>
        <v>#DIV/0!</v>
      </c>
      <c r="AN62" s="178" t="e">
        <f t="shared" si="58"/>
        <v>#DIV/0!</v>
      </c>
      <c r="AO62" s="178" t="e">
        <f t="shared" si="58"/>
        <v>#DIV/0!</v>
      </c>
      <c r="AP62" s="178" t="e">
        <f t="shared" si="58"/>
        <v>#DIV/0!</v>
      </c>
      <c r="AQ62" s="178" t="e">
        <f t="shared" si="58"/>
        <v>#DIV/0!</v>
      </c>
      <c r="AR62" s="178" t="e">
        <f t="shared" si="58"/>
        <v>#DIV/0!</v>
      </c>
      <c r="AS62" s="178" t="e">
        <f t="shared" si="58"/>
        <v>#DIV/0!</v>
      </c>
      <c r="AT62" s="168" t="e">
        <f t="shared" si="58"/>
        <v>#DIV/0!</v>
      </c>
      <c r="AU62" s="169" t="e">
        <f t="shared" si="37"/>
        <v>#DIV/0!</v>
      </c>
      <c r="AV62" s="179" t="e">
        <f t="shared" si="38"/>
        <v>#DIV/0!</v>
      </c>
      <c r="AW62" s="180" t="e">
        <f t="shared" si="59"/>
        <v>#DIV/0!</v>
      </c>
      <c r="AX62" s="178" t="e">
        <f t="shared" si="59"/>
        <v>#DIV/0!</v>
      </c>
      <c r="AY62" s="178" t="e">
        <f t="shared" si="59"/>
        <v>#DIV/0!</v>
      </c>
      <c r="AZ62" s="178" t="e">
        <f t="shared" si="59"/>
        <v>#DIV/0!</v>
      </c>
      <c r="BA62" s="178" t="e">
        <f t="shared" si="59"/>
        <v>#DIV/0!</v>
      </c>
      <c r="BB62" s="178" t="e">
        <f t="shared" si="59"/>
        <v>#DIV/0!</v>
      </c>
      <c r="BC62" s="178" t="e">
        <f t="shared" si="59"/>
        <v>#DIV/0!</v>
      </c>
      <c r="BD62" s="178" t="e">
        <f t="shared" si="59"/>
        <v>#DIV/0!</v>
      </c>
      <c r="BE62" s="178" t="e">
        <f t="shared" si="59"/>
        <v>#DIV/0!</v>
      </c>
      <c r="BF62" s="178" t="e">
        <f t="shared" si="59"/>
        <v>#DIV/0!</v>
      </c>
      <c r="BG62" s="178" t="e">
        <f t="shared" si="59"/>
        <v>#DIV/0!</v>
      </c>
      <c r="BH62" s="168" t="e">
        <f t="shared" si="59"/>
        <v>#DIV/0!</v>
      </c>
      <c r="BI62" s="169" t="e">
        <f t="shared" si="40"/>
        <v>#DIV/0!</v>
      </c>
      <c r="BJ62" s="179" t="e">
        <f t="shared" si="41"/>
        <v>#DIV/0!</v>
      </c>
      <c r="BK62" s="180" t="e">
        <f t="shared" si="60"/>
        <v>#DIV/0!</v>
      </c>
      <c r="BL62" s="178" t="e">
        <f t="shared" si="60"/>
        <v>#DIV/0!</v>
      </c>
      <c r="BM62" s="178" t="e">
        <f t="shared" si="60"/>
        <v>#DIV/0!</v>
      </c>
      <c r="BN62" s="178" t="e">
        <f t="shared" si="60"/>
        <v>#DIV/0!</v>
      </c>
      <c r="BO62" s="178" t="e">
        <f t="shared" si="60"/>
        <v>#DIV/0!</v>
      </c>
      <c r="BP62" s="178" t="e">
        <f t="shared" si="60"/>
        <v>#DIV/0!</v>
      </c>
      <c r="BQ62" s="178" t="e">
        <f t="shared" si="60"/>
        <v>#DIV/0!</v>
      </c>
      <c r="BR62" s="178" t="e">
        <f t="shared" si="60"/>
        <v>#DIV/0!</v>
      </c>
      <c r="BS62" s="178" t="e">
        <f t="shared" si="60"/>
        <v>#DIV/0!</v>
      </c>
      <c r="BT62" s="178" t="e">
        <f t="shared" si="60"/>
        <v>#DIV/0!</v>
      </c>
      <c r="BU62" s="178" t="e">
        <f t="shared" si="60"/>
        <v>#DIV/0!</v>
      </c>
      <c r="BV62" s="168" t="e">
        <f t="shared" si="60"/>
        <v>#DIV/0!</v>
      </c>
      <c r="BW62" s="169" t="e">
        <f t="shared" si="43"/>
        <v>#DIV/0!</v>
      </c>
      <c r="BX62" s="179" t="e">
        <f t="shared" si="44"/>
        <v>#DIV/0!</v>
      </c>
      <c r="BY62" s="180" t="e">
        <f t="shared" si="61"/>
        <v>#DIV/0!</v>
      </c>
      <c r="BZ62" s="178" t="e">
        <f t="shared" si="61"/>
        <v>#DIV/0!</v>
      </c>
      <c r="CA62" s="178" t="e">
        <f t="shared" si="61"/>
        <v>#DIV/0!</v>
      </c>
      <c r="CB62" s="178" t="e">
        <f t="shared" si="61"/>
        <v>#DIV/0!</v>
      </c>
      <c r="CC62" s="178" t="e">
        <f t="shared" si="61"/>
        <v>#DIV/0!</v>
      </c>
      <c r="CD62" s="178" t="e">
        <f t="shared" si="61"/>
        <v>#DIV/0!</v>
      </c>
      <c r="CE62" s="178" t="e">
        <f t="shared" si="61"/>
        <v>#DIV/0!</v>
      </c>
      <c r="CF62" s="178" t="e">
        <f t="shared" si="61"/>
        <v>#DIV/0!</v>
      </c>
      <c r="CG62" s="178" t="e">
        <f t="shared" si="61"/>
        <v>#DIV/0!</v>
      </c>
      <c r="CH62" s="178" t="e">
        <f t="shared" si="61"/>
        <v>#DIV/0!</v>
      </c>
      <c r="CI62" s="178" t="e">
        <f t="shared" si="61"/>
        <v>#DIV/0!</v>
      </c>
      <c r="CJ62" s="168" t="e">
        <f t="shared" si="61"/>
        <v>#DIV/0!</v>
      </c>
      <c r="CK62" s="169" t="e">
        <f t="shared" si="46"/>
        <v>#DIV/0!</v>
      </c>
      <c r="CL62" s="179" t="e">
        <f t="shared" si="47"/>
        <v>#DIV/0!</v>
      </c>
      <c r="CM62" s="180" t="e">
        <f t="shared" si="62"/>
        <v>#DIV/0!</v>
      </c>
      <c r="CN62" s="178" t="e">
        <f t="shared" si="62"/>
        <v>#DIV/0!</v>
      </c>
      <c r="CO62" s="178" t="e">
        <f t="shared" si="62"/>
        <v>#DIV/0!</v>
      </c>
      <c r="CP62" s="178" t="e">
        <f t="shared" si="62"/>
        <v>#DIV/0!</v>
      </c>
      <c r="CQ62" s="178" t="e">
        <f t="shared" si="62"/>
        <v>#DIV/0!</v>
      </c>
      <c r="CR62" s="178" t="e">
        <f t="shared" si="62"/>
        <v>#DIV/0!</v>
      </c>
      <c r="CS62" s="178" t="e">
        <f t="shared" si="62"/>
        <v>#DIV/0!</v>
      </c>
      <c r="CT62" s="178" t="e">
        <f t="shared" si="62"/>
        <v>#DIV/0!</v>
      </c>
      <c r="CU62" s="178" t="e">
        <f t="shared" si="62"/>
        <v>#DIV/0!</v>
      </c>
      <c r="CV62" s="178" t="e">
        <f t="shared" si="62"/>
        <v>#DIV/0!</v>
      </c>
      <c r="CW62" s="178" t="e">
        <f t="shared" si="62"/>
        <v>#DIV/0!</v>
      </c>
      <c r="CX62" s="168" t="e">
        <f t="shared" si="62"/>
        <v>#DIV/0!</v>
      </c>
      <c r="CY62" s="169" t="e">
        <f t="shared" si="49"/>
        <v>#DIV/0!</v>
      </c>
      <c r="CZ62" s="179" t="e">
        <f t="shared" si="50"/>
        <v>#DIV/0!</v>
      </c>
      <c r="DA62" s="180" t="e">
        <f t="shared" si="63"/>
        <v>#DIV/0!</v>
      </c>
      <c r="DB62" s="178" t="e">
        <f t="shared" si="63"/>
        <v>#DIV/0!</v>
      </c>
      <c r="DC62" s="178" t="e">
        <f t="shared" si="63"/>
        <v>#DIV/0!</v>
      </c>
      <c r="DD62" s="178" t="e">
        <f t="shared" si="63"/>
        <v>#DIV/0!</v>
      </c>
      <c r="DE62" s="178" t="e">
        <f t="shared" si="63"/>
        <v>#DIV/0!</v>
      </c>
      <c r="DF62" s="178" t="e">
        <f t="shared" si="63"/>
        <v>#DIV/0!</v>
      </c>
      <c r="DG62" s="178" t="e">
        <f t="shared" si="63"/>
        <v>#DIV/0!</v>
      </c>
      <c r="DH62" s="178" t="e">
        <f t="shared" si="63"/>
        <v>#DIV/0!</v>
      </c>
      <c r="DI62" s="178" t="e">
        <f t="shared" si="63"/>
        <v>#DIV/0!</v>
      </c>
      <c r="DJ62" s="178" t="e">
        <f t="shared" si="63"/>
        <v>#DIV/0!</v>
      </c>
      <c r="DK62" s="178" t="e">
        <f t="shared" si="63"/>
        <v>#DIV/0!</v>
      </c>
      <c r="DL62" s="168" t="e">
        <f t="shared" si="63"/>
        <v>#DIV/0!</v>
      </c>
      <c r="DM62" s="169" t="e">
        <f t="shared" si="52"/>
        <v>#DIV/0!</v>
      </c>
      <c r="DN62" s="171" t="e">
        <f t="shared" si="53"/>
        <v>#DIV/0!</v>
      </c>
      <c r="DO62" s="180" t="e">
        <f t="shared" si="64"/>
        <v>#DIV/0!</v>
      </c>
      <c r="DP62" s="178" t="e">
        <f t="shared" si="64"/>
        <v>#DIV/0!</v>
      </c>
      <c r="DQ62" s="178" t="e">
        <f t="shared" si="64"/>
        <v>#DIV/0!</v>
      </c>
      <c r="DR62" s="178" t="e">
        <f t="shared" si="64"/>
        <v>#DIV/0!</v>
      </c>
      <c r="DS62" s="178" t="e">
        <f t="shared" si="64"/>
        <v>#DIV/0!</v>
      </c>
      <c r="DT62" s="178" t="e">
        <f t="shared" si="64"/>
        <v>#DIV/0!</v>
      </c>
      <c r="DU62" s="178" t="e">
        <f t="shared" si="64"/>
        <v>#DIV/0!</v>
      </c>
      <c r="DV62" s="178" t="e">
        <f t="shared" si="64"/>
        <v>#DIV/0!</v>
      </c>
      <c r="DW62" s="178" t="e">
        <f t="shared" si="64"/>
        <v>#DIV/0!</v>
      </c>
      <c r="DX62" s="178" t="e">
        <f t="shared" si="64"/>
        <v>#DIV/0!</v>
      </c>
      <c r="DY62" s="178" t="e">
        <f t="shared" si="64"/>
        <v>#DIV/0!</v>
      </c>
      <c r="DZ62" s="168" t="e">
        <f t="shared" si="64"/>
        <v>#DIV/0!</v>
      </c>
      <c r="EA62" s="169" t="e">
        <f t="shared" si="55"/>
        <v>#DIV/0!</v>
      </c>
      <c r="EB62" s="171" t="e">
        <f t="shared" si="56"/>
        <v>#DIV/0!</v>
      </c>
    </row>
    <row r="63" spans="1:132" s="177" customFormat="1" ht="15.75">
      <c r="A63" s="163">
        <v>43831</v>
      </c>
      <c r="B63" s="407" t="s">
        <v>90</v>
      </c>
      <c r="C63" s="406" t="s">
        <v>300</v>
      </c>
      <c r="D63" s="166">
        <v>23500</v>
      </c>
      <c r="E63" s="167"/>
      <c r="F63" s="168" t="e">
        <f t="shared" si="20"/>
        <v>#DIV/0!</v>
      </c>
      <c r="G63" s="169" t="e">
        <f t="shared" si="65"/>
        <v>#DIV/0!</v>
      </c>
      <c r="H63" s="178" t="e">
        <f t="shared" si="65"/>
        <v>#DIV/0!</v>
      </c>
      <c r="I63" s="178" t="e">
        <f t="shared" si="65"/>
        <v>#DIV/0!</v>
      </c>
      <c r="J63" s="178" t="e">
        <f t="shared" si="65"/>
        <v>#DIV/0!</v>
      </c>
      <c r="K63" s="178" t="e">
        <f t="shared" si="65"/>
        <v>#DIV/0!</v>
      </c>
      <c r="L63" s="178" t="e">
        <f t="shared" si="65"/>
        <v>#DIV/0!</v>
      </c>
      <c r="M63" s="178" t="e">
        <f t="shared" si="65"/>
        <v>#DIV/0!</v>
      </c>
      <c r="N63" s="178" t="e">
        <f t="shared" si="65"/>
        <v>#DIV/0!</v>
      </c>
      <c r="O63" s="178" t="e">
        <f t="shared" si="65"/>
        <v>#DIV/0!</v>
      </c>
      <c r="P63" s="178" t="e">
        <f t="shared" si="65"/>
        <v>#DIV/0!</v>
      </c>
      <c r="Q63" s="178" t="e">
        <f t="shared" si="65"/>
        <v>#DIV/0!</v>
      </c>
      <c r="R63" s="179" t="e">
        <f t="shared" si="65"/>
        <v>#DIV/0!</v>
      </c>
      <c r="S63" s="169" t="e">
        <f t="shared" si="31"/>
        <v>#DIV/0!</v>
      </c>
      <c r="T63" s="179" t="e">
        <f t="shared" si="32"/>
        <v>#DIV/0!</v>
      </c>
      <c r="U63" s="180" t="e">
        <f t="shared" si="57"/>
        <v>#DIV/0!</v>
      </c>
      <c r="V63" s="178" t="e">
        <f t="shared" si="57"/>
        <v>#DIV/0!</v>
      </c>
      <c r="W63" s="178" t="e">
        <f t="shared" si="57"/>
        <v>#DIV/0!</v>
      </c>
      <c r="X63" s="178" t="e">
        <f t="shared" si="57"/>
        <v>#DIV/0!</v>
      </c>
      <c r="Y63" s="178" t="e">
        <f t="shared" si="57"/>
        <v>#DIV/0!</v>
      </c>
      <c r="Z63" s="178" t="e">
        <f t="shared" si="57"/>
        <v>#DIV/0!</v>
      </c>
      <c r="AA63" s="178" t="e">
        <f t="shared" si="57"/>
        <v>#DIV/0!</v>
      </c>
      <c r="AB63" s="178" t="e">
        <f t="shared" si="57"/>
        <v>#DIV/0!</v>
      </c>
      <c r="AC63" s="178" t="e">
        <f t="shared" si="57"/>
        <v>#DIV/0!</v>
      </c>
      <c r="AD63" s="178" t="e">
        <f t="shared" si="57"/>
        <v>#DIV/0!</v>
      </c>
      <c r="AE63" s="178" t="e">
        <f t="shared" si="57"/>
        <v>#DIV/0!</v>
      </c>
      <c r="AF63" s="168" t="e">
        <f t="shared" si="57"/>
        <v>#DIV/0!</v>
      </c>
      <c r="AG63" s="169" t="e">
        <f t="shared" si="34"/>
        <v>#DIV/0!</v>
      </c>
      <c r="AH63" s="179" t="e">
        <f t="shared" si="35"/>
        <v>#DIV/0!</v>
      </c>
      <c r="AI63" s="180" t="e">
        <f t="shared" si="58"/>
        <v>#DIV/0!</v>
      </c>
      <c r="AJ63" s="178" t="e">
        <f t="shared" si="58"/>
        <v>#DIV/0!</v>
      </c>
      <c r="AK63" s="178" t="e">
        <f t="shared" si="58"/>
        <v>#DIV/0!</v>
      </c>
      <c r="AL63" s="178" t="e">
        <f t="shared" si="58"/>
        <v>#DIV/0!</v>
      </c>
      <c r="AM63" s="178" t="e">
        <f t="shared" si="58"/>
        <v>#DIV/0!</v>
      </c>
      <c r="AN63" s="178" t="e">
        <f t="shared" si="58"/>
        <v>#DIV/0!</v>
      </c>
      <c r="AO63" s="178" t="e">
        <f t="shared" si="58"/>
        <v>#DIV/0!</v>
      </c>
      <c r="AP63" s="178" t="e">
        <f t="shared" si="58"/>
        <v>#DIV/0!</v>
      </c>
      <c r="AQ63" s="178" t="e">
        <f t="shared" si="58"/>
        <v>#DIV/0!</v>
      </c>
      <c r="AR63" s="178" t="e">
        <f t="shared" si="58"/>
        <v>#DIV/0!</v>
      </c>
      <c r="AS63" s="178" t="e">
        <f t="shared" si="58"/>
        <v>#DIV/0!</v>
      </c>
      <c r="AT63" s="168" t="e">
        <f t="shared" si="58"/>
        <v>#DIV/0!</v>
      </c>
      <c r="AU63" s="169" t="e">
        <f t="shared" si="37"/>
        <v>#DIV/0!</v>
      </c>
      <c r="AV63" s="179" t="e">
        <f t="shared" si="38"/>
        <v>#DIV/0!</v>
      </c>
      <c r="AW63" s="180" t="e">
        <f t="shared" si="59"/>
        <v>#DIV/0!</v>
      </c>
      <c r="AX63" s="178" t="e">
        <f t="shared" si="59"/>
        <v>#DIV/0!</v>
      </c>
      <c r="AY63" s="178" t="e">
        <f t="shared" si="59"/>
        <v>#DIV/0!</v>
      </c>
      <c r="AZ63" s="178" t="e">
        <f t="shared" si="59"/>
        <v>#DIV/0!</v>
      </c>
      <c r="BA63" s="178" t="e">
        <f t="shared" si="59"/>
        <v>#DIV/0!</v>
      </c>
      <c r="BB63" s="178" t="e">
        <f t="shared" si="59"/>
        <v>#DIV/0!</v>
      </c>
      <c r="BC63" s="178" t="e">
        <f t="shared" si="59"/>
        <v>#DIV/0!</v>
      </c>
      <c r="BD63" s="178" t="e">
        <f t="shared" si="59"/>
        <v>#DIV/0!</v>
      </c>
      <c r="BE63" s="178" t="e">
        <f t="shared" si="59"/>
        <v>#DIV/0!</v>
      </c>
      <c r="BF63" s="178" t="e">
        <f t="shared" si="59"/>
        <v>#DIV/0!</v>
      </c>
      <c r="BG63" s="178" t="e">
        <f t="shared" si="59"/>
        <v>#DIV/0!</v>
      </c>
      <c r="BH63" s="168" t="e">
        <f t="shared" si="59"/>
        <v>#DIV/0!</v>
      </c>
      <c r="BI63" s="169" t="e">
        <f t="shared" si="40"/>
        <v>#DIV/0!</v>
      </c>
      <c r="BJ63" s="179" t="e">
        <f t="shared" si="41"/>
        <v>#DIV/0!</v>
      </c>
      <c r="BK63" s="180" t="e">
        <f t="shared" si="60"/>
        <v>#DIV/0!</v>
      </c>
      <c r="BL63" s="178" t="e">
        <f t="shared" si="60"/>
        <v>#DIV/0!</v>
      </c>
      <c r="BM63" s="178" t="e">
        <f t="shared" si="60"/>
        <v>#DIV/0!</v>
      </c>
      <c r="BN63" s="178" t="e">
        <f t="shared" si="60"/>
        <v>#DIV/0!</v>
      </c>
      <c r="BO63" s="178" t="e">
        <f t="shared" si="60"/>
        <v>#DIV/0!</v>
      </c>
      <c r="BP63" s="178" t="e">
        <f t="shared" si="60"/>
        <v>#DIV/0!</v>
      </c>
      <c r="BQ63" s="178" t="e">
        <f t="shared" si="60"/>
        <v>#DIV/0!</v>
      </c>
      <c r="BR63" s="178" t="e">
        <f t="shared" si="60"/>
        <v>#DIV/0!</v>
      </c>
      <c r="BS63" s="178" t="e">
        <f t="shared" si="60"/>
        <v>#DIV/0!</v>
      </c>
      <c r="BT63" s="178" t="e">
        <f t="shared" si="60"/>
        <v>#DIV/0!</v>
      </c>
      <c r="BU63" s="178" t="e">
        <f t="shared" si="60"/>
        <v>#DIV/0!</v>
      </c>
      <c r="BV63" s="168" t="e">
        <f t="shared" si="60"/>
        <v>#DIV/0!</v>
      </c>
      <c r="BW63" s="169" t="e">
        <f t="shared" si="43"/>
        <v>#DIV/0!</v>
      </c>
      <c r="BX63" s="179" t="e">
        <f t="shared" si="44"/>
        <v>#DIV/0!</v>
      </c>
      <c r="BY63" s="180" t="e">
        <f t="shared" si="61"/>
        <v>#DIV/0!</v>
      </c>
      <c r="BZ63" s="178" t="e">
        <f t="shared" si="61"/>
        <v>#DIV/0!</v>
      </c>
      <c r="CA63" s="178" t="e">
        <f t="shared" si="61"/>
        <v>#DIV/0!</v>
      </c>
      <c r="CB63" s="178" t="e">
        <f t="shared" si="61"/>
        <v>#DIV/0!</v>
      </c>
      <c r="CC63" s="178" t="e">
        <f t="shared" si="61"/>
        <v>#DIV/0!</v>
      </c>
      <c r="CD63" s="178" t="e">
        <f t="shared" si="61"/>
        <v>#DIV/0!</v>
      </c>
      <c r="CE63" s="178" t="e">
        <f t="shared" si="61"/>
        <v>#DIV/0!</v>
      </c>
      <c r="CF63" s="178" t="e">
        <f t="shared" si="61"/>
        <v>#DIV/0!</v>
      </c>
      <c r="CG63" s="178" t="e">
        <f t="shared" si="61"/>
        <v>#DIV/0!</v>
      </c>
      <c r="CH63" s="178" t="e">
        <f t="shared" si="61"/>
        <v>#DIV/0!</v>
      </c>
      <c r="CI63" s="178" t="e">
        <f t="shared" si="61"/>
        <v>#DIV/0!</v>
      </c>
      <c r="CJ63" s="168" t="e">
        <f t="shared" si="61"/>
        <v>#DIV/0!</v>
      </c>
      <c r="CK63" s="169" t="e">
        <f t="shared" si="46"/>
        <v>#DIV/0!</v>
      </c>
      <c r="CL63" s="179" t="e">
        <f t="shared" si="47"/>
        <v>#DIV/0!</v>
      </c>
      <c r="CM63" s="180" t="e">
        <f t="shared" si="62"/>
        <v>#DIV/0!</v>
      </c>
      <c r="CN63" s="178" t="e">
        <f t="shared" si="62"/>
        <v>#DIV/0!</v>
      </c>
      <c r="CO63" s="178" t="e">
        <f t="shared" si="62"/>
        <v>#DIV/0!</v>
      </c>
      <c r="CP63" s="178" t="e">
        <f t="shared" si="62"/>
        <v>#DIV/0!</v>
      </c>
      <c r="CQ63" s="178" t="e">
        <f t="shared" si="62"/>
        <v>#DIV/0!</v>
      </c>
      <c r="CR63" s="178" t="e">
        <f t="shared" si="62"/>
        <v>#DIV/0!</v>
      </c>
      <c r="CS63" s="178" t="e">
        <f t="shared" si="62"/>
        <v>#DIV/0!</v>
      </c>
      <c r="CT63" s="178" t="e">
        <f t="shared" si="62"/>
        <v>#DIV/0!</v>
      </c>
      <c r="CU63" s="178" t="e">
        <f t="shared" si="62"/>
        <v>#DIV/0!</v>
      </c>
      <c r="CV63" s="178" t="e">
        <f t="shared" si="62"/>
        <v>#DIV/0!</v>
      </c>
      <c r="CW63" s="178" t="e">
        <f t="shared" si="62"/>
        <v>#DIV/0!</v>
      </c>
      <c r="CX63" s="168" t="e">
        <f t="shared" si="62"/>
        <v>#DIV/0!</v>
      </c>
      <c r="CY63" s="169" t="e">
        <f t="shared" si="49"/>
        <v>#DIV/0!</v>
      </c>
      <c r="CZ63" s="179" t="e">
        <f t="shared" si="50"/>
        <v>#DIV/0!</v>
      </c>
      <c r="DA63" s="180" t="e">
        <f t="shared" si="63"/>
        <v>#DIV/0!</v>
      </c>
      <c r="DB63" s="178" t="e">
        <f t="shared" si="63"/>
        <v>#DIV/0!</v>
      </c>
      <c r="DC63" s="178" t="e">
        <f t="shared" si="63"/>
        <v>#DIV/0!</v>
      </c>
      <c r="DD63" s="178" t="e">
        <f t="shared" si="63"/>
        <v>#DIV/0!</v>
      </c>
      <c r="DE63" s="178" t="e">
        <f t="shared" si="63"/>
        <v>#DIV/0!</v>
      </c>
      <c r="DF63" s="178" t="e">
        <f t="shared" si="63"/>
        <v>#DIV/0!</v>
      </c>
      <c r="DG63" s="178" t="e">
        <f t="shared" si="63"/>
        <v>#DIV/0!</v>
      </c>
      <c r="DH63" s="178" t="e">
        <f t="shared" si="63"/>
        <v>#DIV/0!</v>
      </c>
      <c r="DI63" s="178" t="e">
        <f t="shared" si="63"/>
        <v>#DIV/0!</v>
      </c>
      <c r="DJ63" s="178" t="e">
        <f t="shared" si="63"/>
        <v>#DIV/0!</v>
      </c>
      <c r="DK63" s="178" t="e">
        <f t="shared" si="63"/>
        <v>#DIV/0!</v>
      </c>
      <c r="DL63" s="168" t="e">
        <f t="shared" si="63"/>
        <v>#DIV/0!</v>
      </c>
      <c r="DM63" s="169" t="e">
        <f t="shared" si="52"/>
        <v>#DIV/0!</v>
      </c>
      <c r="DN63" s="171" t="e">
        <f t="shared" si="53"/>
        <v>#DIV/0!</v>
      </c>
      <c r="DO63" s="180" t="e">
        <f t="shared" si="64"/>
        <v>#DIV/0!</v>
      </c>
      <c r="DP63" s="178" t="e">
        <f t="shared" si="64"/>
        <v>#DIV/0!</v>
      </c>
      <c r="DQ63" s="178" t="e">
        <f t="shared" si="64"/>
        <v>#DIV/0!</v>
      </c>
      <c r="DR63" s="178" t="e">
        <f t="shared" si="64"/>
        <v>#DIV/0!</v>
      </c>
      <c r="DS63" s="178" t="e">
        <f t="shared" si="64"/>
        <v>#DIV/0!</v>
      </c>
      <c r="DT63" s="178" t="e">
        <f t="shared" si="64"/>
        <v>#DIV/0!</v>
      </c>
      <c r="DU63" s="178" t="e">
        <f t="shared" si="64"/>
        <v>#DIV/0!</v>
      </c>
      <c r="DV63" s="178" t="e">
        <f t="shared" si="64"/>
        <v>#DIV/0!</v>
      </c>
      <c r="DW63" s="178" t="e">
        <f t="shared" si="64"/>
        <v>#DIV/0!</v>
      </c>
      <c r="DX63" s="178" t="e">
        <f t="shared" si="64"/>
        <v>#DIV/0!</v>
      </c>
      <c r="DY63" s="178" t="e">
        <f t="shared" si="64"/>
        <v>#DIV/0!</v>
      </c>
      <c r="DZ63" s="168" t="e">
        <f t="shared" si="64"/>
        <v>#DIV/0!</v>
      </c>
      <c r="EA63" s="169" t="e">
        <f t="shared" si="55"/>
        <v>#DIV/0!</v>
      </c>
      <c r="EB63" s="171" t="e">
        <f t="shared" si="56"/>
        <v>#DIV/0!</v>
      </c>
    </row>
    <row r="64" spans="1:132" s="177" customFormat="1" ht="15.75">
      <c r="A64" s="163">
        <v>43831</v>
      </c>
      <c r="B64" s="407" t="s">
        <v>90</v>
      </c>
      <c r="C64" s="165" t="s">
        <v>301</v>
      </c>
      <c r="D64" s="166">
        <v>280000</v>
      </c>
      <c r="E64" s="167"/>
      <c r="F64" s="168" t="e">
        <f t="shared" si="20"/>
        <v>#DIV/0!</v>
      </c>
      <c r="G64" s="169" t="e">
        <f t="shared" si="65"/>
        <v>#DIV/0!</v>
      </c>
      <c r="H64" s="178" t="e">
        <f t="shared" si="65"/>
        <v>#DIV/0!</v>
      </c>
      <c r="I64" s="178" t="e">
        <f t="shared" si="65"/>
        <v>#DIV/0!</v>
      </c>
      <c r="J64" s="178" t="e">
        <f t="shared" si="65"/>
        <v>#DIV/0!</v>
      </c>
      <c r="K64" s="178" t="e">
        <f t="shared" si="65"/>
        <v>#DIV/0!</v>
      </c>
      <c r="L64" s="178" t="e">
        <f t="shared" si="65"/>
        <v>#DIV/0!</v>
      </c>
      <c r="M64" s="178" t="e">
        <f t="shared" si="65"/>
        <v>#DIV/0!</v>
      </c>
      <c r="N64" s="178" t="e">
        <f t="shared" si="65"/>
        <v>#DIV/0!</v>
      </c>
      <c r="O64" s="178" t="e">
        <f t="shared" si="65"/>
        <v>#DIV/0!</v>
      </c>
      <c r="P64" s="178" t="e">
        <f t="shared" si="65"/>
        <v>#DIV/0!</v>
      </c>
      <c r="Q64" s="178" t="e">
        <f t="shared" si="65"/>
        <v>#DIV/0!</v>
      </c>
      <c r="R64" s="179" t="e">
        <f t="shared" si="65"/>
        <v>#DIV/0!</v>
      </c>
      <c r="S64" s="169" t="e">
        <f t="shared" si="31"/>
        <v>#DIV/0!</v>
      </c>
      <c r="T64" s="179" t="e">
        <f t="shared" si="32"/>
        <v>#DIV/0!</v>
      </c>
      <c r="U64" s="180" t="e">
        <f t="shared" si="57"/>
        <v>#DIV/0!</v>
      </c>
      <c r="V64" s="178" t="e">
        <f t="shared" si="57"/>
        <v>#DIV/0!</v>
      </c>
      <c r="W64" s="178" t="e">
        <f t="shared" si="57"/>
        <v>#DIV/0!</v>
      </c>
      <c r="X64" s="178" t="e">
        <f t="shared" ref="V64:AF87" si="66">IF(OR($F64&lt;=0,(X$9-$A64)&gt;(365*$E64)),0,IF($A64&lt;=X$9,$F64/12,0))</f>
        <v>#DIV/0!</v>
      </c>
      <c r="Y64" s="178" t="e">
        <f t="shared" si="66"/>
        <v>#DIV/0!</v>
      </c>
      <c r="Z64" s="178" t="e">
        <f t="shared" si="66"/>
        <v>#DIV/0!</v>
      </c>
      <c r="AA64" s="178" t="e">
        <f t="shared" si="66"/>
        <v>#DIV/0!</v>
      </c>
      <c r="AB64" s="178" t="e">
        <f t="shared" si="66"/>
        <v>#DIV/0!</v>
      </c>
      <c r="AC64" s="178" t="e">
        <f t="shared" si="66"/>
        <v>#DIV/0!</v>
      </c>
      <c r="AD64" s="178" t="e">
        <f t="shared" si="66"/>
        <v>#DIV/0!</v>
      </c>
      <c r="AE64" s="178" t="e">
        <f t="shared" si="66"/>
        <v>#DIV/0!</v>
      </c>
      <c r="AF64" s="168" t="e">
        <f t="shared" si="66"/>
        <v>#DIV/0!</v>
      </c>
      <c r="AG64" s="169" t="e">
        <f t="shared" si="34"/>
        <v>#DIV/0!</v>
      </c>
      <c r="AH64" s="179" t="e">
        <f t="shared" si="35"/>
        <v>#DIV/0!</v>
      </c>
      <c r="AI64" s="180" t="e">
        <f t="shared" si="58"/>
        <v>#DIV/0!</v>
      </c>
      <c r="AJ64" s="178" t="e">
        <f t="shared" si="58"/>
        <v>#DIV/0!</v>
      </c>
      <c r="AK64" s="178" t="e">
        <f t="shared" si="58"/>
        <v>#DIV/0!</v>
      </c>
      <c r="AL64" s="178" t="e">
        <f t="shared" si="58"/>
        <v>#DIV/0!</v>
      </c>
      <c r="AM64" s="178" t="e">
        <f t="shared" si="58"/>
        <v>#DIV/0!</v>
      </c>
      <c r="AN64" s="178" t="e">
        <f t="shared" si="58"/>
        <v>#DIV/0!</v>
      </c>
      <c r="AO64" s="178" t="e">
        <f t="shared" si="58"/>
        <v>#DIV/0!</v>
      </c>
      <c r="AP64" s="178" t="e">
        <f t="shared" si="58"/>
        <v>#DIV/0!</v>
      </c>
      <c r="AQ64" s="178" t="e">
        <f t="shared" si="58"/>
        <v>#DIV/0!</v>
      </c>
      <c r="AR64" s="178" t="e">
        <f t="shared" si="58"/>
        <v>#DIV/0!</v>
      </c>
      <c r="AS64" s="178" t="e">
        <f t="shared" si="58"/>
        <v>#DIV/0!</v>
      </c>
      <c r="AT64" s="168" t="e">
        <f t="shared" si="58"/>
        <v>#DIV/0!</v>
      </c>
      <c r="AU64" s="169" t="e">
        <f t="shared" si="37"/>
        <v>#DIV/0!</v>
      </c>
      <c r="AV64" s="179" t="e">
        <f t="shared" si="38"/>
        <v>#DIV/0!</v>
      </c>
      <c r="AW64" s="180" t="e">
        <f t="shared" si="59"/>
        <v>#DIV/0!</v>
      </c>
      <c r="AX64" s="178" t="e">
        <f t="shared" si="59"/>
        <v>#DIV/0!</v>
      </c>
      <c r="AY64" s="178" t="e">
        <f t="shared" si="59"/>
        <v>#DIV/0!</v>
      </c>
      <c r="AZ64" s="178" t="e">
        <f t="shared" ref="AX64:BH87" si="67">IF(OR($F64&lt;=0,(AZ$9-$A64)&gt;(365*$E64)),0,IF($A64&lt;=AZ$9,$F64/12,0))</f>
        <v>#DIV/0!</v>
      </c>
      <c r="BA64" s="178" t="e">
        <f t="shared" si="67"/>
        <v>#DIV/0!</v>
      </c>
      <c r="BB64" s="178" t="e">
        <f t="shared" si="67"/>
        <v>#DIV/0!</v>
      </c>
      <c r="BC64" s="178" t="e">
        <f t="shared" si="67"/>
        <v>#DIV/0!</v>
      </c>
      <c r="BD64" s="178" t="e">
        <f t="shared" si="67"/>
        <v>#DIV/0!</v>
      </c>
      <c r="BE64" s="178" t="e">
        <f t="shared" si="67"/>
        <v>#DIV/0!</v>
      </c>
      <c r="BF64" s="178" t="e">
        <f t="shared" si="67"/>
        <v>#DIV/0!</v>
      </c>
      <c r="BG64" s="178" t="e">
        <f t="shared" si="67"/>
        <v>#DIV/0!</v>
      </c>
      <c r="BH64" s="168" t="e">
        <f t="shared" si="67"/>
        <v>#DIV/0!</v>
      </c>
      <c r="BI64" s="169" t="e">
        <f t="shared" si="40"/>
        <v>#DIV/0!</v>
      </c>
      <c r="BJ64" s="179" t="e">
        <f t="shared" si="41"/>
        <v>#DIV/0!</v>
      </c>
      <c r="BK64" s="180" t="e">
        <f t="shared" si="60"/>
        <v>#DIV/0!</v>
      </c>
      <c r="BL64" s="178" t="e">
        <f t="shared" si="60"/>
        <v>#DIV/0!</v>
      </c>
      <c r="BM64" s="178" t="e">
        <f t="shared" si="60"/>
        <v>#DIV/0!</v>
      </c>
      <c r="BN64" s="178" t="e">
        <f t="shared" ref="BL64:BV87" si="68">IF(OR($BJ64&lt;=0,(BN$9-$A64)&gt;($E64*365)),0,IF($A64&lt;=BN$9,$F64/12))</f>
        <v>#DIV/0!</v>
      </c>
      <c r="BO64" s="178" t="e">
        <f t="shared" si="68"/>
        <v>#DIV/0!</v>
      </c>
      <c r="BP64" s="178" t="e">
        <f t="shared" si="68"/>
        <v>#DIV/0!</v>
      </c>
      <c r="BQ64" s="178" t="e">
        <f t="shared" si="68"/>
        <v>#DIV/0!</v>
      </c>
      <c r="BR64" s="178" t="e">
        <f t="shared" si="68"/>
        <v>#DIV/0!</v>
      </c>
      <c r="BS64" s="178" t="e">
        <f t="shared" si="68"/>
        <v>#DIV/0!</v>
      </c>
      <c r="BT64" s="178" t="e">
        <f t="shared" si="68"/>
        <v>#DIV/0!</v>
      </c>
      <c r="BU64" s="178" t="e">
        <f t="shared" si="68"/>
        <v>#DIV/0!</v>
      </c>
      <c r="BV64" s="168" t="e">
        <f t="shared" si="68"/>
        <v>#DIV/0!</v>
      </c>
      <c r="BW64" s="169" t="e">
        <f t="shared" si="43"/>
        <v>#DIV/0!</v>
      </c>
      <c r="BX64" s="179" t="e">
        <f t="shared" si="44"/>
        <v>#DIV/0!</v>
      </c>
      <c r="BY64" s="180" t="e">
        <f t="shared" si="61"/>
        <v>#DIV/0!</v>
      </c>
      <c r="BZ64" s="178" t="e">
        <f t="shared" si="61"/>
        <v>#DIV/0!</v>
      </c>
      <c r="CA64" s="178" t="e">
        <f t="shared" si="61"/>
        <v>#DIV/0!</v>
      </c>
      <c r="CB64" s="178" t="e">
        <f t="shared" ref="BZ64:CJ87" si="69">IF(OR($BX64&lt;=0,(CB$9-$A64)&gt;($E64*365)),0,IF($A64&lt;=CB$9,$F64/12))</f>
        <v>#DIV/0!</v>
      </c>
      <c r="CC64" s="178" t="e">
        <f t="shared" si="69"/>
        <v>#DIV/0!</v>
      </c>
      <c r="CD64" s="178" t="e">
        <f t="shared" si="69"/>
        <v>#DIV/0!</v>
      </c>
      <c r="CE64" s="178" t="e">
        <f t="shared" si="69"/>
        <v>#DIV/0!</v>
      </c>
      <c r="CF64" s="178" t="e">
        <f t="shared" si="69"/>
        <v>#DIV/0!</v>
      </c>
      <c r="CG64" s="178" t="e">
        <f t="shared" si="69"/>
        <v>#DIV/0!</v>
      </c>
      <c r="CH64" s="178" t="e">
        <f t="shared" si="69"/>
        <v>#DIV/0!</v>
      </c>
      <c r="CI64" s="178" t="e">
        <f t="shared" si="69"/>
        <v>#DIV/0!</v>
      </c>
      <c r="CJ64" s="168" t="e">
        <f t="shared" si="69"/>
        <v>#DIV/0!</v>
      </c>
      <c r="CK64" s="169" t="e">
        <f t="shared" si="46"/>
        <v>#DIV/0!</v>
      </c>
      <c r="CL64" s="179" t="e">
        <f t="shared" si="47"/>
        <v>#DIV/0!</v>
      </c>
      <c r="CM64" s="180" t="e">
        <f t="shared" si="62"/>
        <v>#DIV/0!</v>
      </c>
      <c r="CN64" s="178" t="e">
        <f t="shared" si="62"/>
        <v>#DIV/0!</v>
      </c>
      <c r="CO64" s="178" t="e">
        <f t="shared" si="62"/>
        <v>#DIV/0!</v>
      </c>
      <c r="CP64" s="178" t="e">
        <f t="shared" ref="CN64:CX87" si="70">IF(OR($CL64&lt;=0,(CP$9-$A64)&gt;($E64*365)),0,IF($A64&lt;=CP$9,$F64/12))</f>
        <v>#DIV/0!</v>
      </c>
      <c r="CQ64" s="178" t="e">
        <f t="shared" si="70"/>
        <v>#DIV/0!</v>
      </c>
      <c r="CR64" s="178" t="e">
        <f t="shared" si="70"/>
        <v>#DIV/0!</v>
      </c>
      <c r="CS64" s="178" t="e">
        <f t="shared" si="70"/>
        <v>#DIV/0!</v>
      </c>
      <c r="CT64" s="178" t="e">
        <f t="shared" si="70"/>
        <v>#DIV/0!</v>
      </c>
      <c r="CU64" s="178" t="e">
        <f t="shared" si="70"/>
        <v>#DIV/0!</v>
      </c>
      <c r="CV64" s="178" t="e">
        <f t="shared" si="70"/>
        <v>#DIV/0!</v>
      </c>
      <c r="CW64" s="178" t="e">
        <f t="shared" si="70"/>
        <v>#DIV/0!</v>
      </c>
      <c r="CX64" s="168" t="e">
        <f t="shared" si="70"/>
        <v>#DIV/0!</v>
      </c>
      <c r="CY64" s="169" t="e">
        <f t="shared" si="49"/>
        <v>#DIV/0!</v>
      </c>
      <c r="CZ64" s="179" t="e">
        <f t="shared" si="50"/>
        <v>#DIV/0!</v>
      </c>
      <c r="DA64" s="180" t="e">
        <f t="shared" si="63"/>
        <v>#DIV/0!</v>
      </c>
      <c r="DB64" s="178" t="e">
        <f t="shared" si="63"/>
        <v>#DIV/0!</v>
      </c>
      <c r="DC64" s="178" t="e">
        <f t="shared" si="63"/>
        <v>#DIV/0!</v>
      </c>
      <c r="DD64" s="178" t="e">
        <f t="shared" ref="DB64:DL87" si="71">IF(OR($CZ64&lt;=0,(DD$9-$A64)&gt;($E64*365)),0,IF($A64&lt;=DD$9,$F64/12))</f>
        <v>#DIV/0!</v>
      </c>
      <c r="DE64" s="178" t="e">
        <f t="shared" si="71"/>
        <v>#DIV/0!</v>
      </c>
      <c r="DF64" s="178" t="e">
        <f t="shared" si="71"/>
        <v>#DIV/0!</v>
      </c>
      <c r="DG64" s="178" t="e">
        <f t="shared" si="71"/>
        <v>#DIV/0!</v>
      </c>
      <c r="DH64" s="178" t="e">
        <f t="shared" si="71"/>
        <v>#DIV/0!</v>
      </c>
      <c r="DI64" s="178" t="e">
        <f t="shared" si="71"/>
        <v>#DIV/0!</v>
      </c>
      <c r="DJ64" s="178" t="e">
        <f t="shared" si="71"/>
        <v>#DIV/0!</v>
      </c>
      <c r="DK64" s="178" t="e">
        <f t="shared" si="71"/>
        <v>#DIV/0!</v>
      </c>
      <c r="DL64" s="168" t="e">
        <f t="shared" si="71"/>
        <v>#DIV/0!</v>
      </c>
      <c r="DM64" s="169" t="e">
        <f t="shared" si="52"/>
        <v>#DIV/0!</v>
      </c>
      <c r="DN64" s="171" t="e">
        <f t="shared" si="53"/>
        <v>#DIV/0!</v>
      </c>
      <c r="DO64" s="180" t="e">
        <f t="shared" si="64"/>
        <v>#DIV/0!</v>
      </c>
      <c r="DP64" s="178" t="e">
        <f t="shared" si="64"/>
        <v>#DIV/0!</v>
      </c>
      <c r="DQ64" s="178" t="e">
        <f t="shared" si="64"/>
        <v>#DIV/0!</v>
      </c>
      <c r="DR64" s="178" t="e">
        <f t="shared" ref="DP64:DZ87" si="72">IF(OR($DN64&lt;=0,(DR$9-$A64)&gt;($E64*365)),0,IF($A64&lt;=DR$9,$F64/12))</f>
        <v>#DIV/0!</v>
      </c>
      <c r="DS64" s="178" t="e">
        <f t="shared" si="72"/>
        <v>#DIV/0!</v>
      </c>
      <c r="DT64" s="178" t="e">
        <f t="shared" si="72"/>
        <v>#DIV/0!</v>
      </c>
      <c r="DU64" s="178" t="e">
        <f t="shared" si="72"/>
        <v>#DIV/0!</v>
      </c>
      <c r="DV64" s="178" t="e">
        <f t="shared" si="72"/>
        <v>#DIV/0!</v>
      </c>
      <c r="DW64" s="178" t="e">
        <f t="shared" si="72"/>
        <v>#DIV/0!</v>
      </c>
      <c r="DX64" s="178" t="e">
        <f t="shared" si="72"/>
        <v>#DIV/0!</v>
      </c>
      <c r="DY64" s="178" t="e">
        <f t="shared" si="72"/>
        <v>#DIV/0!</v>
      </c>
      <c r="DZ64" s="168" t="e">
        <f t="shared" si="72"/>
        <v>#DIV/0!</v>
      </c>
      <c r="EA64" s="169" t="e">
        <f t="shared" si="55"/>
        <v>#DIV/0!</v>
      </c>
      <c r="EB64" s="171" t="e">
        <f t="shared" si="56"/>
        <v>#DIV/0!</v>
      </c>
    </row>
    <row r="65" spans="1:132" s="177" customFormat="1" ht="15.75">
      <c r="A65" s="163">
        <v>43831</v>
      </c>
      <c r="B65" s="407" t="s">
        <v>88</v>
      </c>
      <c r="C65" s="165" t="s">
        <v>253</v>
      </c>
      <c r="D65" s="166">
        <v>8000</v>
      </c>
      <c r="E65" s="167"/>
      <c r="F65" s="168" t="e">
        <f t="shared" si="20"/>
        <v>#DIV/0!</v>
      </c>
      <c r="G65" s="169" t="e">
        <f t="shared" si="65"/>
        <v>#DIV/0!</v>
      </c>
      <c r="H65" s="178" t="e">
        <f t="shared" si="65"/>
        <v>#DIV/0!</v>
      </c>
      <c r="I65" s="178" t="e">
        <f t="shared" si="65"/>
        <v>#DIV/0!</v>
      </c>
      <c r="J65" s="178" t="e">
        <f t="shared" si="65"/>
        <v>#DIV/0!</v>
      </c>
      <c r="K65" s="178" t="e">
        <f t="shared" si="65"/>
        <v>#DIV/0!</v>
      </c>
      <c r="L65" s="178" t="e">
        <f t="shared" si="65"/>
        <v>#DIV/0!</v>
      </c>
      <c r="M65" s="178" t="e">
        <f t="shared" si="65"/>
        <v>#DIV/0!</v>
      </c>
      <c r="N65" s="178" t="e">
        <f t="shared" si="65"/>
        <v>#DIV/0!</v>
      </c>
      <c r="O65" s="178" t="e">
        <f t="shared" si="65"/>
        <v>#DIV/0!</v>
      </c>
      <c r="P65" s="178" t="e">
        <f t="shared" si="65"/>
        <v>#DIV/0!</v>
      </c>
      <c r="Q65" s="178" t="e">
        <f t="shared" si="65"/>
        <v>#DIV/0!</v>
      </c>
      <c r="R65" s="179" t="e">
        <f t="shared" si="65"/>
        <v>#DIV/0!</v>
      </c>
      <c r="S65" s="169" t="e">
        <f t="shared" si="31"/>
        <v>#DIV/0!</v>
      </c>
      <c r="T65" s="179" t="e">
        <f t="shared" si="32"/>
        <v>#DIV/0!</v>
      </c>
      <c r="U65" s="180" t="e">
        <f t="shared" ref="U65:AF107" si="73">IF(OR($F65&lt;=0,(U$9-$A65)&gt;(365*$E65)),0,IF($A65&lt;=U$9,$F65/12,0))</f>
        <v>#DIV/0!</v>
      </c>
      <c r="V65" s="178" t="e">
        <f t="shared" si="66"/>
        <v>#DIV/0!</v>
      </c>
      <c r="W65" s="178" t="e">
        <f t="shared" si="66"/>
        <v>#DIV/0!</v>
      </c>
      <c r="X65" s="178" t="e">
        <f t="shared" si="66"/>
        <v>#DIV/0!</v>
      </c>
      <c r="Y65" s="178" t="e">
        <f t="shared" si="66"/>
        <v>#DIV/0!</v>
      </c>
      <c r="Z65" s="178" t="e">
        <f t="shared" si="66"/>
        <v>#DIV/0!</v>
      </c>
      <c r="AA65" s="178" t="e">
        <f t="shared" si="66"/>
        <v>#DIV/0!</v>
      </c>
      <c r="AB65" s="178" t="e">
        <f t="shared" si="66"/>
        <v>#DIV/0!</v>
      </c>
      <c r="AC65" s="178" t="e">
        <f t="shared" si="66"/>
        <v>#DIV/0!</v>
      </c>
      <c r="AD65" s="178" t="e">
        <f t="shared" si="66"/>
        <v>#DIV/0!</v>
      </c>
      <c r="AE65" s="178" t="e">
        <f t="shared" si="66"/>
        <v>#DIV/0!</v>
      </c>
      <c r="AF65" s="168" t="e">
        <f t="shared" si="66"/>
        <v>#DIV/0!</v>
      </c>
      <c r="AG65" s="169" t="e">
        <f t="shared" si="34"/>
        <v>#DIV/0!</v>
      </c>
      <c r="AH65" s="179" t="e">
        <f t="shared" si="35"/>
        <v>#DIV/0!</v>
      </c>
      <c r="AI65" s="180" t="e">
        <f t="shared" ref="AI65:AT86" si="74">IF(OR($F65&lt;=0,(AI$9-$A65)&gt;(365*$E65)),0,IF($A65&lt;=AI$9,$F65/12,0))</f>
        <v>#DIV/0!</v>
      </c>
      <c r="AJ65" s="178" t="e">
        <f t="shared" si="74"/>
        <v>#DIV/0!</v>
      </c>
      <c r="AK65" s="178" t="e">
        <f t="shared" si="74"/>
        <v>#DIV/0!</v>
      </c>
      <c r="AL65" s="178" t="e">
        <f t="shared" si="74"/>
        <v>#DIV/0!</v>
      </c>
      <c r="AM65" s="178" t="e">
        <f t="shared" si="74"/>
        <v>#DIV/0!</v>
      </c>
      <c r="AN65" s="178" t="e">
        <f t="shared" si="74"/>
        <v>#DIV/0!</v>
      </c>
      <c r="AO65" s="178" t="e">
        <f t="shared" si="74"/>
        <v>#DIV/0!</v>
      </c>
      <c r="AP65" s="178" t="e">
        <f t="shared" si="74"/>
        <v>#DIV/0!</v>
      </c>
      <c r="AQ65" s="178" t="e">
        <f t="shared" si="74"/>
        <v>#DIV/0!</v>
      </c>
      <c r="AR65" s="178" t="e">
        <f t="shared" si="74"/>
        <v>#DIV/0!</v>
      </c>
      <c r="AS65" s="178" t="e">
        <f t="shared" si="74"/>
        <v>#DIV/0!</v>
      </c>
      <c r="AT65" s="168" t="e">
        <f t="shared" si="74"/>
        <v>#DIV/0!</v>
      </c>
      <c r="AU65" s="169" t="e">
        <f t="shared" si="37"/>
        <v>#DIV/0!</v>
      </c>
      <c r="AV65" s="179" t="e">
        <f t="shared" si="38"/>
        <v>#DIV/0!</v>
      </c>
      <c r="AW65" s="180" t="e">
        <f t="shared" ref="AW65:BH107" si="75">IF(OR($F65&lt;=0,(AW$9-$A65)&gt;(365*$E65)),0,IF($A65&lt;=AW$9,$F65/12,0))</f>
        <v>#DIV/0!</v>
      </c>
      <c r="AX65" s="178" t="e">
        <f t="shared" si="67"/>
        <v>#DIV/0!</v>
      </c>
      <c r="AY65" s="178" t="e">
        <f t="shared" si="67"/>
        <v>#DIV/0!</v>
      </c>
      <c r="AZ65" s="178" t="e">
        <f t="shared" si="67"/>
        <v>#DIV/0!</v>
      </c>
      <c r="BA65" s="178" t="e">
        <f t="shared" si="67"/>
        <v>#DIV/0!</v>
      </c>
      <c r="BB65" s="178" t="e">
        <f t="shared" si="67"/>
        <v>#DIV/0!</v>
      </c>
      <c r="BC65" s="178" t="e">
        <f t="shared" si="67"/>
        <v>#DIV/0!</v>
      </c>
      <c r="BD65" s="178" t="e">
        <f t="shared" si="67"/>
        <v>#DIV/0!</v>
      </c>
      <c r="BE65" s="178" t="e">
        <f t="shared" si="67"/>
        <v>#DIV/0!</v>
      </c>
      <c r="BF65" s="178" t="e">
        <f t="shared" si="67"/>
        <v>#DIV/0!</v>
      </c>
      <c r="BG65" s="178" t="e">
        <f t="shared" si="67"/>
        <v>#DIV/0!</v>
      </c>
      <c r="BH65" s="168" t="e">
        <f t="shared" si="67"/>
        <v>#DIV/0!</v>
      </c>
      <c r="BI65" s="169" t="e">
        <f t="shared" si="40"/>
        <v>#DIV/0!</v>
      </c>
      <c r="BJ65" s="179" t="e">
        <f t="shared" si="41"/>
        <v>#DIV/0!</v>
      </c>
      <c r="BK65" s="180" t="e">
        <f t="shared" ref="BK65:BV107" si="76">IF(OR($BJ65&lt;=0,(BK$9-$A65)&gt;($E65*365)),0,IF($A65&lt;=BK$9,$F65/12))</f>
        <v>#DIV/0!</v>
      </c>
      <c r="BL65" s="178" t="e">
        <f t="shared" si="68"/>
        <v>#DIV/0!</v>
      </c>
      <c r="BM65" s="178" t="e">
        <f t="shared" si="68"/>
        <v>#DIV/0!</v>
      </c>
      <c r="BN65" s="178" t="e">
        <f t="shared" si="68"/>
        <v>#DIV/0!</v>
      </c>
      <c r="BO65" s="178" t="e">
        <f t="shared" si="68"/>
        <v>#DIV/0!</v>
      </c>
      <c r="BP65" s="178" t="e">
        <f t="shared" si="68"/>
        <v>#DIV/0!</v>
      </c>
      <c r="BQ65" s="178" t="e">
        <f t="shared" si="68"/>
        <v>#DIV/0!</v>
      </c>
      <c r="BR65" s="178" t="e">
        <f t="shared" si="68"/>
        <v>#DIV/0!</v>
      </c>
      <c r="BS65" s="178" t="e">
        <f t="shared" si="68"/>
        <v>#DIV/0!</v>
      </c>
      <c r="BT65" s="178" t="e">
        <f t="shared" si="68"/>
        <v>#DIV/0!</v>
      </c>
      <c r="BU65" s="178" t="e">
        <f t="shared" si="68"/>
        <v>#DIV/0!</v>
      </c>
      <c r="BV65" s="168" t="e">
        <f t="shared" si="68"/>
        <v>#DIV/0!</v>
      </c>
      <c r="BW65" s="169" t="e">
        <f t="shared" si="43"/>
        <v>#DIV/0!</v>
      </c>
      <c r="BX65" s="179" t="e">
        <f t="shared" si="44"/>
        <v>#DIV/0!</v>
      </c>
      <c r="BY65" s="180" t="e">
        <f t="shared" ref="BY65:CJ107" si="77">IF(OR($BX65&lt;=0,(BY$9-$A65)&gt;($E65*365)),0,IF($A65&lt;=BY$9,$F65/12))</f>
        <v>#DIV/0!</v>
      </c>
      <c r="BZ65" s="178" t="e">
        <f t="shared" si="69"/>
        <v>#DIV/0!</v>
      </c>
      <c r="CA65" s="178" t="e">
        <f t="shared" si="69"/>
        <v>#DIV/0!</v>
      </c>
      <c r="CB65" s="178" t="e">
        <f t="shared" si="69"/>
        <v>#DIV/0!</v>
      </c>
      <c r="CC65" s="178" t="e">
        <f t="shared" si="69"/>
        <v>#DIV/0!</v>
      </c>
      <c r="CD65" s="178" t="e">
        <f t="shared" si="69"/>
        <v>#DIV/0!</v>
      </c>
      <c r="CE65" s="178" t="e">
        <f t="shared" si="69"/>
        <v>#DIV/0!</v>
      </c>
      <c r="CF65" s="178" t="e">
        <f t="shared" si="69"/>
        <v>#DIV/0!</v>
      </c>
      <c r="CG65" s="178" t="e">
        <f t="shared" si="69"/>
        <v>#DIV/0!</v>
      </c>
      <c r="CH65" s="178" t="e">
        <f t="shared" si="69"/>
        <v>#DIV/0!</v>
      </c>
      <c r="CI65" s="178" t="e">
        <f t="shared" si="69"/>
        <v>#DIV/0!</v>
      </c>
      <c r="CJ65" s="168" t="e">
        <f t="shared" si="69"/>
        <v>#DIV/0!</v>
      </c>
      <c r="CK65" s="169" t="e">
        <f t="shared" si="46"/>
        <v>#DIV/0!</v>
      </c>
      <c r="CL65" s="179" t="e">
        <f t="shared" si="47"/>
        <v>#DIV/0!</v>
      </c>
      <c r="CM65" s="180" t="e">
        <f t="shared" ref="CM65:CX107" si="78">IF(OR($CL65&lt;=0,(CM$9-$A65)&gt;($E65*365)),0,IF($A65&lt;=CM$9,$F65/12))</f>
        <v>#DIV/0!</v>
      </c>
      <c r="CN65" s="178" t="e">
        <f t="shared" si="70"/>
        <v>#DIV/0!</v>
      </c>
      <c r="CO65" s="178" t="e">
        <f t="shared" si="70"/>
        <v>#DIV/0!</v>
      </c>
      <c r="CP65" s="178" t="e">
        <f t="shared" si="70"/>
        <v>#DIV/0!</v>
      </c>
      <c r="CQ65" s="178" t="e">
        <f t="shared" si="70"/>
        <v>#DIV/0!</v>
      </c>
      <c r="CR65" s="178" t="e">
        <f t="shared" si="70"/>
        <v>#DIV/0!</v>
      </c>
      <c r="CS65" s="178" t="e">
        <f t="shared" si="70"/>
        <v>#DIV/0!</v>
      </c>
      <c r="CT65" s="178" t="e">
        <f t="shared" si="70"/>
        <v>#DIV/0!</v>
      </c>
      <c r="CU65" s="178" t="e">
        <f t="shared" si="70"/>
        <v>#DIV/0!</v>
      </c>
      <c r="CV65" s="178" t="e">
        <f t="shared" si="70"/>
        <v>#DIV/0!</v>
      </c>
      <c r="CW65" s="178" t="e">
        <f t="shared" si="70"/>
        <v>#DIV/0!</v>
      </c>
      <c r="CX65" s="168" t="e">
        <f t="shared" si="70"/>
        <v>#DIV/0!</v>
      </c>
      <c r="CY65" s="169" t="e">
        <f t="shared" si="49"/>
        <v>#DIV/0!</v>
      </c>
      <c r="CZ65" s="179" t="e">
        <f t="shared" si="50"/>
        <v>#DIV/0!</v>
      </c>
      <c r="DA65" s="180" t="e">
        <f t="shared" ref="DA65:DL107" si="79">IF(OR($CZ65&lt;=0,(DA$9-$A65)&gt;($E65*365)),0,IF($A65&lt;=DA$9,$F65/12))</f>
        <v>#DIV/0!</v>
      </c>
      <c r="DB65" s="178" t="e">
        <f t="shared" si="71"/>
        <v>#DIV/0!</v>
      </c>
      <c r="DC65" s="178" t="e">
        <f t="shared" si="71"/>
        <v>#DIV/0!</v>
      </c>
      <c r="DD65" s="178" t="e">
        <f t="shared" si="71"/>
        <v>#DIV/0!</v>
      </c>
      <c r="DE65" s="178" t="e">
        <f t="shared" si="71"/>
        <v>#DIV/0!</v>
      </c>
      <c r="DF65" s="178" t="e">
        <f t="shared" si="71"/>
        <v>#DIV/0!</v>
      </c>
      <c r="DG65" s="178" t="e">
        <f t="shared" si="71"/>
        <v>#DIV/0!</v>
      </c>
      <c r="DH65" s="178" t="e">
        <f t="shared" si="71"/>
        <v>#DIV/0!</v>
      </c>
      <c r="DI65" s="178" t="e">
        <f t="shared" si="71"/>
        <v>#DIV/0!</v>
      </c>
      <c r="DJ65" s="178" t="e">
        <f t="shared" si="71"/>
        <v>#DIV/0!</v>
      </c>
      <c r="DK65" s="178" t="e">
        <f t="shared" si="71"/>
        <v>#DIV/0!</v>
      </c>
      <c r="DL65" s="168" t="e">
        <f t="shared" si="71"/>
        <v>#DIV/0!</v>
      </c>
      <c r="DM65" s="169" t="e">
        <f t="shared" si="52"/>
        <v>#DIV/0!</v>
      </c>
      <c r="DN65" s="171" t="e">
        <f t="shared" si="53"/>
        <v>#DIV/0!</v>
      </c>
      <c r="DO65" s="180" t="e">
        <f t="shared" ref="DO65:DZ107" si="80">IF(OR($DN65&lt;=0,(DO$9-$A65)&gt;($E65*365)),0,IF($A65&lt;=DO$9,$F65/12))</f>
        <v>#DIV/0!</v>
      </c>
      <c r="DP65" s="178" t="e">
        <f t="shared" si="72"/>
        <v>#DIV/0!</v>
      </c>
      <c r="DQ65" s="178" t="e">
        <f t="shared" si="72"/>
        <v>#DIV/0!</v>
      </c>
      <c r="DR65" s="178" t="e">
        <f t="shared" si="72"/>
        <v>#DIV/0!</v>
      </c>
      <c r="DS65" s="178" t="e">
        <f t="shared" si="72"/>
        <v>#DIV/0!</v>
      </c>
      <c r="DT65" s="178" t="e">
        <f t="shared" si="72"/>
        <v>#DIV/0!</v>
      </c>
      <c r="DU65" s="178" t="e">
        <f t="shared" si="72"/>
        <v>#DIV/0!</v>
      </c>
      <c r="DV65" s="178" t="e">
        <f t="shared" si="72"/>
        <v>#DIV/0!</v>
      </c>
      <c r="DW65" s="178" t="e">
        <f t="shared" si="72"/>
        <v>#DIV/0!</v>
      </c>
      <c r="DX65" s="178" t="e">
        <f t="shared" si="72"/>
        <v>#DIV/0!</v>
      </c>
      <c r="DY65" s="178" t="e">
        <f t="shared" si="72"/>
        <v>#DIV/0!</v>
      </c>
      <c r="DZ65" s="168" t="e">
        <f t="shared" si="72"/>
        <v>#DIV/0!</v>
      </c>
      <c r="EA65" s="169" t="e">
        <f t="shared" si="55"/>
        <v>#DIV/0!</v>
      </c>
      <c r="EB65" s="171" t="e">
        <f t="shared" si="56"/>
        <v>#DIV/0!</v>
      </c>
    </row>
    <row r="66" spans="1:132" s="177" customFormat="1" ht="15.75">
      <c r="A66" s="163">
        <v>43831</v>
      </c>
      <c r="B66" s="407" t="s">
        <v>88</v>
      </c>
      <c r="C66" s="165" t="s">
        <v>302</v>
      </c>
      <c r="D66" s="166">
        <v>5400</v>
      </c>
      <c r="E66" s="167"/>
      <c r="F66" s="168" t="e">
        <f t="shared" si="20"/>
        <v>#DIV/0!</v>
      </c>
      <c r="G66" s="169" t="e">
        <f t="shared" si="65"/>
        <v>#DIV/0!</v>
      </c>
      <c r="H66" s="178" t="e">
        <f t="shared" si="65"/>
        <v>#DIV/0!</v>
      </c>
      <c r="I66" s="178" t="e">
        <f t="shared" si="65"/>
        <v>#DIV/0!</v>
      </c>
      <c r="J66" s="178" t="e">
        <f t="shared" si="65"/>
        <v>#DIV/0!</v>
      </c>
      <c r="K66" s="178" t="e">
        <f t="shared" si="65"/>
        <v>#DIV/0!</v>
      </c>
      <c r="L66" s="178" t="e">
        <f t="shared" si="65"/>
        <v>#DIV/0!</v>
      </c>
      <c r="M66" s="178" t="e">
        <f t="shared" si="65"/>
        <v>#DIV/0!</v>
      </c>
      <c r="N66" s="178" t="e">
        <f t="shared" si="65"/>
        <v>#DIV/0!</v>
      </c>
      <c r="O66" s="178" t="e">
        <f t="shared" si="65"/>
        <v>#DIV/0!</v>
      </c>
      <c r="P66" s="178" t="e">
        <f t="shared" si="65"/>
        <v>#DIV/0!</v>
      </c>
      <c r="Q66" s="178" t="e">
        <f t="shared" si="65"/>
        <v>#DIV/0!</v>
      </c>
      <c r="R66" s="179" t="e">
        <f t="shared" si="65"/>
        <v>#DIV/0!</v>
      </c>
      <c r="S66" s="169" t="e">
        <f t="shared" si="31"/>
        <v>#DIV/0!</v>
      </c>
      <c r="T66" s="179" t="e">
        <f t="shared" si="32"/>
        <v>#DIV/0!</v>
      </c>
      <c r="U66" s="180" t="e">
        <f t="shared" si="73"/>
        <v>#DIV/0!</v>
      </c>
      <c r="V66" s="178" t="e">
        <f t="shared" si="66"/>
        <v>#DIV/0!</v>
      </c>
      <c r="W66" s="178" t="e">
        <f t="shared" si="66"/>
        <v>#DIV/0!</v>
      </c>
      <c r="X66" s="178" t="e">
        <f t="shared" si="66"/>
        <v>#DIV/0!</v>
      </c>
      <c r="Y66" s="178" t="e">
        <f t="shared" si="66"/>
        <v>#DIV/0!</v>
      </c>
      <c r="Z66" s="178" t="e">
        <f t="shared" si="66"/>
        <v>#DIV/0!</v>
      </c>
      <c r="AA66" s="178" t="e">
        <f t="shared" si="66"/>
        <v>#DIV/0!</v>
      </c>
      <c r="AB66" s="178" t="e">
        <f t="shared" si="66"/>
        <v>#DIV/0!</v>
      </c>
      <c r="AC66" s="178" t="e">
        <f t="shared" si="66"/>
        <v>#DIV/0!</v>
      </c>
      <c r="AD66" s="178" t="e">
        <f t="shared" si="66"/>
        <v>#DIV/0!</v>
      </c>
      <c r="AE66" s="178" t="e">
        <f t="shared" si="66"/>
        <v>#DIV/0!</v>
      </c>
      <c r="AF66" s="168" t="e">
        <f t="shared" si="66"/>
        <v>#DIV/0!</v>
      </c>
      <c r="AG66" s="169" t="e">
        <f t="shared" si="34"/>
        <v>#DIV/0!</v>
      </c>
      <c r="AH66" s="179" t="e">
        <f t="shared" si="35"/>
        <v>#DIV/0!</v>
      </c>
      <c r="AI66" s="180" t="e">
        <f t="shared" si="74"/>
        <v>#DIV/0!</v>
      </c>
      <c r="AJ66" s="178" t="e">
        <f t="shared" si="74"/>
        <v>#DIV/0!</v>
      </c>
      <c r="AK66" s="178" t="e">
        <f t="shared" si="74"/>
        <v>#DIV/0!</v>
      </c>
      <c r="AL66" s="178" t="e">
        <f t="shared" si="74"/>
        <v>#DIV/0!</v>
      </c>
      <c r="AM66" s="178" t="e">
        <f t="shared" si="74"/>
        <v>#DIV/0!</v>
      </c>
      <c r="AN66" s="178" t="e">
        <f t="shared" si="74"/>
        <v>#DIV/0!</v>
      </c>
      <c r="AO66" s="178" t="e">
        <f t="shared" si="74"/>
        <v>#DIV/0!</v>
      </c>
      <c r="AP66" s="178" t="e">
        <f t="shared" si="74"/>
        <v>#DIV/0!</v>
      </c>
      <c r="AQ66" s="178" t="e">
        <f t="shared" si="74"/>
        <v>#DIV/0!</v>
      </c>
      <c r="AR66" s="178" t="e">
        <f t="shared" si="74"/>
        <v>#DIV/0!</v>
      </c>
      <c r="AS66" s="178" t="e">
        <f t="shared" si="74"/>
        <v>#DIV/0!</v>
      </c>
      <c r="AT66" s="168" t="e">
        <f t="shared" si="74"/>
        <v>#DIV/0!</v>
      </c>
      <c r="AU66" s="169" t="e">
        <f t="shared" si="37"/>
        <v>#DIV/0!</v>
      </c>
      <c r="AV66" s="179" t="e">
        <f t="shared" si="38"/>
        <v>#DIV/0!</v>
      </c>
      <c r="AW66" s="180" t="e">
        <f t="shared" si="75"/>
        <v>#DIV/0!</v>
      </c>
      <c r="AX66" s="178" t="e">
        <f t="shared" si="67"/>
        <v>#DIV/0!</v>
      </c>
      <c r="AY66" s="178" t="e">
        <f t="shared" si="67"/>
        <v>#DIV/0!</v>
      </c>
      <c r="AZ66" s="178" t="e">
        <f t="shared" si="67"/>
        <v>#DIV/0!</v>
      </c>
      <c r="BA66" s="178" t="e">
        <f t="shared" si="67"/>
        <v>#DIV/0!</v>
      </c>
      <c r="BB66" s="178" t="e">
        <f t="shared" si="67"/>
        <v>#DIV/0!</v>
      </c>
      <c r="BC66" s="178" t="e">
        <f t="shared" si="67"/>
        <v>#DIV/0!</v>
      </c>
      <c r="BD66" s="178" t="e">
        <f t="shared" si="67"/>
        <v>#DIV/0!</v>
      </c>
      <c r="BE66" s="178" t="e">
        <f t="shared" si="67"/>
        <v>#DIV/0!</v>
      </c>
      <c r="BF66" s="178" t="e">
        <f t="shared" si="67"/>
        <v>#DIV/0!</v>
      </c>
      <c r="BG66" s="178" t="e">
        <f t="shared" si="67"/>
        <v>#DIV/0!</v>
      </c>
      <c r="BH66" s="168" t="e">
        <f t="shared" si="67"/>
        <v>#DIV/0!</v>
      </c>
      <c r="BI66" s="169" t="e">
        <f t="shared" si="40"/>
        <v>#DIV/0!</v>
      </c>
      <c r="BJ66" s="179" t="e">
        <f t="shared" si="41"/>
        <v>#DIV/0!</v>
      </c>
      <c r="BK66" s="180" t="e">
        <f t="shared" si="76"/>
        <v>#DIV/0!</v>
      </c>
      <c r="BL66" s="178" t="e">
        <f t="shared" si="68"/>
        <v>#DIV/0!</v>
      </c>
      <c r="BM66" s="178" t="e">
        <f t="shared" si="68"/>
        <v>#DIV/0!</v>
      </c>
      <c r="BN66" s="178" t="e">
        <f t="shared" si="68"/>
        <v>#DIV/0!</v>
      </c>
      <c r="BO66" s="178" t="e">
        <f t="shared" si="68"/>
        <v>#DIV/0!</v>
      </c>
      <c r="BP66" s="178" t="e">
        <f t="shared" si="68"/>
        <v>#DIV/0!</v>
      </c>
      <c r="BQ66" s="178" t="e">
        <f t="shared" si="68"/>
        <v>#DIV/0!</v>
      </c>
      <c r="BR66" s="178" t="e">
        <f t="shared" si="68"/>
        <v>#DIV/0!</v>
      </c>
      <c r="BS66" s="178" t="e">
        <f t="shared" si="68"/>
        <v>#DIV/0!</v>
      </c>
      <c r="BT66" s="178" t="e">
        <f t="shared" si="68"/>
        <v>#DIV/0!</v>
      </c>
      <c r="BU66" s="178" t="e">
        <f t="shared" si="68"/>
        <v>#DIV/0!</v>
      </c>
      <c r="BV66" s="168" t="e">
        <f t="shared" si="68"/>
        <v>#DIV/0!</v>
      </c>
      <c r="BW66" s="169" t="e">
        <f t="shared" si="43"/>
        <v>#DIV/0!</v>
      </c>
      <c r="BX66" s="179" t="e">
        <f t="shared" si="44"/>
        <v>#DIV/0!</v>
      </c>
      <c r="BY66" s="180" t="e">
        <f t="shared" si="77"/>
        <v>#DIV/0!</v>
      </c>
      <c r="BZ66" s="178" t="e">
        <f t="shared" si="69"/>
        <v>#DIV/0!</v>
      </c>
      <c r="CA66" s="178" t="e">
        <f t="shared" si="69"/>
        <v>#DIV/0!</v>
      </c>
      <c r="CB66" s="178" t="e">
        <f t="shared" si="69"/>
        <v>#DIV/0!</v>
      </c>
      <c r="CC66" s="178" t="e">
        <f t="shared" si="69"/>
        <v>#DIV/0!</v>
      </c>
      <c r="CD66" s="178" t="e">
        <f t="shared" si="69"/>
        <v>#DIV/0!</v>
      </c>
      <c r="CE66" s="178" t="e">
        <f t="shared" si="69"/>
        <v>#DIV/0!</v>
      </c>
      <c r="CF66" s="178" t="e">
        <f t="shared" si="69"/>
        <v>#DIV/0!</v>
      </c>
      <c r="CG66" s="178" t="e">
        <f t="shared" si="69"/>
        <v>#DIV/0!</v>
      </c>
      <c r="CH66" s="178" t="e">
        <f t="shared" si="69"/>
        <v>#DIV/0!</v>
      </c>
      <c r="CI66" s="178" t="e">
        <f t="shared" si="69"/>
        <v>#DIV/0!</v>
      </c>
      <c r="CJ66" s="168" t="e">
        <f t="shared" si="69"/>
        <v>#DIV/0!</v>
      </c>
      <c r="CK66" s="169" t="e">
        <f t="shared" si="46"/>
        <v>#DIV/0!</v>
      </c>
      <c r="CL66" s="179" t="e">
        <f t="shared" si="47"/>
        <v>#DIV/0!</v>
      </c>
      <c r="CM66" s="180" t="e">
        <f t="shared" si="78"/>
        <v>#DIV/0!</v>
      </c>
      <c r="CN66" s="178" t="e">
        <f t="shared" si="70"/>
        <v>#DIV/0!</v>
      </c>
      <c r="CO66" s="178" t="e">
        <f t="shared" si="70"/>
        <v>#DIV/0!</v>
      </c>
      <c r="CP66" s="178" t="e">
        <f t="shared" si="70"/>
        <v>#DIV/0!</v>
      </c>
      <c r="CQ66" s="178" t="e">
        <f t="shared" si="70"/>
        <v>#DIV/0!</v>
      </c>
      <c r="CR66" s="178" t="e">
        <f t="shared" si="70"/>
        <v>#DIV/0!</v>
      </c>
      <c r="CS66" s="178" t="e">
        <f t="shared" si="70"/>
        <v>#DIV/0!</v>
      </c>
      <c r="CT66" s="178" t="e">
        <f t="shared" si="70"/>
        <v>#DIV/0!</v>
      </c>
      <c r="CU66" s="178" t="e">
        <f t="shared" si="70"/>
        <v>#DIV/0!</v>
      </c>
      <c r="CV66" s="178" t="e">
        <f t="shared" si="70"/>
        <v>#DIV/0!</v>
      </c>
      <c r="CW66" s="178" t="e">
        <f t="shared" si="70"/>
        <v>#DIV/0!</v>
      </c>
      <c r="CX66" s="168" t="e">
        <f t="shared" si="70"/>
        <v>#DIV/0!</v>
      </c>
      <c r="CY66" s="169" t="e">
        <f t="shared" si="49"/>
        <v>#DIV/0!</v>
      </c>
      <c r="CZ66" s="179" t="e">
        <f t="shared" si="50"/>
        <v>#DIV/0!</v>
      </c>
      <c r="DA66" s="180" t="e">
        <f t="shared" si="79"/>
        <v>#DIV/0!</v>
      </c>
      <c r="DB66" s="178" t="e">
        <f t="shared" si="71"/>
        <v>#DIV/0!</v>
      </c>
      <c r="DC66" s="178" t="e">
        <f t="shared" si="71"/>
        <v>#DIV/0!</v>
      </c>
      <c r="DD66" s="178" t="e">
        <f t="shared" si="71"/>
        <v>#DIV/0!</v>
      </c>
      <c r="DE66" s="178" t="e">
        <f t="shared" si="71"/>
        <v>#DIV/0!</v>
      </c>
      <c r="DF66" s="178" t="e">
        <f t="shared" si="71"/>
        <v>#DIV/0!</v>
      </c>
      <c r="DG66" s="178" t="e">
        <f t="shared" si="71"/>
        <v>#DIV/0!</v>
      </c>
      <c r="DH66" s="178" t="e">
        <f t="shared" si="71"/>
        <v>#DIV/0!</v>
      </c>
      <c r="DI66" s="178" t="e">
        <f t="shared" si="71"/>
        <v>#DIV/0!</v>
      </c>
      <c r="DJ66" s="178" t="e">
        <f t="shared" si="71"/>
        <v>#DIV/0!</v>
      </c>
      <c r="DK66" s="178" t="e">
        <f t="shared" si="71"/>
        <v>#DIV/0!</v>
      </c>
      <c r="DL66" s="168" t="e">
        <f t="shared" si="71"/>
        <v>#DIV/0!</v>
      </c>
      <c r="DM66" s="169" t="e">
        <f t="shared" si="52"/>
        <v>#DIV/0!</v>
      </c>
      <c r="DN66" s="171" t="e">
        <f t="shared" si="53"/>
        <v>#DIV/0!</v>
      </c>
      <c r="DO66" s="180" t="e">
        <f t="shared" si="80"/>
        <v>#DIV/0!</v>
      </c>
      <c r="DP66" s="178" t="e">
        <f t="shared" si="72"/>
        <v>#DIV/0!</v>
      </c>
      <c r="DQ66" s="178" t="e">
        <f t="shared" si="72"/>
        <v>#DIV/0!</v>
      </c>
      <c r="DR66" s="178" t="e">
        <f t="shared" si="72"/>
        <v>#DIV/0!</v>
      </c>
      <c r="DS66" s="178" t="e">
        <f t="shared" si="72"/>
        <v>#DIV/0!</v>
      </c>
      <c r="DT66" s="178" t="e">
        <f t="shared" si="72"/>
        <v>#DIV/0!</v>
      </c>
      <c r="DU66" s="178" t="e">
        <f t="shared" si="72"/>
        <v>#DIV/0!</v>
      </c>
      <c r="DV66" s="178" t="e">
        <f t="shared" si="72"/>
        <v>#DIV/0!</v>
      </c>
      <c r="DW66" s="178" t="e">
        <f t="shared" si="72"/>
        <v>#DIV/0!</v>
      </c>
      <c r="DX66" s="178" t="e">
        <f t="shared" si="72"/>
        <v>#DIV/0!</v>
      </c>
      <c r="DY66" s="178" t="e">
        <f t="shared" si="72"/>
        <v>#DIV/0!</v>
      </c>
      <c r="DZ66" s="168" t="e">
        <f t="shared" si="72"/>
        <v>#DIV/0!</v>
      </c>
      <c r="EA66" s="169" t="e">
        <f t="shared" si="55"/>
        <v>#DIV/0!</v>
      </c>
      <c r="EB66" s="171" t="e">
        <f t="shared" si="56"/>
        <v>#DIV/0!</v>
      </c>
    </row>
    <row r="67" spans="1:132" s="177" customFormat="1" ht="15.75">
      <c r="A67" s="163">
        <v>43831</v>
      </c>
      <c r="B67" s="407" t="s">
        <v>88</v>
      </c>
      <c r="C67" s="165" t="s">
        <v>303</v>
      </c>
      <c r="D67" s="166">
        <v>2300</v>
      </c>
      <c r="E67" s="167"/>
      <c r="F67" s="168" t="e">
        <f t="shared" si="20"/>
        <v>#DIV/0!</v>
      </c>
      <c r="G67" s="169" t="e">
        <f t="shared" si="65"/>
        <v>#DIV/0!</v>
      </c>
      <c r="H67" s="178" t="e">
        <f t="shared" si="65"/>
        <v>#DIV/0!</v>
      </c>
      <c r="I67" s="178" t="e">
        <f t="shared" si="65"/>
        <v>#DIV/0!</v>
      </c>
      <c r="J67" s="178" t="e">
        <f t="shared" ref="H67:R90" si="81">IF(OR($F67&lt;=0,(J$9-$A67)&gt;(365*$E67)),0,IF($A67&lt;=J$9,$F67/12,0))</f>
        <v>#DIV/0!</v>
      </c>
      <c r="K67" s="178" t="e">
        <f t="shared" si="81"/>
        <v>#DIV/0!</v>
      </c>
      <c r="L67" s="178" t="e">
        <f t="shared" si="81"/>
        <v>#DIV/0!</v>
      </c>
      <c r="M67" s="178" t="e">
        <f t="shared" si="81"/>
        <v>#DIV/0!</v>
      </c>
      <c r="N67" s="178" t="e">
        <f t="shared" si="81"/>
        <v>#DIV/0!</v>
      </c>
      <c r="O67" s="178" t="e">
        <f t="shared" si="81"/>
        <v>#DIV/0!</v>
      </c>
      <c r="P67" s="178" t="e">
        <f t="shared" si="81"/>
        <v>#DIV/0!</v>
      </c>
      <c r="Q67" s="178" t="e">
        <f t="shared" si="81"/>
        <v>#DIV/0!</v>
      </c>
      <c r="R67" s="179" t="e">
        <f t="shared" si="81"/>
        <v>#DIV/0!</v>
      </c>
      <c r="S67" s="169" t="e">
        <f t="shared" si="31"/>
        <v>#DIV/0!</v>
      </c>
      <c r="T67" s="179" t="e">
        <f t="shared" si="32"/>
        <v>#DIV/0!</v>
      </c>
      <c r="U67" s="180" t="e">
        <f t="shared" si="73"/>
        <v>#DIV/0!</v>
      </c>
      <c r="V67" s="178" t="e">
        <f t="shared" si="66"/>
        <v>#DIV/0!</v>
      </c>
      <c r="W67" s="178" t="e">
        <f t="shared" si="66"/>
        <v>#DIV/0!</v>
      </c>
      <c r="X67" s="178" t="e">
        <f t="shared" si="66"/>
        <v>#DIV/0!</v>
      </c>
      <c r="Y67" s="178" t="e">
        <f t="shared" si="66"/>
        <v>#DIV/0!</v>
      </c>
      <c r="Z67" s="178" t="e">
        <f t="shared" si="66"/>
        <v>#DIV/0!</v>
      </c>
      <c r="AA67" s="178" t="e">
        <f t="shared" si="66"/>
        <v>#DIV/0!</v>
      </c>
      <c r="AB67" s="178" t="e">
        <f t="shared" si="66"/>
        <v>#DIV/0!</v>
      </c>
      <c r="AC67" s="178" t="e">
        <f t="shared" si="66"/>
        <v>#DIV/0!</v>
      </c>
      <c r="AD67" s="178" t="e">
        <f t="shared" si="66"/>
        <v>#DIV/0!</v>
      </c>
      <c r="AE67" s="178" t="e">
        <f t="shared" si="66"/>
        <v>#DIV/0!</v>
      </c>
      <c r="AF67" s="168" t="e">
        <f t="shared" si="66"/>
        <v>#DIV/0!</v>
      </c>
      <c r="AG67" s="169" t="e">
        <f t="shared" si="34"/>
        <v>#DIV/0!</v>
      </c>
      <c r="AH67" s="179" t="e">
        <f t="shared" si="35"/>
        <v>#DIV/0!</v>
      </c>
      <c r="AI67" s="180" t="e">
        <f t="shared" si="74"/>
        <v>#DIV/0!</v>
      </c>
      <c r="AJ67" s="178" t="e">
        <f t="shared" si="74"/>
        <v>#DIV/0!</v>
      </c>
      <c r="AK67" s="178" t="e">
        <f t="shared" si="74"/>
        <v>#DIV/0!</v>
      </c>
      <c r="AL67" s="178" t="e">
        <f t="shared" si="74"/>
        <v>#DIV/0!</v>
      </c>
      <c r="AM67" s="178" t="e">
        <f t="shared" si="74"/>
        <v>#DIV/0!</v>
      </c>
      <c r="AN67" s="178" t="e">
        <f t="shared" si="74"/>
        <v>#DIV/0!</v>
      </c>
      <c r="AO67" s="178" t="e">
        <f t="shared" si="74"/>
        <v>#DIV/0!</v>
      </c>
      <c r="AP67" s="178" t="e">
        <f t="shared" si="74"/>
        <v>#DIV/0!</v>
      </c>
      <c r="AQ67" s="178" t="e">
        <f t="shared" si="74"/>
        <v>#DIV/0!</v>
      </c>
      <c r="AR67" s="178" t="e">
        <f t="shared" si="74"/>
        <v>#DIV/0!</v>
      </c>
      <c r="AS67" s="178" t="e">
        <f t="shared" si="74"/>
        <v>#DIV/0!</v>
      </c>
      <c r="AT67" s="168" t="e">
        <f t="shared" si="74"/>
        <v>#DIV/0!</v>
      </c>
      <c r="AU67" s="169" t="e">
        <f t="shared" si="37"/>
        <v>#DIV/0!</v>
      </c>
      <c r="AV67" s="179" t="e">
        <f t="shared" si="38"/>
        <v>#DIV/0!</v>
      </c>
      <c r="AW67" s="180" t="e">
        <f t="shared" si="75"/>
        <v>#DIV/0!</v>
      </c>
      <c r="AX67" s="178" t="e">
        <f t="shared" si="67"/>
        <v>#DIV/0!</v>
      </c>
      <c r="AY67" s="178" t="e">
        <f t="shared" si="67"/>
        <v>#DIV/0!</v>
      </c>
      <c r="AZ67" s="178" t="e">
        <f t="shared" si="67"/>
        <v>#DIV/0!</v>
      </c>
      <c r="BA67" s="178" t="e">
        <f t="shared" si="67"/>
        <v>#DIV/0!</v>
      </c>
      <c r="BB67" s="178" t="e">
        <f t="shared" si="67"/>
        <v>#DIV/0!</v>
      </c>
      <c r="BC67" s="178" t="e">
        <f t="shared" si="67"/>
        <v>#DIV/0!</v>
      </c>
      <c r="BD67" s="178" t="e">
        <f t="shared" si="67"/>
        <v>#DIV/0!</v>
      </c>
      <c r="BE67" s="178" t="e">
        <f t="shared" si="67"/>
        <v>#DIV/0!</v>
      </c>
      <c r="BF67" s="178" t="e">
        <f t="shared" si="67"/>
        <v>#DIV/0!</v>
      </c>
      <c r="BG67" s="178" t="e">
        <f t="shared" si="67"/>
        <v>#DIV/0!</v>
      </c>
      <c r="BH67" s="168" t="e">
        <f t="shared" si="67"/>
        <v>#DIV/0!</v>
      </c>
      <c r="BI67" s="169" t="e">
        <f t="shared" si="40"/>
        <v>#DIV/0!</v>
      </c>
      <c r="BJ67" s="179" t="e">
        <f t="shared" si="41"/>
        <v>#DIV/0!</v>
      </c>
      <c r="BK67" s="180" t="e">
        <f t="shared" si="76"/>
        <v>#DIV/0!</v>
      </c>
      <c r="BL67" s="178" t="e">
        <f t="shared" si="68"/>
        <v>#DIV/0!</v>
      </c>
      <c r="BM67" s="178" t="e">
        <f t="shared" si="68"/>
        <v>#DIV/0!</v>
      </c>
      <c r="BN67" s="178" t="e">
        <f t="shared" si="68"/>
        <v>#DIV/0!</v>
      </c>
      <c r="BO67" s="178" t="e">
        <f t="shared" si="68"/>
        <v>#DIV/0!</v>
      </c>
      <c r="BP67" s="178" t="e">
        <f t="shared" si="68"/>
        <v>#DIV/0!</v>
      </c>
      <c r="BQ67" s="178" t="e">
        <f t="shared" si="68"/>
        <v>#DIV/0!</v>
      </c>
      <c r="BR67" s="178" t="e">
        <f t="shared" si="68"/>
        <v>#DIV/0!</v>
      </c>
      <c r="BS67" s="178" t="e">
        <f t="shared" si="68"/>
        <v>#DIV/0!</v>
      </c>
      <c r="BT67" s="178" t="e">
        <f t="shared" si="68"/>
        <v>#DIV/0!</v>
      </c>
      <c r="BU67" s="178" t="e">
        <f t="shared" si="68"/>
        <v>#DIV/0!</v>
      </c>
      <c r="BV67" s="168" t="e">
        <f t="shared" si="68"/>
        <v>#DIV/0!</v>
      </c>
      <c r="BW67" s="169" t="e">
        <f t="shared" si="43"/>
        <v>#DIV/0!</v>
      </c>
      <c r="BX67" s="179" t="e">
        <f t="shared" si="44"/>
        <v>#DIV/0!</v>
      </c>
      <c r="BY67" s="180" t="e">
        <f t="shared" si="77"/>
        <v>#DIV/0!</v>
      </c>
      <c r="BZ67" s="178" t="e">
        <f t="shared" si="69"/>
        <v>#DIV/0!</v>
      </c>
      <c r="CA67" s="178" t="e">
        <f t="shared" si="69"/>
        <v>#DIV/0!</v>
      </c>
      <c r="CB67" s="178" t="e">
        <f t="shared" si="69"/>
        <v>#DIV/0!</v>
      </c>
      <c r="CC67" s="178" t="e">
        <f t="shared" si="69"/>
        <v>#DIV/0!</v>
      </c>
      <c r="CD67" s="178" t="e">
        <f t="shared" si="69"/>
        <v>#DIV/0!</v>
      </c>
      <c r="CE67" s="178" t="e">
        <f t="shared" si="69"/>
        <v>#DIV/0!</v>
      </c>
      <c r="CF67" s="178" t="e">
        <f t="shared" si="69"/>
        <v>#DIV/0!</v>
      </c>
      <c r="CG67" s="178" t="e">
        <f t="shared" si="69"/>
        <v>#DIV/0!</v>
      </c>
      <c r="CH67" s="178" t="e">
        <f t="shared" si="69"/>
        <v>#DIV/0!</v>
      </c>
      <c r="CI67" s="178" t="e">
        <f t="shared" si="69"/>
        <v>#DIV/0!</v>
      </c>
      <c r="CJ67" s="168" t="e">
        <f t="shared" si="69"/>
        <v>#DIV/0!</v>
      </c>
      <c r="CK67" s="169" t="e">
        <f t="shared" si="46"/>
        <v>#DIV/0!</v>
      </c>
      <c r="CL67" s="179" t="e">
        <f t="shared" si="47"/>
        <v>#DIV/0!</v>
      </c>
      <c r="CM67" s="180" t="e">
        <f t="shared" si="78"/>
        <v>#DIV/0!</v>
      </c>
      <c r="CN67" s="178" t="e">
        <f t="shared" si="70"/>
        <v>#DIV/0!</v>
      </c>
      <c r="CO67" s="178" t="e">
        <f t="shared" si="70"/>
        <v>#DIV/0!</v>
      </c>
      <c r="CP67" s="178" t="e">
        <f t="shared" si="70"/>
        <v>#DIV/0!</v>
      </c>
      <c r="CQ67" s="178" t="e">
        <f t="shared" si="70"/>
        <v>#DIV/0!</v>
      </c>
      <c r="CR67" s="178" t="e">
        <f t="shared" si="70"/>
        <v>#DIV/0!</v>
      </c>
      <c r="CS67" s="178" t="e">
        <f t="shared" si="70"/>
        <v>#DIV/0!</v>
      </c>
      <c r="CT67" s="178" t="e">
        <f t="shared" si="70"/>
        <v>#DIV/0!</v>
      </c>
      <c r="CU67" s="178" t="e">
        <f t="shared" si="70"/>
        <v>#DIV/0!</v>
      </c>
      <c r="CV67" s="178" t="e">
        <f t="shared" si="70"/>
        <v>#DIV/0!</v>
      </c>
      <c r="CW67" s="178" t="e">
        <f t="shared" si="70"/>
        <v>#DIV/0!</v>
      </c>
      <c r="CX67" s="168" t="e">
        <f t="shared" si="70"/>
        <v>#DIV/0!</v>
      </c>
      <c r="CY67" s="169" t="e">
        <f t="shared" si="49"/>
        <v>#DIV/0!</v>
      </c>
      <c r="CZ67" s="179" t="e">
        <f t="shared" si="50"/>
        <v>#DIV/0!</v>
      </c>
      <c r="DA67" s="180" t="e">
        <f t="shared" si="79"/>
        <v>#DIV/0!</v>
      </c>
      <c r="DB67" s="178" t="e">
        <f t="shared" si="71"/>
        <v>#DIV/0!</v>
      </c>
      <c r="DC67" s="178" t="e">
        <f t="shared" si="71"/>
        <v>#DIV/0!</v>
      </c>
      <c r="DD67" s="178" t="e">
        <f t="shared" si="71"/>
        <v>#DIV/0!</v>
      </c>
      <c r="DE67" s="178" t="e">
        <f t="shared" si="71"/>
        <v>#DIV/0!</v>
      </c>
      <c r="DF67" s="178" t="e">
        <f t="shared" si="71"/>
        <v>#DIV/0!</v>
      </c>
      <c r="DG67" s="178" t="e">
        <f t="shared" si="71"/>
        <v>#DIV/0!</v>
      </c>
      <c r="DH67" s="178" t="e">
        <f t="shared" si="71"/>
        <v>#DIV/0!</v>
      </c>
      <c r="DI67" s="178" t="e">
        <f t="shared" si="71"/>
        <v>#DIV/0!</v>
      </c>
      <c r="DJ67" s="178" t="e">
        <f t="shared" si="71"/>
        <v>#DIV/0!</v>
      </c>
      <c r="DK67" s="178" t="e">
        <f t="shared" si="71"/>
        <v>#DIV/0!</v>
      </c>
      <c r="DL67" s="168" t="e">
        <f t="shared" si="71"/>
        <v>#DIV/0!</v>
      </c>
      <c r="DM67" s="169" t="e">
        <f t="shared" si="52"/>
        <v>#DIV/0!</v>
      </c>
      <c r="DN67" s="171" t="e">
        <f t="shared" si="53"/>
        <v>#DIV/0!</v>
      </c>
      <c r="DO67" s="180" t="e">
        <f t="shared" si="80"/>
        <v>#DIV/0!</v>
      </c>
      <c r="DP67" s="178" t="e">
        <f t="shared" si="72"/>
        <v>#DIV/0!</v>
      </c>
      <c r="DQ67" s="178" t="e">
        <f t="shared" si="72"/>
        <v>#DIV/0!</v>
      </c>
      <c r="DR67" s="178" t="e">
        <f t="shared" si="72"/>
        <v>#DIV/0!</v>
      </c>
      <c r="DS67" s="178" t="e">
        <f t="shared" si="72"/>
        <v>#DIV/0!</v>
      </c>
      <c r="DT67" s="178" t="e">
        <f t="shared" si="72"/>
        <v>#DIV/0!</v>
      </c>
      <c r="DU67" s="178" t="e">
        <f t="shared" si="72"/>
        <v>#DIV/0!</v>
      </c>
      <c r="DV67" s="178" t="e">
        <f t="shared" si="72"/>
        <v>#DIV/0!</v>
      </c>
      <c r="DW67" s="178" t="e">
        <f t="shared" si="72"/>
        <v>#DIV/0!</v>
      </c>
      <c r="DX67" s="178" t="e">
        <f t="shared" si="72"/>
        <v>#DIV/0!</v>
      </c>
      <c r="DY67" s="178" t="e">
        <f t="shared" si="72"/>
        <v>#DIV/0!</v>
      </c>
      <c r="DZ67" s="168" t="e">
        <f t="shared" si="72"/>
        <v>#DIV/0!</v>
      </c>
      <c r="EA67" s="169" t="e">
        <f t="shared" si="55"/>
        <v>#DIV/0!</v>
      </c>
      <c r="EB67" s="171" t="e">
        <f t="shared" si="56"/>
        <v>#DIV/0!</v>
      </c>
    </row>
    <row r="68" spans="1:132" s="177" customFormat="1" ht="15.75">
      <c r="A68" s="163"/>
      <c r="B68" s="164"/>
      <c r="C68" s="165"/>
      <c r="D68" s="166"/>
      <c r="E68" s="167"/>
      <c r="F68" s="168" t="e">
        <f t="shared" si="20"/>
        <v>#DIV/0!</v>
      </c>
      <c r="G68" s="169" t="e">
        <f t="shared" ref="G68:R110" si="82">IF(OR($F68&lt;=0,(G$9-$A68)&gt;(365*$E68)),0,IF($A68&lt;=G$9,$F68/12,0))</f>
        <v>#DIV/0!</v>
      </c>
      <c r="H68" s="178" t="e">
        <f t="shared" si="81"/>
        <v>#DIV/0!</v>
      </c>
      <c r="I68" s="178" t="e">
        <f t="shared" si="81"/>
        <v>#DIV/0!</v>
      </c>
      <c r="J68" s="178" t="e">
        <f t="shared" si="81"/>
        <v>#DIV/0!</v>
      </c>
      <c r="K68" s="178" t="e">
        <f t="shared" si="81"/>
        <v>#DIV/0!</v>
      </c>
      <c r="L68" s="178" t="e">
        <f t="shared" si="81"/>
        <v>#DIV/0!</v>
      </c>
      <c r="M68" s="178" t="e">
        <f t="shared" si="81"/>
        <v>#DIV/0!</v>
      </c>
      <c r="N68" s="178" t="e">
        <f t="shared" si="81"/>
        <v>#DIV/0!</v>
      </c>
      <c r="O68" s="178" t="e">
        <f t="shared" si="81"/>
        <v>#DIV/0!</v>
      </c>
      <c r="P68" s="178" t="e">
        <f t="shared" si="81"/>
        <v>#DIV/0!</v>
      </c>
      <c r="Q68" s="178" t="e">
        <f t="shared" si="81"/>
        <v>#DIV/0!</v>
      </c>
      <c r="R68" s="179" t="e">
        <f t="shared" si="81"/>
        <v>#DIV/0!</v>
      </c>
      <c r="S68" s="169" t="e">
        <f t="shared" si="31"/>
        <v>#DIV/0!</v>
      </c>
      <c r="T68" s="179" t="e">
        <f t="shared" si="32"/>
        <v>#DIV/0!</v>
      </c>
      <c r="U68" s="180" t="e">
        <f t="shared" si="73"/>
        <v>#DIV/0!</v>
      </c>
      <c r="V68" s="178" t="e">
        <f t="shared" si="66"/>
        <v>#DIV/0!</v>
      </c>
      <c r="W68" s="178" t="e">
        <f t="shared" si="66"/>
        <v>#DIV/0!</v>
      </c>
      <c r="X68" s="178" t="e">
        <f t="shared" si="66"/>
        <v>#DIV/0!</v>
      </c>
      <c r="Y68" s="178" t="e">
        <f t="shared" si="66"/>
        <v>#DIV/0!</v>
      </c>
      <c r="Z68" s="178" t="e">
        <f t="shared" si="66"/>
        <v>#DIV/0!</v>
      </c>
      <c r="AA68" s="178" t="e">
        <f t="shared" si="66"/>
        <v>#DIV/0!</v>
      </c>
      <c r="AB68" s="178" t="e">
        <f t="shared" si="66"/>
        <v>#DIV/0!</v>
      </c>
      <c r="AC68" s="178" t="e">
        <f t="shared" si="66"/>
        <v>#DIV/0!</v>
      </c>
      <c r="AD68" s="178" t="e">
        <f t="shared" si="66"/>
        <v>#DIV/0!</v>
      </c>
      <c r="AE68" s="178" t="e">
        <f t="shared" si="66"/>
        <v>#DIV/0!</v>
      </c>
      <c r="AF68" s="168" t="e">
        <f t="shared" si="66"/>
        <v>#DIV/0!</v>
      </c>
      <c r="AG68" s="169" t="e">
        <f t="shared" si="34"/>
        <v>#DIV/0!</v>
      </c>
      <c r="AH68" s="179" t="e">
        <f t="shared" si="35"/>
        <v>#DIV/0!</v>
      </c>
      <c r="AI68" s="180" t="e">
        <f t="shared" si="74"/>
        <v>#DIV/0!</v>
      </c>
      <c r="AJ68" s="178" t="e">
        <f t="shared" si="74"/>
        <v>#DIV/0!</v>
      </c>
      <c r="AK68" s="178" t="e">
        <f t="shared" si="74"/>
        <v>#DIV/0!</v>
      </c>
      <c r="AL68" s="178" t="e">
        <f t="shared" si="74"/>
        <v>#DIV/0!</v>
      </c>
      <c r="AM68" s="178" t="e">
        <f t="shared" si="74"/>
        <v>#DIV/0!</v>
      </c>
      <c r="AN68" s="178" t="e">
        <f t="shared" si="74"/>
        <v>#DIV/0!</v>
      </c>
      <c r="AO68" s="178" t="e">
        <f t="shared" si="74"/>
        <v>#DIV/0!</v>
      </c>
      <c r="AP68" s="178" t="e">
        <f t="shared" si="74"/>
        <v>#DIV/0!</v>
      </c>
      <c r="AQ68" s="178" t="e">
        <f t="shared" si="74"/>
        <v>#DIV/0!</v>
      </c>
      <c r="AR68" s="178" t="e">
        <f t="shared" si="74"/>
        <v>#DIV/0!</v>
      </c>
      <c r="AS68" s="178" t="e">
        <f t="shared" si="74"/>
        <v>#DIV/0!</v>
      </c>
      <c r="AT68" s="168" t="e">
        <f t="shared" si="74"/>
        <v>#DIV/0!</v>
      </c>
      <c r="AU68" s="169" t="e">
        <f t="shared" si="37"/>
        <v>#DIV/0!</v>
      </c>
      <c r="AV68" s="179" t="e">
        <f t="shared" si="38"/>
        <v>#DIV/0!</v>
      </c>
      <c r="AW68" s="180" t="e">
        <f t="shared" si="75"/>
        <v>#DIV/0!</v>
      </c>
      <c r="AX68" s="178" t="e">
        <f t="shared" si="67"/>
        <v>#DIV/0!</v>
      </c>
      <c r="AY68" s="178" t="e">
        <f t="shared" si="67"/>
        <v>#DIV/0!</v>
      </c>
      <c r="AZ68" s="178" t="e">
        <f t="shared" si="67"/>
        <v>#DIV/0!</v>
      </c>
      <c r="BA68" s="178" t="e">
        <f t="shared" si="67"/>
        <v>#DIV/0!</v>
      </c>
      <c r="BB68" s="178" t="e">
        <f t="shared" si="67"/>
        <v>#DIV/0!</v>
      </c>
      <c r="BC68" s="178" t="e">
        <f t="shared" si="67"/>
        <v>#DIV/0!</v>
      </c>
      <c r="BD68" s="178" t="e">
        <f t="shared" si="67"/>
        <v>#DIV/0!</v>
      </c>
      <c r="BE68" s="178" t="e">
        <f t="shared" si="67"/>
        <v>#DIV/0!</v>
      </c>
      <c r="BF68" s="178" t="e">
        <f t="shared" si="67"/>
        <v>#DIV/0!</v>
      </c>
      <c r="BG68" s="178" t="e">
        <f t="shared" si="67"/>
        <v>#DIV/0!</v>
      </c>
      <c r="BH68" s="168" t="e">
        <f t="shared" si="67"/>
        <v>#DIV/0!</v>
      </c>
      <c r="BI68" s="169" t="e">
        <f t="shared" si="40"/>
        <v>#DIV/0!</v>
      </c>
      <c r="BJ68" s="179" t="e">
        <f t="shared" si="41"/>
        <v>#DIV/0!</v>
      </c>
      <c r="BK68" s="180" t="e">
        <f t="shared" si="76"/>
        <v>#DIV/0!</v>
      </c>
      <c r="BL68" s="178" t="e">
        <f t="shared" si="68"/>
        <v>#DIV/0!</v>
      </c>
      <c r="BM68" s="178" t="e">
        <f t="shared" si="68"/>
        <v>#DIV/0!</v>
      </c>
      <c r="BN68" s="178" t="e">
        <f t="shared" si="68"/>
        <v>#DIV/0!</v>
      </c>
      <c r="BO68" s="178" t="e">
        <f t="shared" si="68"/>
        <v>#DIV/0!</v>
      </c>
      <c r="BP68" s="178" t="e">
        <f t="shared" si="68"/>
        <v>#DIV/0!</v>
      </c>
      <c r="BQ68" s="178" t="e">
        <f t="shared" si="68"/>
        <v>#DIV/0!</v>
      </c>
      <c r="BR68" s="178" t="e">
        <f t="shared" si="68"/>
        <v>#DIV/0!</v>
      </c>
      <c r="BS68" s="178" t="e">
        <f t="shared" si="68"/>
        <v>#DIV/0!</v>
      </c>
      <c r="BT68" s="178" t="e">
        <f t="shared" si="68"/>
        <v>#DIV/0!</v>
      </c>
      <c r="BU68" s="178" t="e">
        <f t="shared" si="68"/>
        <v>#DIV/0!</v>
      </c>
      <c r="BV68" s="168" t="e">
        <f t="shared" si="68"/>
        <v>#DIV/0!</v>
      </c>
      <c r="BW68" s="169" t="e">
        <f t="shared" si="43"/>
        <v>#DIV/0!</v>
      </c>
      <c r="BX68" s="179" t="e">
        <f t="shared" si="44"/>
        <v>#DIV/0!</v>
      </c>
      <c r="BY68" s="180" t="e">
        <f t="shared" si="77"/>
        <v>#DIV/0!</v>
      </c>
      <c r="BZ68" s="178" t="e">
        <f t="shared" si="69"/>
        <v>#DIV/0!</v>
      </c>
      <c r="CA68" s="178" t="e">
        <f t="shared" si="69"/>
        <v>#DIV/0!</v>
      </c>
      <c r="CB68" s="178" t="e">
        <f t="shared" si="69"/>
        <v>#DIV/0!</v>
      </c>
      <c r="CC68" s="178" t="e">
        <f t="shared" si="69"/>
        <v>#DIV/0!</v>
      </c>
      <c r="CD68" s="178" t="e">
        <f t="shared" si="69"/>
        <v>#DIV/0!</v>
      </c>
      <c r="CE68" s="178" t="e">
        <f t="shared" si="69"/>
        <v>#DIV/0!</v>
      </c>
      <c r="CF68" s="178" t="e">
        <f t="shared" si="69"/>
        <v>#DIV/0!</v>
      </c>
      <c r="CG68" s="178" t="e">
        <f t="shared" si="69"/>
        <v>#DIV/0!</v>
      </c>
      <c r="CH68" s="178" t="e">
        <f t="shared" si="69"/>
        <v>#DIV/0!</v>
      </c>
      <c r="CI68" s="178" t="e">
        <f t="shared" si="69"/>
        <v>#DIV/0!</v>
      </c>
      <c r="CJ68" s="168" t="e">
        <f t="shared" si="69"/>
        <v>#DIV/0!</v>
      </c>
      <c r="CK68" s="169" t="e">
        <f t="shared" si="46"/>
        <v>#DIV/0!</v>
      </c>
      <c r="CL68" s="179" t="e">
        <f t="shared" si="47"/>
        <v>#DIV/0!</v>
      </c>
      <c r="CM68" s="180" t="e">
        <f t="shared" si="78"/>
        <v>#DIV/0!</v>
      </c>
      <c r="CN68" s="178" t="e">
        <f t="shared" si="70"/>
        <v>#DIV/0!</v>
      </c>
      <c r="CO68" s="178" t="e">
        <f t="shared" si="70"/>
        <v>#DIV/0!</v>
      </c>
      <c r="CP68" s="178" t="e">
        <f t="shared" si="70"/>
        <v>#DIV/0!</v>
      </c>
      <c r="CQ68" s="178" t="e">
        <f t="shared" si="70"/>
        <v>#DIV/0!</v>
      </c>
      <c r="CR68" s="178" t="e">
        <f t="shared" si="70"/>
        <v>#DIV/0!</v>
      </c>
      <c r="CS68" s="178" t="e">
        <f t="shared" si="70"/>
        <v>#DIV/0!</v>
      </c>
      <c r="CT68" s="178" t="e">
        <f t="shared" si="70"/>
        <v>#DIV/0!</v>
      </c>
      <c r="CU68" s="178" t="e">
        <f t="shared" si="70"/>
        <v>#DIV/0!</v>
      </c>
      <c r="CV68" s="178" t="e">
        <f t="shared" si="70"/>
        <v>#DIV/0!</v>
      </c>
      <c r="CW68" s="178" t="e">
        <f t="shared" si="70"/>
        <v>#DIV/0!</v>
      </c>
      <c r="CX68" s="168" t="e">
        <f t="shared" si="70"/>
        <v>#DIV/0!</v>
      </c>
      <c r="CY68" s="169" t="e">
        <f t="shared" si="49"/>
        <v>#DIV/0!</v>
      </c>
      <c r="CZ68" s="179" t="e">
        <f t="shared" si="50"/>
        <v>#DIV/0!</v>
      </c>
      <c r="DA68" s="180" t="e">
        <f t="shared" si="79"/>
        <v>#DIV/0!</v>
      </c>
      <c r="DB68" s="178" t="e">
        <f t="shared" si="71"/>
        <v>#DIV/0!</v>
      </c>
      <c r="DC68" s="178" t="e">
        <f t="shared" si="71"/>
        <v>#DIV/0!</v>
      </c>
      <c r="DD68" s="178" t="e">
        <f t="shared" si="71"/>
        <v>#DIV/0!</v>
      </c>
      <c r="DE68" s="178" t="e">
        <f t="shared" si="71"/>
        <v>#DIV/0!</v>
      </c>
      <c r="DF68" s="178" t="e">
        <f t="shared" si="71"/>
        <v>#DIV/0!</v>
      </c>
      <c r="DG68" s="178" t="e">
        <f t="shared" si="71"/>
        <v>#DIV/0!</v>
      </c>
      <c r="DH68" s="178" t="e">
        <f t="shared" si="71"/>
        <v>#DIV/0!</v>
      </c>
      <c r="DI68" s="178" t="e">
        <f t="shared" si="71"/>
        <v>#DIV/0!</v>
      </c>
      <c r="DJ68" s="178" t="e">
        <f t="shared" si="71"/>
        <v>#DIV/0!</v>
      </c>
      <c r="DK68" s="178" t="e">
        <f t="shared" si="71"/>
        <v>#DIV/0!</v>
      </c>
      <c r="DL68" s="168" t="e">
        <f t="shared" si="71"/>
        <v>#DIV/0!</v>
      </c>
      <c r="DM68" s="169" t="e">
        <f t="shared" si="52"/>
        <v>#DIV/0!</v>
      </c>
      <c r="DN68" s="171" t="e">
        <f t="shared" si="53"/>
        <v>#DIV/0!</v>
      </c>
      <c r="DO68" s="180" t="e">
        <f t="shared" si="80"/>
        <v>#DIV/0!</v>
      </c>
      <c r="DP68" s="178" t="e">
        <f t="shared" si="72"/>
        <v>#DIV/0!</v>
      </c>
      <c r="DQ68" s="178" t="e">
        <f t="shared" si="72"/>
        <v>#DIV/0!</v>
      </c>
      <c r="DR68" s="178" t="e">
        <f t="shared" si="72"/>
        <v>#DIV/0!</v>
      </c>
      <c r="DS68" s="178" t="e">
        <f t="shared" si="72"/>
        <v>#DIV/0!</v>
      </c>
      <c r="DT68" s="178" t="e">
        <f t="shared" si="72"/>
        <v>#DIV/0!</v>
      </c>
      <c r="DU68" s="178" t="e">
        <f t="shared" si="72"/>
        <v>#DIV/0!</v>
      </c>
      <c r="DV68" s="178" t="e">
        <f t="shared" si="72"/>
        <v>#DIV/0!</v>
      </c>
      <c r="DW68" s="178" t="e">
        <f t="shared" si="72"/>
        <v>#DIV/0!</v>
      </c>
      <c r="DX68" s="178" t="e">
        <f t="shared" si="72"/>
        <v>#DIV/0!</v>
      </c>
      <c r="DY68" s="178" t="e">
        <f t="shared" si="72"/>
        <v>#DIV/0!</v>
      </c>
      <c r="DZ68" s="168" t="e">
        <f t="shared" si="72"/>
        <v>#DIV/0!</v>
      </c>
      <c r="EA68" s="169" t="e">
        <f t="shared" si="55"/>
        <v>#DIV/0!</v>
      </c>
      <c r="EB68" s="171" t="e">
        <f t="shared" si="56"/>
        <v>#DIV/0!</v>
      </c>
    </row>
    <row r="69" spans="1:132" s="177" customFormat="1" ht="15.75">
      <c r="A69" s="163"/>
      <c r="B69" s="164"/>
      <c r="C69" s="165"/>
      <c r="D69" s="182"/>
      <c r="E69" s="167"/>
      <c r="F69" s="168" t="e">
        <f t="shared" si="20"/>
        <v>#DIV/0!</v>
      </c>
      <c r="G69" s="169" t="e">
        <f t="shared" si="82"/>
        <v>#DIV/0!</v>
      </c>
      <c r="H69" s="178" t="e">
        <f t="shared" si="81"/>
        <v>#DIV/0!</v>
      </c>
      <c r="I69" s="178" t="e">
        <f t="shared" si="81"/>
        <v>#DIV/0!</v>
      </c>
      <c r="J69" s="178" t="e">
        <f t="shared" si="81"/>
        <v>#DIV/0!</v>
      </c>
      <c r="K69" s="178" t="e">
        <f t="shared" si="81"/>
        <v>#DIV/0!</v>
      </c>
      <c r="L69" s="178" t="e">
        <f t="shared" si="81"/>
        <v>#DIV/0!</v>
      </c>
      <c r="M69" s="178" t="e">
        <f t="shared" si="81"/>
        <v>#DIV/0!</v>
      </c>
      <c r="N69" s="178" t="e">
        <f t="shared" si="81"/>
        <v>#DIV/0!</v>
      </c>
      <c r="O69" s="178" t="e">
        <f t="shared" si="81"/>
        <v>#DIV/0!</v>
      </c>
      <c r="P69" s="178" t="e">
        <f t="shared" si="81"/>
        <v>#DIV/0!</v>
      </c>
      <c r="Q69" s="178" t="e">
        <f t="shared" si="81"/>
        <v>#DIV/0!</v>
      </c>
      <c r="R69" s="179" t="e">
        <f t="shared" si="81"/>
        <v>#DIV/0!</v>
      </c>
      <c r="S69" s="169" t="e">
        <f t="shared" si="31"/>
        <v>#DIV/0!</v>
      </c>
      <c r="T69" s="179" t="e">
        <f t="shared" si="32"/>
        <v>#DIV/0!</v>
      </c>
      <c r="U69" s="180" t="e">
        <f t="shared" si="73"/>
        <v>#DIV/0!</v>
      </c>
      <c r="V69" s="178" t="e">
        <f t="shared" si="66"/>
        <v>#DIV/0!</v>
      </c>
      <c r="W69" s="178" t="e">
        <f t="shared" si="66"/>
        <v>#DIV/0!</v>
      </c>
      <c r="X69" s="178" t="e">
        <f t="shared" si="66"/>
        <v>#DIV/0!</v>
      </c>
      <c r="Y69" s="178" t="e">
        <f t="shared" si="66"/>
        <v>#DIV/0!</v>
      </c>
      <c r="Z69" s="178" t="e">
        <f t="shared" si="66"/>
        <v>#DIV/0!</v>
      </c>
      <c r="AA69" s="178" t="e">
        <f t="shared" si="66"/>
        <v>#DIV/0!</v>
      </c>
      <c r="AB69" s="178" t="e">
        <f t="shared" si="66"/>
        <v>#DIV/0!</v>
      </c>
      <c r="AC69" s="178" t="e">
        <f t="shared" si="66"/>
        <v>#DIV/0!</v>
      </c>
      <c r="AD69" s="178" t="e">
        <f t="shared" si="66"/>
        <v>#DIV/0!</v>
      </c>
      <c r="AE69" s="178" t="e">
        <f t="shared" si="66"/>
        <v>#DIV/0!</v>
      </c>
      <c r="AF69" s="168" t="e">
        <f t="shared" si="66"/>
        <v>#DIV/0!</v>
      </c>
      <c r="AG69" s="169" t="e">
        <f t="shared" si="34"/>
        <v>#DIV/0!</v>
      </c>
      <c r="AH69" s="179" t="e">
        <f t="shared" si="35"/>
        <v>#DIV/0!</v>
      </c>
      <c r="AI69" s="180" t="e">
        <f t="shared" si="74"/>
        <v>#DIV/0!</v>
      </c>
      <c r="AJ69" s="178" t="e">
        <f t="shared" si="74"/>
        <v>#DIV/0!</v>
      </c>
      <c r="AK69" s="178" t="e">
        <f t="shared" si="74"/>
        <v>#DIV/0!</v>
      </c>
      <c r="AL69" s="178" t="e">
        <f t="shared" si="74"/>
        <v>#DIV/0!</v>
      </c>
      <c r="AM69" s="178" t="e">
        <f t="shared" si="74"/>
        <v>#DIV/0!</v>
      </c>
      <c r="AN69" s="178" t="e">
        <f t="shared" si="74"/>
        <v>#DIV/0!</v>
      </c>
      <c r="AO69" s="178" t="e">
        <f t="shared" si="74"/>
        <v>#DIV/0!</v>
      </c>
      <c r="AP69" s="178" t="e">
        <f t="shared" si="74"/>
        <v>#DIV/0!</v>
      </c>
      <c r="AQ69" s="178" t="e">
        <f t="shared" si="74"/>
        <v>#DIV/0!</v>
      </c>
      <c r="AR69" s="178" t="e">
        <f t="shared" si="74"/>
        <v>#DIV/0!</v>
      </c>
      <c r="AS69" s="178" t="e">
        <f t="shared" si="74"/>
        <v>#DIV/0!</v>
      </c>
      <c r="AT69" s="168" t="e">
        <f t="shared" si="74"/>
        <v>#DIV/0!</v>
      </c>
      <c r="AU69" s="169" t="e">
        <f t="shared" si="37"/>
        <v>#DIV/0!</v>
      </c>
      <c r="AV69" s="179" t="e">
        <f t="shared" si="38"/>
        <v>#DIV/0!</v>
      </c>
      <c r="AW69" s="180" t="e">
        <f t="shared" si="75"/>
        <v>#DIV/0!</v>
      </c>
      <c r="AX69" s="178" t="e">
        <f t="shared" si="67"/>
        <v>#DIV/0!</v>
      </c>
      <c r="AY69" s="178" t="e">
        <f t="shared" si="67"/>
        <v>#DIV/0!</v>
      </c>
      <c r="AZ69" s="178" t="e">
        <f t="shared" si="67"/>
        <v>#DIV/0!</v>
      </c>
      <c r="BA69" s="178" t="e">
        <f t="shared" si="67"/>
        <v>#DIV/0!</v>
      </c>
      <c r="BB69" s="178" t="e">
        <f t="shared" si="67"/>
        <v>#DIV/0!</v>
      </c>
      <c r="BC69" s="178" t="e">
        <f t="shared" si="67"/>
        <v>#DIV/0!</v>
      </c>
      <c r="BD69" s="178" t="e">
        <f t="shared" si="67"/>
        <v>#DIV/0!</v>
      </c>
      <c r="BE69" s="178" t="e">
        <f t="shared" si="67"/>
        <v>#DIV/0!</v>
      </c>
      <c r="BF69" s="178" t="e">
        <f t="shared" si="67"/>
        <v>#DIV/0!</v>
      </c>
      <c r="BG69" s="178" t="e">
        <f t="shared" si="67"/>
        <v>#DIV/0!</v>
      </c>
      <c r="BH69" s="168" t="e">
        <f t="shared" si="67"/>
        <v>#DIV/0!</v>
      </c>
      <c r="BI69" s="169" t="e">
        <f t="shared" si="40"/>
        <v>#DIV/0!</v>
      </c>
      <c r="BJ69" s="179" t="e">
        <f t="shared" si="41"/>
        <v>#DIV/0!</v>
      </c>
      <c r="BK69" s="180" t="e">
        <f t="shared" si="76"/>
        <v>#DIV/0!</v>
      </c>
      <c r="BL69" s="178" t="e">
        <f t="shared" si="68"/>
        <v>#DIV/0!</v>
      </c>
      <c r="BM69" s="178" t="e">
        <f t="shared" si="68"/>
        <v>#DIV/0!</v>
      </c>
      <c r="BN69" s="178" t="e">
        <f t="shared" si="68"/>
        <v>#DIV/0!</v>
      </c>
      <c r="BO69" s="178" t="e">
        <f t="shared" si="68"/>
        <v>#DIV/0!</v>
      </c>
      <c r="BP69" s="178" t="e">
        <f t="shared" si="68"/>
        <v>#DIV/0!</v>
      </c>
      <c r="BQ69" s="178" t="e">
        <f t="shared" si="68"/>
        <v>#DIV/0!</v>
      </c>
      <c r="BR69" s="178" t="e">
        <f t="shared" si="68"/>
        <v>#DIV/0!</v>
      </c>
      <c r="BS69" s="178" t="e">
        <f t="shared" si="68"/>
        <v>#DIV/0!</v>
      </c>
      <c r="BT69" s="178" t="e">
        <f t="shared" si="68"/>
        <v>#DIV/0!</v>
      </c>
      <c r="BU69" s="178" t="e">
        <f t="shared" si="68"/>
        <v>#DIV/0!</v>
      </c>
      <c r="BV69" s="168" t="e">
        <f t="shared" si="68"/>
        <v>#DIV/0!</v>
      </c>
      <c r="BW69" s="169" t="e">
        <f t="shared" si="43"/>
        <v>#DIV/0!</v>
      </c>
      <c r="BX69" s="179" t="e">
        <f t="shared" si="44"/>
        <v>#DIV/0!</v>
      </c>
      <c r="BY69" s="180" t="e">
        <f t="shared" si="77"/>
        <v>#DIV/0!</v>
      </c>
      <c r="BZ69" s="178" t="e">
        <f t="shared" si="69"/>
        <v>#DIV/0!</v>
      </c>
      <c r="CA69" s="178" t="e">
        <f t="shared" si="69"/>
        <v>#DIV/0!</v>
      </c>
      <c r="CB69" s="178" t="e">
        <f t="shared" si="69"/>
        <v>#DIV/0!</v>
      </c>
      <c r="CC69" s="178" t="e">
        <f t="shared" si="69"/>
        <v>#DIV/0!</v>
      </c>
      <c r="CD69" s="178" t="e">
        <f t="shared" si="69"/>
        <v>#DIV/0!</v>
      </c>
      <c r="CE69" s="178" t="e">
        <f t="shared" si="69"/>
        <v>#DIV/0!</v>
      </c>
      <c r="CF69" s="178" t="e">
        <f t="shared" si="69"/>
        <v>#DIV/0!</v>
      </c>
      <c r="CG69" s="178" t="e">
        <f t="shared" si="69"/>
        <v>#DIV/0!</v>
      </c>
      <c r="CH69" s="178" t="e">
        <f t="shared" si="69"/>
        <v>#DIV/0!</v>
      </c>
      <c r="CI69" s="178" t="e">
        <f t="shared" si="69"/>
        <v>#DIV/0!</v>
      </c>
      <c r="CJ69" s="168" t="e">
        <f t="shared" si="69"/>
        <v>#DIV/0!</v>
      </c>
      <c r="CK69" s="169" t="e">
        <f t="shared" si="46"/>
        <v>#DIV/0!</v>
      </c>
      <c r="CL69" s="179" t="e">
        <f t="shared" si="47"/>
        <v>#DIV/0!</v>
      </c>
      <c r="CM69" s="180" t="e">
        <f t="shared" si="78"/>
        <v>#DIV/0!</v>
      </c>
      <c r="CN69" s="178" t="e">
        <f t="shared" si="70"/>
        <v>#DIV/0!</v>
      </c>
      <c r="CO69" s="178" t="e">
        <f t="shared" si="70"/>
        <v>#DIV/0!</v>
      </c>
      <c r="CP69" s="178" t="e">
        <f t="shared" si="70"/>
        <v>#DIV/0!</v>
      </c>
      <c r="CQ69" s="178" t="e">
        <f t="shared" si="70"/>
        <v>#DIV/0!</v>
      </c>
      <c r="CR69" s="178" t="e">
        <f t="shared" si="70"/>
        <v>#DIV/0!</v>
      </c>
      <c r="CS69" s="178" t="e">
        <f t="shared" si="70"/>
        <v>#DIV/0!</v>
      </c>
      <c r="CT69" s="178" t="e">
        <f t="shared" si="70"/>
        <v>#DIV/0!</v>
      </c>
      <c r="CU69" s="178" t="e">
        <f t="shared" si="70"/>
        <v>#DIV/0!</v>
      </c>
      <c r="CV69" s="178" t="e">
        <f t="shared" si="70"/>
        <v>#DIV/0!</v>
      </c>
      <c r="CW69" s="178" t="e">
        <f t="shared" si="70"/>
        <v>#DIV/0!</v>
      </c>
      <c r="CX69" s="168" t="e">
        <f t="shared" si="70"/>
        <v>#DIV/0!</v>
      </c>
      <c r="CY69" s="169" t="e">
        <f t="shared" si="49"/>
        <v>#DIV/0!</v>
      </c>
      <c r="CZ69" s="179" t="e">
        <f t="shared" si="50"/>
        <v>#DIV/0!</v>
      </c>
      <c r="DA69" s="180" t="e">
        <f t="shared" si="79"/>
        <v>#DIV/0!</v>
      </c>
      <c r="DB69" s="178" t="e">
        <f t="shared" si="71"/>
        <v>#DIV/0!</v>
      </c>
      <c r="DC69" s="178" t="e">
        <f t="shared" si="71"/>
        <v>#DIV/0!</v>
      </c>
      <c r="DD69" s="178" t="e">
        <f t="shared" si="71"/>
        <v>#DIV/0!</v>
      </c>
      <c r="DE69" s="178" t="e">
        <f t="shared" si="71"/>
        <v>#DIV/0!</v>
      </c>
      <c r="DF69" s="178" t="e">
        <f t="shared" si="71"/>
        <v>#DIV/0!</v>
      </c>
      <c r="DG69" s="178" t="e">
        <f t="shared" si="71"/>
        <v>#DIV/0!</v>
      </c>
      <c r="DH69" s="178" t="e">
        <f t="shared" si="71"/>
        <v>#DIV/0!</v>
      </c>
      <c r="DI69" s="178" t="e">
        <f t="shared" si="71"/>
        <v>#DIV/0!</v>
      </c>
      <c r="DJ69" s="178" t="e">
        <f t="shared" si="71"/>
        <v>#DIV/0!</v>
      </c>
      <c r="DK69" s="178" t="e">
        <f t="shared" si="71"/>
        <v>#DIV/0!</v>
      </c>
      <c r="DL69" s="168" t="e">
        <f t="shared" si="71"/>
        <v>#DIV/0!</v>
      </c>
      <c r="DM69" s="169" t="e">
        <f t="shared" si="52"/>
        <v>#DIV/0!</v>
      </c>
      <c r="DN69" s="171" t="e">
        <f t="shared" si="53"/>
        <v>#DIV/0!</v>
      </c>
      <c r="DO69" s="180" t="e">
        <f t="shared" si="80"/>
        <v>#DIV/0!</v>
      </c>
      <c r="DP69" s="178" t="e">
        <f t="shared" si="72"/>
        <v>#DIV/0!</v>
      </c>
      <c r="DQ69" s="178" t="e">
        <f t="shared" si="72"/>
        <v>#DIV/0!</v>
      </c>
      <c r="DR69" s="178" t="e">
        <f t="shared" si="72"/>
        <v>#DIV/0!</v>
      </c>
      <c r="DS69" s="178" t="e">
        <f t="shared" si="72"/>
        <v>#DIV/0!</v>
      </c>
      <c r="DT69" s="178" t="e">
        <f t="shared" si="72"/>
        <v>#DIV/0!</v>
      </c>
      <c r="DU69" s="178" t="e">
        <f t="shared" si="72"/>
        <v>#DIV/0!</v>
      </c>
      <c r="DV69" s="178" t="e">
        <f t="shared" si="72"/>
        <v>#DIV/0!</v>
      </c>
      <c r="DW69" s="178" t="e">
        <f t="shared" si="72"/>
        <v>#DIV/0!</v>
      </c>
      <c r="DX69" s="178" t="e">
        <f t="shared" si="72"/>
        <v>#DIV/0!</v>
      </c>
      <c r="DY69" s="178" t="e">
        <f t="shared" si="72"/>
        <v>#DIV/0!</v>
      </c>
      <c r="DZ69" s="168" t="e">
        <f t="shared" si="72"/>
        <v>#DIV/0!</v>
      </c>
      <c r="EA69" s="169" t="e">
        <f t="shared" si="55"/>
        <v>#DIV/0!</v>
      </c>
      <c r="EB69" s="171" t="e">
        <f t="shared" si="56"/>
        <v>#DIV/0!</v>
      </c>
    </row>
    <row r="70" spans="1:132" s="177" customFormat="1" ht="15.75">
      <c r="A70" s="163"/>
      <c r="B70" s="164"/>
      <c r="C70" s="165"/>
      <c r="D70" s="182"/>
      <c r="E70" s="167"/>
      <c r="F70" s="168" t="e">
        <f t="shared" si="20"/>
        <v>#DIV/0!</v>
      </c>
      <c r="G70" s="169" t="e">
        <f t="shared" si="82"/>
        <v>#DIV/0!</v>
      </c>
      <c r="H70" s="178" t="e">
        <f t="shared" si="81"/>
        <v>#DIV/0!</v>
      </c>
      <c r="I70" s="178" t="e">
        <f t="shared" si="81"/>
        <v>#DIV/0!</v>
      </c>
      <c r="J70" s="178" t="e">
        <f t="shared" si="81"/>
        <v>#DIV/0!</v>
      </c>
      <c r="K70" s="178" t="e">
        <f t="shared" si="81"/>
        <v>#DIV/0!</v>
      </c>
      <c r="L70" s="178" t="e">
        <f t="shared" si="81"/>
        <v>#DIV/0!</v>
      </c>
      <c r="M70" s="178" t="e">
        <f t="shared" si="81"/>
        <v>#DIV/0!</v>
      </c>
      <c r="N70" s="178" t="e">
        <f t="shared" si="81"/>
        <v>#DIV/0!</v>
      </c>
      <c r="O70" s="178" t="e">
        <f t="shared" si="81"/>
        <v>#DIV/0!</v>
      </c>
      <c r="P70" s="178" t="e">
        <f t="shared" si="81"/>
        <v>#DIV/0!</v>
      </c>
      <c r="Q70" s="178" t="e">
        <f t="shared" si="81"/>
        <v>#DIV/0!</v>
      </c>
      <c r="R70" s="179" t="e">
        <f t="shared" si="81"/>
        <v>#DIV/0!</v>
      </c>
      <c r="S70" s="169" t="e">
        <f t="shared" si="31"/>
        <v>#DIV/0!</v>
      </c>
      <c r="T70" s="179" t="e">
        <f t="shared" si="32"/>
        <v>#DIV/0!</v>
      </c>
      <c r="U70" s="180" t="e">
        <f t="shared" si="73"/>
        <v>#DIV/0!</v>
      </c>
      <c r="V70" s="178" t="e">
        <f t="shared" si="66"/>
        <v>#DIV/0!</v>
      </c>
      <c r="W70" s="178" t="e">
        <f t="shared" si="66"/>
        <v>#DIV/0!</v>
      </c>
      <c r="X70" s="178" t="e">
        <f t="shared" si="66"/>
        <v>#DIV/0!</v>
      </c>
      <c r="Y70" s="178" t="e">
        <f t="shared" si="66"/>
        <v>#DIV/0!</v>
      </c>
      <c r="Z70" s="178" t="e">
        <f t="shared" si="66"/>
        <v>#DIV/0!</v>
      </c>
      <c r="AA70" s="178" t="e">
        <f t="shared" si="66"/>
        <v>#DIV/0!</v>
      </c>
      <c r="AB70" s="178" t="e">
        <f t="shared" si="66"/>
        <v>#DIV/0!</v>
      </c>
      <c r="AC70" s="178" t="e">
        <f t="shared" si="66"/>
        <v>#DIV/0!</v>
      </c>
      <c r="AD70" s="178" t="e">
        <f t="shared" si="66"/>
        <v>#DIV/0!</v>
      </c>
      <c r="AE70" s="178" t="e">
        <f t="shared" si="66"/>
        <v>#DIV/0!</v>
      </c>
      <c r="AF70" s="168" t="e">
        <f t="shared" si="66"/>
        <v>#DIV/0!</v>
      </c>
      <c r="AG70" s="169" t="e">
        <f t="shared" si="34"/>
        <v>#DIV/0!</v>
      </c>
      <c r="AH70" s="179" t="e">
        <f t="shared" si="35"/>
        <v>#DIV/0!</v>
      </c>
      <c r="AI70" s="180" t="e">
        <f t="shared" si="74"/>
        <v>#DIV/0!</v>
      </c>
      <c r="AJ70" s="178" t="e">
        <f t="shared" si="74"/>
        <v>#DIV/0!</v>
      </c>
      <c r="AK70" s="178" t="e">
        <f t="shared" si="74"/>
        <v>#DIV/0!</v>
      </c>
      <c r="AL70" s="178" t="e">
        <f t="shared" si="74"/>
        <v>#DIV/0!</v>
      </c>
      <c r="AM70" s="178" t="e">
        <f t="shared" si="74"/>
        <v>#DIV/0!</v>
      </c>
      <c r="AN70" s="178" t="e">
        <f t="shared" si="74"/>
        <v>#DIV/0!</v>
      </c>
      <c r="AO70" s="178" t="e">
        <f t="shared" si="74"/>
        <v>#DIV/0!</v>
      </c>
      <c r="AP70" s="178" t="e">
        <f t="shared" si="74"/>
        <v>#DIV/0!</v>
      </c>
      <c r="AQ70" s="178" t="e">
        <f t="shared" si="74"/>
        <v>#DIV/0!</v>
      </c>
      <c r="AR70" s="178" t="e">
        <f t="shared" si="74"/>
        <v>#DIV/0!</v>
      </c>
      <c r="AS70" s="178" t="e">
        <f t="shared" si="74"/>
        <v>#DIV/0!</v>
      </c>
      <c r="AT70" s="168" t="e">
        <f t="shared" si="74"/>
        <v>#DIV/0!</v>
      </c>
      <c r="AU70" s="169" t="e">
        <f t="shared" si="37"/>
        <v>#DIV/0!</v>
      </c>
      <c r="AV70" s="179" t="e">
        <f t="shared" si="38"/>
        <v>#DIV/0!</v>
      </c>
      <c r="AW70" s="180" t="e">
        <f t="shared" si="75"/>
        <v>#DIV/0!</v>
      </c>
      <c r="AX70" s="178" t="e">
        <f t="shared" si="67"/>
        <v>#DIV/0!</v>
      </c>
      <c r="AY70" s="178" t="e">
        <f t="shared" si="67"/>
        <v>#DIV/0!</v>
      </c>
      <c r="AZ70" s="178" t="e">
        <f t="shared" si="67"/>
        <v>#DIV/0!</v>
      </c>
      <c r="BA70" s="178" t="e">
        <f t="shared" si="67"/>
        <v>#DIV/0!</v>
      </c>
      <c r="BB70" s="178" t="e">
        <f t="shared" si="67"/>
        <v>#DIV/0!</v>
      </c>
      <c r="BC70" s="178" t="e">
        <f t="shared" si="67"/>
        <v>#DIV/0!</v>
      </c>
      <c r="BD70" s="178" t="e">
        <f t="shared" si="67"/>
        <v>#DIV/0!</v>
      </c>
      <c r="BE70" s="178" t="e">
        <f t="shared" si="67"/>
        <v>#DIV/0!</v>
      </c>
      <c r="BF70" s="178" t="e">
        <f t="shared" si="67"/>
        <v>#DIV/0!</v>
      </c>
      <c r="BG70" s="178" t="e">
        <f t="shared" si="67"/>
        <v>#DIV/0!</v>
      </c>
      <c r="BH70" s="168" t="e">
        <f t="shared" si="67"/>
        <v>#DIV/0!</v>
      </c>
      <c r="BI70" s="169" t="e">
        <f t="shared" si="40"/>
        <v>#DIV/0!</v>
      </c>
      <c r="BJ70" s="179" t="e">
        <f t="shared" si="41"/>
        <v>#DIV/0!</v>
      </c>
      <c r="BK70" s="180" t="e">
        <f t="shared" si="76"/>
        <v>#DIV/0!</v>
      </c>
      <c r="BL70" s="178" t="e">
        <f t="shared" si="68"/>
        <v>#DIV/0!</v>
      </c>
      <c r="BM70" s="178" t="e">
        <f t="shared" si="68"/>
        <v>#DIV/0!</v>
      </c>
      <c r="BN70" s="178" t="e">
        <f t="shared" si="68"/>
        <v>#DIV/0!</v>
      </c>
      <c r="BO70" s="178" t="e">
        <f t="shared" si="68"/>
        <v>#DIV/0!</v>
      </c>
      <c r="BP70" s="178" t="e">
        <f t="shared" si="68"/>
        <v>#DIV/0!</v>
      </c>
      <c r="BQ70" s="178" t="e">
        <f t="shared" si="68"/>
        <v>#DIV/0!</v>
      </c>
      <c r="BR70" s="178" t="e">
        <f t="shared" si="68"/>
        <v>#DIV/0!</v>
      </c>
      <c r="BS70" s="178" t="e">
        <f t="shared" si="68"/>
        <v>#DIV/0!</v>
      </c>
      <c r="BT70" s="178" t="e">
        <f t="shared" si="68"/>
        <v>#DIV/0!</v>
      </c>
      <c r="BU70" s="178" t="e">
        <f t="shared" si="68"/>
        <v>#DIV/0!</v>
      </c>
      <c r="BV70" s="168" t="e">
        <f t="shared" si="68"/>
        <v>#DIV/0!</v>
      </c>
      <c r="BW70" s="169" t="e">
        <f t="shared" si="43"/>
        <v>#DIV/0!</v>
      </c>
      <c r="BX70" s="179" t="e">
        <f t="shared" si="44"/>
        <v>#DIV/0!</v>
      </c>
      <c r="BY70" s="180" t="e">
        <f t="shared" si="77"/>
        <v>#DIV/0!</v>
      </c>
      <c r="BZ70" s="178" t="e">
        <f t="shared" si="69"/>
        <v>#DIV/0!</v>
      </c>
      <c r="CA70" s="178" t="e">
        <f t="shared" si="69"/>
        <v>#DIV/0!</v>
      </c>
      <c r="CB70" s="178" t="e">
        <f t="shared" si="69"/>
        <v>#DIV/0!</v>
      </c>
      <c r="CC70" s="178" t="e">
        <f t="shared" si="69"/>
        <v>#DIV/0!</v>
      </c>
      <c r="CD70" s="178" t="e">
        <f t="shared" si="69"/>
        <v>#DIV/0!</v>
      </c>
      <c r="CE70" s="178" t="e">
        <f t="shared" si="69"/>
        <v>#DIV/0!</v>
      </c>
      <c r="CF70" s="178" t="e">
        <f t="shared" si="69"/>
        <v>#DIV/0!</v>
      </c>
      <c r="CG70" s="178" t="e">
        <f t="shared" si="69"/>
        <v>#DIV/0!</v>
      </c>
      <c r="CH70" s="178" t="e">
        <f t="shared" si="69"/>
        <v>#DIV/0!</v>
      </c>
      <c r="CI70" s="178" t="e">
        <f t="shared" si="69"/>
        <v>#DIV/0!</v>
      </c>
      <c r="CJ70" s="168" t="e">
        <f t="shared" si="69"/>
        <v>#DIV/0!</v>
      </c>
      <c r="CK70" s="169" t="e">
        <f t="shared" si="46"/>
        <v>#DIV/0!</v>
      </c>
      <c r="CL70" s="179" t="e">
        <f t="shared" si="47"/>
        <v>#DIV/0!</v>
      </c>
      <c r="CM70" s="180" t="e">
        <f t="shared" si="78"/>
        <v>#DIV/0!</v>
      </c>
      <c r="CN70" s="178" t="e">
        <f t="shared" si="70"/>
        <v>#DIV/0!</v>
      </c>
      <c r="CO70" s="178" t="e">
        <f t="shared" si="70"/>
        <v>#DIV/0!</v>
      </c>
      <c r="CP70" s="178" t="e">
        <f t="shared" si="70"/>
        <v>#DIV/0!</v>
      </c>
      <c r="CQ70" s="178" t="e">
        <f t="shared" si="70"/>
        <v>#DIV/0!</v>
      </c>
      <c r="CR70" s="178" t="e">
        <f t="shared" si="70"/>
        <v>#DIV/0!</v>
      </c>
      <c r="CS70" s="178" t="e">
        <f t="shared" si="70"/>
        <v>#DIV/0!</v>
      </c>
      <c r="CT70" s="178" t="e">
        <f t="shared" si="70"/>
        <v>#DIV/0!</v>
      </c>
      <c r="CU70" s="178" t="e">
        <f t="shared" si="70"/>
        <v>#DIV/0!</v>
      </c>
      <c r="CV70" s="178" t="e">
        <f t="shared" si="70"/>
        <v>#DIV/0!</v>
      </c>
      <c r="CW70" s="178" t="e">
        <f t="shared" si="70"/>
        <v>#DIV/0!</v>
      </c>
      <c r="CX70" s="168" t="e">
        <f t="shared" si="70"/>
        <v>#DIV/0!</v>
      </c>
      <c r="CY70" s="169" t="e">
        <f t="shared" si="49"/>
        <v>#DIV/0!</v>
      </c>
      <c r="CZ70" s="179" t="e">
        <f t="shared" si="50"/>
        <v>#DIV/0!</v>
      </c>
      <c r="DA70" s="180" t="e">
        <f t="shared" si="79"/>
        <v>#DIV/0!</v>
      </c>
      <c r="DB70" s="178" t="e">
        <f t="shared" si="71"/>
        <v>#DIV/0!</v>
      </c>
      <c r="DC70" s="178" t="e">
        <f t="shared" si="71"/>
        <v>#DIV/0!</v>
      </c>
      <c r="DD70" s="178" t="e">
        <f t="shared" si="71"/>
        <v>#DIV/0!</v>
      </c>
      <c r="DE70" s="178" t="e">
        <f t="shared" si="71"/>
        <v>#DIV/0!</v>
      </c>
      <c r="DF70" s="178" t="e">
        <f t="shared" si="71"/>
        <v>#DIV/0!</v>
      </c>
      <c r="DG70" s="178" t="e">
        <f t="shared" si="71"/>
        <v>#DIV/0!</v>
      </c>
      <c r="DH70" s="178" t="e">
        <f t="shared" si="71"/>
        <v>#DIV/0!</v>
      </c>
      <c r="DI70" s="178" t="e">
        <f t="shared" si="71"/>
        <v>#DIV/0!</v>
      </c>
      <c r="DJ70" s="178" t="e">
        <f t="shared" si="71"/>
        <v>#DIV/0!</v>
      </c>
      <c r="DK70" s="178" t="e">
        <f t="shared" si="71"/>
        <v>#DIV/0!</v>
      </c>
      <c r="DL70" s="168" t="e">
        <f t="shared" si="71"/>
        <v>#DIV/0!</v>
      </c>
      <c r="DM70" s="169" t="e">
        <f t="shared" si="52"/>
        <v>#DIV/0!</v>
      </c>
      <c r="DN70" s="171" t="e">
        <f t="shared" si="53"/>
        <v>#DIV/0!</v>
      </c>
      <c r="DO70" s="180" t="e">
        <f t="shared" si="80"/>
        <v>#DIV/0!</v>
      </c>
      <c r="DP70" s="178" t="e">
        <f t="shared" si="72"/>
        <v>#DIV/0!</v>
      </c>
      <c r="DQ70" s="178" t="e">
        <f t="shared" si="72"/>
        <v>#DIV/0!</v>
      </c>
      <c r="DR70" s="178" t="e">
        <f t="shared" si="72"/>
        <v>#DIV/0!</v>
      </c>
      <c r="DS70" s="178" t="e">
        <f t="shared" si="72"/>
        <v>#DIV/0!</v>
      </c>
      <c r="DT70" s="178" t="e">
        <f t="shared" si="72"/>
        <v>#DIV/0!</v>
      </c>
      <c r="DU70" s="178" t="e">
        <f t="shared" si="72"/>
        <v>#DIV/0!</v>
      </c>
      <c r="DV70" s="178" t="e">
        <f t="shared" si="72"/>
        <v>#DIV/0!</v>
      </c>
      <c r="DW70" s="178" t="e">
        <f t="shared" si="72"/>
        <v>#DIV/0!</v>
      </c>
      <c r="DX70" s="178" t="e">
        <f t="shared" si="72"/>
        <v>#DIV/0!</v>
      </c>
      <c r="DY70" s="178" t="e">
        <f t="shared" si="72"/>
        <v>#DIV/0!</v>
      </c>
      <c r="DZ70" s="168" t="e">
        <f t="shared" si="72"/>
        <v>#DIV/0!</v>
      </c>
      <c r="EA70" s="169" t="e">
        <f t="shared" si="55"/>
        <v>#DIV/0!</v>
      </c>
      <c r="EB70" s="171" t="e">
        <f t="shared" si="56"/>
        <v>#DIV/0!</v>
      </c>
    </row>
    <row r="71" spans="1:132" s="177" customFormat="1" ht="15.75">
      <c r="A71" s="163"/>
      <c r="B71" s="164"/>
      <c r="C71" s="165"/>
      <c r="D71" s="182"/>
      <c r="E71" s="167"/>
      <c r="F71" s="168" t="e">
        <f t="shared" si="20"/>
        <v>#DIV/0!</v>
      </c>
      <c r="G71" s="169" t="e">
        <f t="shared" si="82"/>
        <v>#DIV/0!</v>
      </c>
      <c r="H71" s="178" t="e">
        <f t="shared" si="81"/>
        <v>#DIV/0!</v>
      </c>
      <c r="I71" s="178" t="e">
        <f t="shared" si="81"/>
        <v>#DIV/0!</v>
      </c>
      <c r="J71" s="178" t="e">
        <f t="shared" si="81"/>
        <v>#DIV/0!</v>
      </c>
      <c r="K71" s="178" t="e">
        <f t="shared" si="81"/>
        <v>#DIV/0!</v>
      </c>
      <c r="L71" s="178" t="e">
        <f t="shared" si="81"/>
        <v>#DIV/0!</v>
      </c>
      <c r="M71" s="178" t="e">
        <f t="shared" si="81"/>
        <v>#DIV/0!</v>
      </c>
      <c r="N71" s="178" t="e">
        <f t="shared" si="81"/>
        <v>#DIV/0!</v>
      </c>
      <c r="O71" s="178" t="e">
        <f t="shared" si="81"/>
        <v>#DIV/0!</v>
      </c>
      <c r="P71" s="178" t="e">
        <f t="shared" si="81"/>
        <v>#DIV/0!</v>
      </c>
      <c r="Q71" s="178" t="e">
        <f t="shared" si="81"/>
        <v>#DIV/0!</v>
      </c>
      <c r="R71" s="179" t="e">
        <f t="shared" si="81"/>
        <v>#DIV/0!</v>
      </c>
      <c r="S71" s="169" t="e">
        <f t="shared" si="31"/>
        <v>#DIV/0!</v>
      </c>
      <c r="T71" s="179" t="e">
        <f t="shared" si="32"/>
        <v>#DIV/0!</v>
      </c>
      <c r="U71" s="180" t="e">
        <f t="shared" si="73"/>
        <v>#DIV/0!</v>
      </c>
      <c r="V71" s="178" t="e">
        <f t="shared" si="66"/>
        <v>#DIV/0!</v>
      </c>
      <c r="W71" s="178" t="e">
        <f t="shared" si="66"/>
        <v>#DIV/0!</v>
      </c>
      <c r="X71" s="178" t="e">
        <f t="shared" si="66"/>
        <v>#DIV/0!</v>
      </c>
      <c r="Y71" s="178" t="e">
        <f t="shared" si="66"/>
        <v>#DIV/0!</v>
      </c>
      <c r="Z71" s="178" t="e">
        <f t="shared" si="66"/>
        <v>#DIV/0!</v>
      </c>
      <c r="AA71" s="178" t="e">
        <f t="shared" si="66"/>
        <v>#DIV/0!</v>
      </c>
      <c r="AB71" s="178" t="e">
        <f t="shared" si="66"/>
        <v>#DIV/0!</v>
      </c>
      <c r="AC71" s="178" t="e">
        <f t="shared" si="66"/>
        <v>#DIV/0!</v>
      </c>
      <c r="AD71" s="178" t="e">
        <f t="shared" si="66"/>
        <v>#DIV/0!</v>
      </c>
      <c r="AE71" s="178" t="e">
        <f t="shared" si="66"/>
        <v>#DIV/0!</v>
      </c>
      <c r="AF71" s="168" t="e">
        <f t="shared" si="66"/>
        <v>#DIV/0!</v>
      </c>
      <c r="AG71" s="169" t="e">
        <f t="shared" si="34"/>
        <v>#DIV/0!</v>
      </c>
      <c r="AH71" s="179" t="e">
        <f t="shared" si="35"/>
        <v>#DIV/0!</v>
      </c>
      <c r="AI71" s="180" t="e">
        <f t="shared" si="74"/>
        <v>#DIV/0!</v>
      </c>
      <c r="AJ71" s="178" t="e">
        <f t="shared" si="74"/>
        <v>#DIV/0!</v>
      </c>
      <c r="AK71" s="178" t="e">
        <f t="shared" si="74"/>
        <v>#DIV/0!</v>
      </c>
      <c r="AL71" s="178" t="e">
        <f t="shared" si="74"/>
        <v>#DIV/0!</v>
      </c>
      <c r="AM71" s="178" t="e">
        <f t="shared" si="74"/>
        <v>#DIV/0!</v>
      </c>
      <c r="AN71" s="178" t="e">
        <f t="shared" si="74"/>
        <v>#DIV/0!</v>
      </c>
      <c r="AO71" s="178" t="e">
        <f t="shared" si="74"/>
        <v>#DIV/0!</v>
      </c>
      <c r="AP71" s="178" t="e">
        <f t="shared" si="74"/>
        <v>#DIV/0!</v>
      </c>
      <c r="AQ71" s="178" t="e">
        <f t="shared" si="74"/>
        <v>#DIV/0!</v>
      </c>
      <c r="AR71" s="178" t="e">
        <f t="shared" si="74"/>
        <v>#DIV/0!</v>
      </c>
      <c r="AS71" s="178" t="e">
        <f t="shared" si="74"/>
        <v>#DIV/0!</v>
      </c>
      <c r="AT71" s="168" t="e">
        <f t="shared" si="74"/>
        <v>#DIV/0!</v>
      </c>
      <c r="AU71" s="169" t="e">
        <f t="shared" si="37"/>
        <v>#DIV/0!</v>
      </c>
      <c r="AV71" s="179" t="e">
        <f t="shared" si="38"/>
        <v>#DIV/0!</v>
      </c>
      <c r="AW71" s="180" t="e">
        <f t="shared" si="75"/>
        <v>#DIV/0!</v>
      </c>
      <c r="AX71" s="178" t="e">
        <f t="shared" si="67"/>
        <v>#DIV/0!</v>
      </c>
      <c r="AY71" s="178" t="e">
        <f t="shared" si="67"/>
        <v>#DIV/0!</v>
      </c>
      <c r="AZ71" s="178" t="e">
        <f t="shared" si="67"/>
        <v>#DIV/0!</v>
      </c>
      <c r="BA71" s="178" t="e">
        <f t="shared" si="67"/>
        <v>#DIV/0!</v>
      </c>
      <c r="BB71" s="178" t="e">
        <f t="shared" si="67"/>
        <v>#DIV/0!</v>
      </c>
      <c r="BC71" s="178" t="e">
        <f t="shared" si="67"/>
        <v>#DIV/0!</v>
      </c>
      <c r="BD71" s="178" t="e">
        <f t="shared" si="67"/>
        <v>#DIV/0!</v>
      </c>
      <c r="BE71" s="178" t="e">
        <f t="shared" si="67"/>
        <v>#DIV/0!</v>
      </c>
      <c r="BF71" s="178" t="e">
        <f t="shared" si="67"/>
        <v>#DIV/0!</v>
      </c>
      <c r="BG71" s="178" t="e">
        <f t="shared" si="67"/>
        <v>#DIV/0!</v>
      </c>
      <c r="BH71" s="168" t="e">
        <f t="shared" si="67"/>
        <v>#DIV/0!</v>
      </c>
      <c r="BI71" s="169" t="e">
        <f t="shared" si="40"/>
        <v>#DIV/0!</v>
      </c>
      <c r="BJ71" s="179" t="e">
        <f t="shared" si="41"/>
        <v>#DIV/0!</v>
      </c>
      <c r="BK71" s="180" t="e">
        <f t="shared" si="76"/>
        <v>#DIV/0!</v>
      </c>
      <c r="BL71" s="178" t="e">
        <f t="shared" si="68"/>
        <v>#DIV/0!</v>
      </c>
      <c r="BM71" s="178" t="e">
        <f t="shared" si="68"/>
        <v>#DIV/0!</v>
      </c>
      <c r="BN71" s="178" t="e">
        <f t="shared" si="68"/>
        <v>#DIV/0!</v>
      </c>
      <c r="BO71" s="178" t="e">
        <f t="shared" si="68"/>
        <v>#DIV/0!</v>
      </c>
      <c r="BP71" s="178" t="e">
        <f t="shared" si="68"/>
        <v>#DIV/0!</v>
      </c>
      <c r="BQ71" s="178" t="e">
        <f t="shared" si="68"/>
        <v>#DIV/0!</v>
      </c>
      <c r="BR71" s="178" t="e">
        <f t="shared" si="68"/>
        <v>#DIV/0!</v>
      </c>
      <c r="BS71" s="178" t="e">
        <f t="shared" si="68"/>
        <v>#DIV/0!</v>
      </c>
      <c r="BT71" s="178" t="e">
        <f t="shared" si="68"/>
        <v>#DIV/0!</v>
      </c>
      <c r="BU71" s="178" t="e">
        <f t="shared" si="68"/>
        <v>#DIV/0!</v>
      </c>
      <c r="BV71" s="168" t="e">
        <f t="shared" si="68"/>
        <v>#DIV/0!</v>
      </c>
      <c r="BW71" s="169" t="e">
        <f t="shared" si="43"/>
        <v>#DIV/0!</v>
      </c>
      <c r="BX71" s="179" t="e">
        <f t="shared" si="44"/>
        <v>#DIV/0!</v>
      </c>
      <c r="BY71" s="180" t="e">
        <f t="shared" si="77"/>
        <v>#DIV/0!</v>
      </c>
      <c r="BZ71" s="178" t="e">
        <f t="shared" si="69"/>
        <v>#DIV/0!</v>
      </c>
      <c r="CA71" s="178" t="e">
        <f t="shared" si="69"/>
        <v>#DIV/0!</v>
      </c>
      <c r="CB71" s="178" t="e">
        <f t="shared" si="69"/>
        <v>#DIV/0!</v>
      </c>
      <c r="CC71" s="178" t="e">
        <f t="shared" si="69"/>
        <v>#DIV/0!</v>
      </c>
      <c r="CD71" s="178" t="e">
        <f t="shared" si="69"/>
        <v>#DIV/0!</v>
      </c>
      <c r="CE71" s="178" t="e">
        <f t="shared" si="69"/>
        <v>#DIV/0!</v>
      </c>
      <c r="CF71" s="178" t="e">
        <f t="shared" si="69"/>
        <v>#DIV/0!</v>
      </c>
      <c r="CG71" s="178" t="e">
        <f t="shared" si="69"/>
        <v>#DIV/0!</v>
      </c>
      <c r="CH71" s="178" t="e">
        <f t="shared" si="69"/>
        <v>#DIV/0!</v>
      </c>
      <c r="CI71" s="178" t="e">
        <f t="shared" si="69"/>
        <v>#DIV/0!</v>
      </c>
      <c r="CJ71" s="168" t="e">
        <f t="shared" si="69"/>
        <v>#DIV/0!</v>
      </c>
      <c r="CK71" s="169" t="e">
        <f t="shared" si="46"/>
        <v>#DIV/0!</v>
      </c>
      <c r="CL71" s="179" t="e">
        <f t="shared" si="47"/>
        <v>#DIV/0!</v>
      </c>
      <c r="CM71" s="180" t="e">
        <f t="shared" si="78"/>
        <v>#DIV/0!</v>
      </c>
      <c r="CN71" s="178" t="e">
        <f t="shared" si="70"/>
        <v>#DIV/0!</v>
      </c>
      <c r="CO71" s="178" t="e">
        <f t="shared" si="70"/>
        <v>#DIV/0!</v>
      </c>
      <c r="CP71" s="178" t="e">
        <f t="shared" si="70"/>
        <v>#DIV/0!</v>
      </c>
      <c r="CQ71" s="178" t="e">
        <f t="shared" si="70"/>
        <v>#DIV/0!</v>
      </c>
      <c r="CR71" s="178" t="e">
        <f t="shared" si="70"/>
        <v>#DIV/0!</v>
      </c>
      <c r="CS71" s="178" t="e">
        <f t="shared" si="70"/>
        <v>#DIV/0!</v>
      </c>
      <c r="CT71" s="178" t="e">
        <f t="shared" si="70"/>
        <v>#DIV/0!</v>
      </c>
      <c r="CU71" s="178" t="e">
        <f t="shared" si="70"/>
        <v>#DIV/0!</v>
      </c>
      <c r="CV71" s="178" t="e">
        <f t="shared" si="70"/>
        <v>#DIV/0!</v>
      </c>
      <c r="CW71" s="178" t="e">
        <f t="shared" si="70"/>
        <v>#DIV/0!</v>
      </c>
      <c r="CX71" s="168" t="e">
        <f t="shared" si="70"/>
        <v>#DIV/0!</v>
      </c>
      <c r="CY71" s="169" t="e">
        <f t="shared" si="49"/>
        <v>#DIV/0!</v>
      </c>
      <c r="CZ71" s="179" t="e">
        <f t="shared" si="50"/>
        <v>#DIV/0!</v>
      </c>
      <c r="DA71" s="180" t="e">
        <f t="shared" si="79"/>
        <v>#DIV/0!</v>
      </c>
      <c r="DB71" s="178" t="e">
        <f t="shared" si="71"/>
        <v>#DIV/0!</v>
      </c>
      <c r="DC71" s="178" t="e">
        <f t="shared" si="71"/>
        <v>#DIV/0!</v>
      </c>
      <c r="DD71" s="178" t="e">
        <f t="shared" si="71"/>
        <v>#DIV/0!</v>
      </c>
      <c r="DE71" s="178" t="e">
        <f t="shared" si="71"/>
        <v>#DIV/0!</v>
      </c>
      <c r="DF71" s="178" t="e">
        <f t="shared" si="71"/>
        <v>#DIV/0!</v>
      </c>
      <c r="DG71" s="178" t="e">
        <f t="shared" si="71"/>
        <v>#DIV/0!</v>
      </c>
      <c r="DH71" s="178" t="e">
        <f t="shared" si="71"/>
        <v>#DIV/0!</v>
      </c>
      <c r="DI71" s="178" t="e">
        <f t="shared" si="71"/>
        <v>#DIV/0!</v>
      </c>
      <c r="DJ71" s="178" t="e">
        <f t="shared" si="71"/>
        <v>#DIV/0!</v>
      </c>
      <c r="DK71" s="178" t="e">
        <f t="shared" si="71"/>
        <v>#DIV/0!</v>
      </c>
      <c r="DL71" s="168" t="e">
        <f t="shared" si="71"/>
        <v>#DIV/0!</v>
      </c>
      <c r="DM71" s="169" t="e">
        <f t="shared" si="52"/>
        <v>#DIV/0!</v>
      </c>
      <c r="DN71" s="171" t="e">
        <f t="shared" si="53"/>
        <v>#DIV/0!</v>
      </c>
      <c r="DO71" s="180" t="e">
        <f t="shared" si="80"/>
        <v>#DIV/0!</v>
      </c>
      <c r="DP71" s="178" t="e">
        <f t="shared" si="72"/>
        <v>#DIV/0!</v>
      </c>
      <c r="DQ71" s="178" t="e">
        <f t="shared" si="72"/>
        <v>#DIV/0!</v>
      </c>
      <c r="DR71" s="178" t="e">
        <f t="shared" si="72"/>
        <v>#DIV/0!</v>
      </c>
      <c r="DS71" s="178" t="e">
        <f t="shared" si="72"/>
        <v>#DIV/0!</v>
      </c>
      <c r="DT71" s="178" t="e">
        <f t="shared" si="72"/>
        <v>#DIV/0!</v>
      </c>
      <c r="DU71" s="178" t="e">
        <f t="shared" si="72"/>
        <v>#DIV/0!</v>
      </c>
      <c r="DV71" s="178" t="e">
        <f t="shared" si="72"/>
        <v>#DIV/0!</v>
      </c>
      <c r="DW71" s="178" t="e">
        <f t="shared" si="72"/>
        <v>#DIV/0!</v>
      </c>
      <c r="DX71" s="178" t="e">
        <f t="shared" si="72"/>
        <v>#DIV/0!</v>
      </c>
      <c r="DY71" s="178" t="e">
        <f t="shared" si="72"/>
        <v>#DIV/0!</v>
      </c>
      <c r="DZ71" s="168" t="e">
        <f t="shared" si="72"/>
        <v>#DIV/0!</v>
      </c>
      <c r="EA71" s="169" t="e">
        <f t="shared" si="55"/>
        <v>#DIV/0!</v>
      </c>
      <c r="EB71" s="171" t="e">
        <f t="shared" si="56"/>
        <v>#DIV/0!</v>
      </c>
    </row>
    <row r="72" spans="1:132" s="177" customFormat="1" ht="15.75">
      <c r="A72" s="163"/>
      <c r="B72" s="164"/>
      <c r="C72" s="165"/>
      <c r="D72" s="182"/>
      <c r="E72" s="167"/>
      <c r="F72" s="168" t="e">
        <f t="shared" si="20"/>
        <v>#DIV/0!</v>
      </c>
      <c r="G72" s="169" t="e">
        <f t="shared" si="82"/>
        <v>#DIV/0!</v>
      </c>
      <c r="H72" s="178" t="e">
        <f t="shared" si="81"/>
        <v>#DIV/0!</v>
      </c>
      <c r="I72" s="178" t="e">
        <f t="shared" si="81"/>
        <v>#DIV/0!</v>
      </c>
      <c r="J72" s="178" t="e">
        <f t="shared" si="81"/>
        <v>#DIV/0!</v>
      </c>
      <c r="K72" s="178" t="e">
        <f t="shared" si="81"/>
        <v>#DIV/0!</v>
      </c>
      <c r="L72" s="178" t="e">
        <f t="shared" si="81"/>
        <v>#DIV/0!</v>
      </c>
      <c r="M72" s="178" t="e">
        <f t="shared" si="81"/>
        <v>#DIV/0!</v>
      </c>
      <c r="N72" s="178" t="e">
        <f t="shared" si="81"/>
        <v>#DIV/0!</v>
      </c>
      <c r="O72" s="178" t="e">
        <f t="shared" si="81"/>
        <v>#DIV/0!</v>
      </c>
      <c r="P72" s="178" t="e">
        <f t="shared" si="81"/>
        <v>#DIV/0!</v>
      </c>
      <c r="Q72" s="178" t="e">
        <f t="shared" si="81"/>
        <v>#DIV/0!</v>
      </c>
      <c r="R72" s="179" t="e">
        <f t="shared" si="81"/>
        <v>#DIV/0!</v>
      </c>
      <c r="S72" s="169" t="e">
        <f t="shared" si="31"/>
        <v>#DIV/0!</v>
      </c>
      <c r="T72" s="179" t="e">
        <f t="shared" si="32"/>
        <v>#DIV/0!</v>
      </c>
      <c r="U72" s="180" t="e">
        <f t="shared" si="73"/>
        <v>#DIV/0!</v>
      </c>
      <c r="V72" s="178" t="e">
        <f t="shared" si="66"/>
        <v>#DIV/0!</v>
      </c>
      <c r="W72" s="178" t="e">
        <f t="shared" si="66"/>
        <v>#DIV/0!</v>
      </c>
      <c r="X72" s="178" t="e">
        <f t="shared" si="66"/>
        <v>#DIV/0!</v>
      </c>
      <c r="Y72" s="178" t="e">
        <f t="shared" si="66"/>
        <v>#DIV/0!</v>
      </c>
      <c r="Z72" s="178" t="e">
        <f t="shared" si="66"/>
        <v>#DIV/0!</v>
      </c>
      <c r="AA72" s="178" t="e">
        <f t="shared" si="66"/>
        <v>#DIV/0!</v>
      </c>
      <c r="AB72" s="178" t="e">
        <f t="shared" si="66"/>
        <v>#DIV/0!</v>
      </c>
      <c r="AC72" s="178" t="e">
        <f t="shared" si="66"/>
        <v>#DIV/0!</v>
      </c>
      <c r="AD72" s="178" t="e">
        <f t="shared" si="66"/>
        <v>#DIV/0!</v>
      </c>
      <c r="AE72" s="178" t="e">
        <f t="shared" si="66"/>
        <v>#DIV/0!</v>
      </c>
      <c r="AF72" s="168" t="e">
        <f t="shared" si="66"/>
        <v>#DIV/0!</v>
      </c>
      <c r="AG72" s="169" t="e">
        <f t="shared" si="34"/>
        <v>#DIV/0!</v>
      </c>
      <c r="AH72" s="179" t="e">
        <f t="shared" si="35"/>
        <v>#DIV/0!</v>
      </c>
      <c r="AI72" s="180" t="e">
        <f t="shared" si="74"/>
        <v>#DIV/0!</v>
      </c>
      <c r="AJ72" s="178" t="e">
        <f t="shared" si="74"/>
        <v>#DIV/0!</v>
      </c>
      <c r="AK72" s="178" t="e">
        <f t="shared" si="74"/>
        <v>#DIV/0!</v>
      </c>
      <c r="AL72" s="178" t="e">
        <f t="shared" si="74"/>
        <v>#DIV/0!</v>
      </c>
      <c r="AM72" s="178" t="e">
        <f t="shared" si="74"/>
        <v>#DIV/0!</v>
      </c>
      <c r="AN72" s="178" t="e">
        <f t="shared" si="74"/>
        <v>#DIV/0!</v>
      </c>
      <c r="AO72" s="178" t="e">
        <f t="shared" si="74"/>
        <v>#DIV/0!</v>
      </c>
      <c r="AP72" s="178" t="e">
        <f t="shared" si="74"/>
        <v>#DIV/0!</v>
      </c>
      <c r="AQ72" s="178" t="e">
        <f t="shared" si="74"/>
        <v>#DIV/0!</v>
      </c>
      <c r="AR72" s="178" t="e">
        <f t="shared" si="74"/>
        <v>#DIV/0!</v>
      </c>
      <c r="AS72" s="178" t="e">
        <f t="shared" si="74"/>
        <v>#DIV/0!</v>
      </c>
      <c r="AT72" s="168" t="e">
        <f t="shared" si="74"/>
        <v>#DIV/0!</v>
      </c>
      <c r="AU72" s="169" t="e">
        <f t="shared" si="37"/>
        <v>#DIV/0!</v>
      </c>
      <c r="AV72" s="179" t="e">
        <f t="shared" si="38"/>
        <v>#DIV/0!</v>
      </c>
      <c r="AW72" s="180" t="e">
        <f t="shared" si="75"/>
        <v>#DIV/0!</v>
      </c>
      <c r="AX72" s="178" t="e">
        <f t="shared" si="67"/>
        <v>#DIV/0!</v>
      </c>
      <c r="AY72" s="178" t="e">
        <f t="shared" si="67"/>
        <v>#DIV/0!</v>
      </c>
      <c r="AZ72" s="178" t="e">
        <f t="shared" si="67"/>
        <v>#DIV/0!</v>
      </c>
      <c r="BA72" s="178" t="e">
        <f t="shared" si="67"/>
        <v>#DIV/0!</v>
      </c>
      <c r="BB72" s="178" t="e">
        <f t="shared" si="67"/>
        <v>#DIV/0!</v>
      </c>
      <c r="BC72" s="178" t="e">
        <f t="shared" si="67"/>
        <v>#DIV/0!</v>
      </c>
      <c r="BD72" s="178" t="e">
        <f t="shared" si="67"/>
        <v>#DIV/0!</v>
      </c>
      <c r="BE72" s="178" t="e">
        <f t="shared" si="67"/>
        <v>#DIV/0!</v>
      </c>
      <c r="BF72" s="178" t="e">
        <f t="shared" si="67"/>
        <v>#DIV/0!</v>
      </c>
      <c r="BG72" s="178" t="e">
        <f t="shared" si="67"/>
        <v>#DIV/0!</v>
      </c>
      <c r="BH72" s="168" t="e">
        <f t="shared" si="67"/>
        <v>#DIV/0!</v>
      </c>
      <c r="BI72" s="169" t="e">
        <f t="shared" si="40"/>
        <v>#DIV/0!</v>
      </c>
      <c r="BJ72" s="179" t="e">
        <f t="shared" si="41"/>
        <v>#DIV/0!</v>
      </c>
      <c r="BK72" s="180" t="e">
        <f t="shared" si="76"/>
        <v>#DIV/0!</v>
      </c>
      <c r="BL72" s="178" t="e">
        <f t="shared" si="68"/>
        <v>#DIV/0!</v>
      </c>
      <c r="BM72" s="178" t="e">
        <f t="shared" si="68"/>
        <v>#DIV/0!</v>
      </c>
      <c r="BN72" s="178" t="e">
        <f t="shared" si="68"/>
        <v>#DIV/0!</v>
      </c>
      <c r="BO72" s="178" t="e">
        <f t="shared" si="68"/>
        <v>#DIV/0!</v>
      </c>
      <c r="BP72" s="178" t="e">
        <f t="shared" si="68"/>
        <v>#DIV/0!</v>
      </c>
      <c r="BQ72" s="178" t="e">
        <f t="shared" si="68"/>
        <v>#DIV/0!</v>
      </c>
      <c r="BR72" s="178" t="e">
        <f t="shared" si="68"/>
        <v>#DIV/0!</v>
      </c>
      <c r="BS72" s="178" t="e">
        <f t="shared" si="68"/>
        <v>#DIV/0!</v>
      </c>
      <c r="BT72" s="178" t="e">
        <f t="shared" si="68"/>
        <v>#DIV/0!</v>
      </c>
      <c r="BU72" s="178" t="e">
        <f t="shared" si="68"/>
        <v>#DIV/0!</v>
      </c>
      <c r="BV72" s="168" t="e">
        <f t="shared" si="68"/>
        <v>#DIV/0!</v>
      </c>
      <c r="BW72" s="169" t="e">
        <f t="shared" si="43"/>
        <v>#DIV/0!</v>
      </c>
      <c r="BX72" s="179" t="e">
        <f t="shared" si="44"/>
        <v>#DIV/0!</v>
      </c>
      <c r="BY72" s="180" t="e">
        <f t="shared" si="77"/>
        <v>#DIV/0!</v>
      </c>
      <c r="BZ72" s="178" t="e">
        <f t="shared" si="69"/>
        <v>#DIV/0!</v>
      </c>
      <c r="CA72" s="178" t="e">
        <f t="shared" si="69"/>
        <v>#DIV/0!</v>
      </c>
      <c r="CB72" s="178" t="e">
        <f t="shared" si="69"/>
        <v>#DIV/0!</v>
      </c>
      <c r="CC72" s="178" t="e">
        <f t="shared" si="69"/>
        <v>#DIV/0!</v>
      </c>
      <c r="CD72" s="178" t="e">
        <f t="shared" si="69"/>
        <v>#DIV/0!</v>
      </c>
      <c r="CE72" s="178" t="e">
        <f t="shared" si="69"/>
        <v>#DIV/0!</v>
      </c>
      <c r="CF72" s="178" t="e">
        <f t="shared" si="69"/>
        <v>#DIV/0!</v>
      </c>
      <c r="CG72" s="178" t="e">
        <f t="shared" si="69"/>
        <v>#DIV/0!</v>
      </c>
      <c r="CH72" s="178" t="e">
        <f t="shared" si="69"/>
        <v>#DIV/0!</v>
      </c>
      <c r="CI72" s="178" t="e">
        <f t="shared" si="69"/>
        <v>#DIV/0!</v>
      </c>
      <c r="CJ72" s="168" t="e">
        <f t="shared" si="69"/>
        <v>#DIV/0!</v>
      </c>
      <c r="CK72" s="169" t="e">
        <f t="shared" si="46"/>
        <v>#DIV/0!</v>
      </c>
      <c r="CL72" s="179" t="e">
        <f t="shared" si="47"/>
        <v>#DIV/0!</v>
      </c>
      <c r="CM72" s="180" t="e">
        <f t="shared" si="78"/>
        <v>#DIV/0!</v>
      </c>
      <c r="CN72" s="178" t="e">
        <f t="shared" si="70"/>
        <v>#DIV/0!</v>
      </c>
      <c r="CO72" s="178" t="e">
        <f t="shared" si="70"/>
        <v>#DIV/0!</v>
      </c>
      <c r="CP72" s="178" t="e">
        <f t="shared" si="70"/>
        <v>#DIV/0!</v>
      </c>
      <c r="CQ72" s="178" t="e">
        <f t="shared" si="70"/>
        <v>#DIV/0!</v>
      </c>
      <c r="CR72" s="178" t="e">
        <f t="shared" si="70"/>
        <v>#DIV/0!</v>
      </c>
      <c r="CS72" s="178" t="e">
        <f t="shared" si="70"/>
        <v>#DIV/0!</v>
      </c>
      <c r="CT72" s="178" t="e">
        <f t="shared" si="70"/>
        <v>#DIV/0!</v>
      </c>
      <c r="CU72" s="178" t="e">
        <f t="shared" si="70"/>
        <v>#DIV/0!</v>
      </c>
      <c r="CV72" s="178" t="e">
        <f t="shared" si="70"/>
        <v>#DIV/0!</v>
      </c>
      <c r="CW72" s="178" t="e">
        <f t="shared" si="70"/>
        <v>#DIV/0!</v>
      </c>
      <c r="CX72" s="168" t="e">
        <f t="shared" si="70"/>
        <v>#DIV/0!</v>
      </c>
      <c r="CY72" s="169" t="e">
        <f t="shared" si="49"/>
        <v>#DIV/0!</v>
      </c>
      <c r="CZ72" s="179" t="e">
        <f t="shared" si="50"/>
        <v>#DIV/0!</v>
      </c>
      <c r="DA72" s="180" t="e">
        <f t="shared" si="79"/>
        <v>#DIV/0!</v>
      </c>
      <c r="DB72" s="178" t="e">
        <f t="shared" si="71"/>
        <v>#DIV/0!</v>
      </c>
      <c r="DC72" s="178" t="e">
        <f t="shared" si="71"/>
        <v>#DIV/0!</v>
      </c>
      <c r="DD72" s="178" t="e">
        <f t="shared" si="71"/>
        <v>#DIV/0!</v>
      </c>
      <c r="DE72" s="178" t="e">
        <f t="shared" si="71"/>
        <v>#DIV/0!</v>
      </c>
      <c r="DF72" s="178" t="e">
        <f t="shared" si="71"/>
        <v>#DIV/0!</v>
      </c>
      <c r="DG72" s="178" t="e">
        <f t="shared" si="71"/>
        <v>#DIV/0!</v>
      </c>
      <c r="DH72" s="178" t="e">
        <f t="shared" si="71"/>
        <v>#DIV/0!</v>
      </c>
      <c r="DI72" s="178" t="e">
        <f t="shared" si="71"/>
        <v>#DIV/0!</v>
      </c>
      <c r="DJ72" s="178" t="e">
        <f t="shared" si="71"/>
        <v>#DIV/0!</v>
      </c>
      <c r="DK72" s="178" t="e">
        <f t="shared" si="71"/>
        <v>#DIV/0!</v>
      </c>
      <c r="DL72" s="168" t="e">
        <f t="shared" si="71"/>
        <v>#DIV/0!</v>
      </c>
      <c r="DM72" s="169" t="e">
        <f t="shared" si="52"/>
        <v>#DIV/0!</v>
      </c>
      <c r="DN72" s="171" t="e">
        <f t="shared" si="53"/>
        <v>#DIV/0!</v>
      </c>
      <c r="DO72" s="180" t="e">
        <f t="shared" si="80"/>
        <v>#DIV/0!</v>
      </c>
      <c r="DP72" s="178" t="e">
        <f t="shared" si="72"/>
        <v>#DIV/0!</v>
      </c>
      <c r="DQ72" s="178" t="e">
        <f t="shared" si="72"/>
        <v>#DIV/0!</v>
      </c>
      <c r="DR72" s="178" t="e">
        <f t="shared" si="72"/>
        <v>#DIV/0!</v>
      </c>
      <c r="DS72" s="178" t="e">
        <f t="shared" si="72"/>
        <v>#DIV/0!</v>
      </c>
      <c r="DT72" s="178" t="e">
        <f t="shared" si="72"/>
        <v>#DIV/0!</v>
      </c>
      <c r="DU72" s="178" t="e">
        <f t="shared" si="72"/>
        <v>#DIV/0!</v>
      </c>
      <c r="DV72" s="178" t="e">
        <f t="shared" si="72"/>
        <v>#DIV/0!</v>
      </c>
      <c r="DW72" s="178" t="e">
        <f t="shared" si="72"/>
        <v>#DIV/0!</v>
      </c>
      <c r="DX72" s="178" t="e">
        <f t="shared" si="72"/>
        <v>#DIV/0!</v>
      </c>
      <c r="DY72" s="178" t="e">
        <f t="shared" si="72"/>
        <v>#DIV/0!</v>
      </c>
      <c r="DZ72" s="168" t="e">
        <f t="shared" si="72"/>
        <v>#DIV/0!</v>
      </c>
      <c r="EA72" s="169" t="e">
        <f t="shared" si="55"/>
        <v>#DIV/0!</v>
      </c>
      <c r="EB72" s="171" t="e">
        <f t="shared" si="56"/>
        <v>#DIV/0!</v>
      </c>
    </row>
    <row r="73" spans="1:132" s="177" customFormat="1" ht="15.75">
      <c r="A73" s="163"/>
      <c r="B73" s="164"/>
      <c r="C73" s="165"/>
      <c r="D73" s="182"/>
      <c r="E73" s="167"/>
      <c r="F73" s="168" t="e">
        <f t="shared" si="20"/>
        <v>#DIV/0!</v>
      </c>
      <c r="G73" s="169" t="e">
        <f t="shared" si="82"/>
        <v>#DIV/0!</v>
      </c>
      <c r="H73" s="178" t="e">
        <f t="shared" si="81"/>
        <v>#DIV/0!</v>
      </c>
      <c r="I73" s="178" t="e">
        <f t="shared" si="81"/>
        <v>#DIV/0!</v>
      </c>
      <c r="J73" s="178" t="e">
        <f t="shared" si="81"/>
        <v>#DIV/0!</v>
      </c>
      <c r="K73" s="178" t="e">
        <f t="shared" si="81"/>
        <v>#DIV/0!</v>
      </c>
      <c r="L73" s="178" t="e">
        <f t="shared" si="81"/>
        <v>#DIV/0!</v>
      </c>
      <c r="M73" s="178" t="e">
        <f t="shared" si="81"/>
        <v>#DIV/0!</v>
      </c>
      <c r="N73" s="178" t="e">
        <f t="shared" si="81"/>
        <v>#DIV/0!</v>
      </c>
      <c r="O73" s="178" t="e">
        <f t="shared" si="81"/>
        <v>#DIV/0!</v>
      </c>
      <c r="P73" s="178" t="e">
        <f t="shared" si="81"/>
        <v>#DIV/0!</v>
      </c>
      <c r="Q73" s="178" t="e">
        <f t="shared" si="81"/>
        <v>#DIV/0!</v>
      </c>
      <c r="R73" s="179" t="e">
        <f t="shared" si="81"/>
        <v>#DIV/0!</v>
      </c>
      <c r="S73" s="169" t="e">
        <f t="shared" si="31"/>
        <v>#DIV/0!</v>
      </c>
      <c r="T73" s="179" t="e">
        <f t="shared" si="32"/>
        <v>#DIV/0!</v>
      </c>
      <c r="U73" s="180" t="e">
        <f t="shared" si="73"/>
        <v>#DIV/0!</v>
      </c>
      <c r="V73" s="178" t="e">
        <f t="shared" si="66"/>
        <v>#DIV/0!</v>
      </c>
      <c r="W73" s="178" t="e">
        <f t="shared" si="66"/>
        <v>#DIV/0!</v>
      </c>
      <c r="X73" s="178" t="e">
        <f t="shared" si="66"/>
        <v>#DIV/0!</v>
      </c>
      <c r="Y73" s="178" t="e">
        <f t="shared" si="66"/>
        <v>#DIV/0!</v>
      </c>
      <c r="Z73" s="178" t="e">
        <f t="shared" si="66"/>
        <v>#DIV/0!</v>
      </c>
      <c r="AA73" s="178" t="e">
        <f t="shared" si="66"/>
        <v>#DIV/0!</v>
      </c>
      <c r="AB73" s="178" t="e">
        <f t="shared" si="66"/>
        <v>#DIV/0!</v>
      </c>
      <c r="AC73" s="178" t="e">
        <f t="shared" si="66"/>
        <v>#DIV/0!</v>
      </c>
      <c r="AD73" s="178" t="e">
        <f t="shared" si="66"/>
        <v>#DIV/0!</v>
      </c>
      <c r="AE73" s="178" t="e">
        <f t="shared" si="66"/>
        <v>#DIV/0!</v>
      </c>
      <c r="AF73" s="168" t="e">
        <f t="shared" si="66"/>
        <v>#DIV/0!</v>
      </c>
      <c r="AG73" s="169" t="e">
        <f t="shared" si="34"/>
        <v>#DIV/0!</v>
      </c>
      <c r="AH73" s="179" t="e">
        <f t="shared" si="35"/>
        <v>#DIV/0!</v>
      </c>
      <c r="AI73" s="180" t="e">
        <f t="shared" si="74"/>
        <v>#DIV/0!</v>
      </c>
      <c r="AJ73" s="178" t="e">
        <f t="shared" si="74"/>
        <v>#DIV/0!</v>
      </c>
      <c r="AK73" s="178" t="e">
        <f t="shared" si="74"/>
        <v>#DIV/0!</v>
      </c>
      <c r="AL73" s="178" t="e">
        <f t="shared" si="74"/>
        <v>#DIV/0!</v>
      </c>
      <c r="AM73" s="178" t="e">
        <f t="shared" si="74"/>
        <v>#DIV/0!</v>
      </c>
      <c r="AN73" s="178" t="e">
        <f t="shared" si="74"/>
        <v>#DIV/0!</v>
      </c>
      <c r="AO73" s="178" t="e">
        <f t="shared" si="74"/>
        <v>#DIV/0!</v>
      </c>
      <c r="AP73" s="178" t="e">
        <f t="shared" si="74"/>
        <v>#DIV/0!</v>
      </c>
      <c r="AQ73" s="178" t="e">
        <f t="shared" si="74"/>
        <v>#DIV/0!</v>
      </c>
      <c r="AR73" s="178" t="e">
        <f t="shared" si="74"/>
        <v>#DIV/0!</v>
      </c>
      <c r="AS73" s="178" t="e">
        <f t="shared" si="74"/>
        <v>#DIV/0!</v>
      </c>
      <c r="AT73" s="168" t="e">
        <f t="shared" si="74"/>
        <v>#DIV/0!</v>
      </c>
      <c r="AU73" s="169" t="e">
        <f t="shared" si="37"/>
        <v>#DIV/0!</v>
      </c>
      <c r="AV73" s="179" t="e">
        <f t="shared" si="38"/>
        <v>#DIV/0!</v>
      </c>
      <c r="AW73" s="180" t="e">
        <f t="shared" si="75"/>
        <v>#DIV/0!</v>
      </c>
      <c r="AX73" s="178" t="e">
        <f t="shared" si="67"/>
        <v>#DIV/0!</v>
      </c>
      <c r="AY73" s="178" t="e">
        <f t="shared" si="67"/>
        <v>#DIV/0!</v>
      </c>
      <c r="AZ73" s="178" t="e">
        <f t="shared" si="67"/>
        <v>#DIV/0!</v>
      </c>
      <c r="BA73" s="178" t="e">
        <f t="shared" si="67"/>
        <v>#DIV/0!</v>
      </c>
      <c r="BB73" s="178" t="e">
        <f t="shared" si="67"/>
        <v>#DIV/0!</v>
      </c>
      <c r="BC73" s="178" t="e">
        <f t="shared" si="67"/>
        <v>#DIV/0!</v>
      </c>
      <c r="BD73" s="178" t="e">
        <f t="shared" si="67"/>
        <v>#DIV/0!</v>
      </c>
      <c r="BE73" s="178" t="e">
        <f t="shared" si="67"/>
        <v>#DIV/0!</v>
      </c>
      <c r="BF73" s="178" t="e">
        <f t="shared" si="67"/>
        <v>#DIV/0!</v>
      </c>
      <c r="BG73" s="178" t="e">
        <f t="shared" si="67"/>
        <v>#DIV/0!</v>
      </c>
      <c r="BH73" s="168" t="e">
        <f t="shared" si="67"/>
        <v>#DIV/0!</v>
      </c>
      <c r="BI73" s="169" t="e">
        <f t="shared" si="40"/>
        <v>#DIV/0!</v>
      </c>
      <c r="BJ73" s="179" t="e">
        <f t="shared" si="41"/>
        <v>#DIV/0!</v>
      </c>
      <c r="BK73" s="180" t="e">
        <f t="shared" si="76"/>
        <v>#DIV/0!</v>
      </c>
      <c r="BL73" s="178" t="e">
        <f t="shared" si="68"/>
        <v>#DIV/0!</v>
      </c>
      <c r="BM73" s="178" t="e">
        <f t="shared" si="68"/>
        <v>#DIV/0!</v>
      </c>
      <c r="BN73" s="178" t="e">
        <f t="shared" si="68"/>
        <v>#DIV/0!</v>
      </c>
      <c r="BO73" s="178" t="e">
        <f t="shared" si="68"/>
        <v>#DIV/0!</v>
      </c>
      <c r="BP73" s="178" t="e">
        <f t="shared" si="68"/>
        <v>#DIV/0!</v>
      </c>
      <c r="BQ73" s="178" t="e">
        <f t="shared" si="68"/>
        <v>#DIV/0!</v>
      </c>
      <c r="BR73" s="178" t="e">
        <f t="shared" si="68"/>
        <v>#DIV/0!</v>
      </c>
      <c r="BS73" s="178" t="e">
        <f t="shared" si="68"/>
        <v>#DIV/0!</v>
      </c>
      <c r="BT73" s="178" t="e">
        <f t="shared" si="68"/>
        <v>#DIV/0!</v>
      </c>
      <c r="BU73" s="178" t="e">
        <f t="shared" si="68"/>
        <v>#DIV/0!</v>
      </c>
      <c r="BV73" s="168" t="e">
        <f t="shared" si="68"/>
        <v>#DIV/0!</v>
      </c>
      <c r="BW73" s="169" t="e">
        <f t="shared" si="43"/>
        <v>#DIV/0!</v>
      </c>
      <c r="BX73" s="179" t="e">
        <f t="shared" si="44"/>
        <v>#DIV/0!</v>
      </c>
      <c r="BY73" s="180" t="e">
        <f t="shared" si="77"/>
        <v>#DIV/0!</v>
      </c>
      <c r="BZ73" s="178" t="e">
        <f t="shared" si="69"/>
        <v>#DIV/0!</v>
      </c>
      <c r="CA73" s="178" t="e">
        <f t="shared" si="69"/>
        <v>#DIV/0!</v>
      </c>
      <c r="CB73" s="178" t="e">
        <f t="shared" si="69"/>
        <v>#DIV/0!</v>
      </c>
      <c r="CC73" s="178" t="e">
        <f t="shared" si="69"/>
        <v>#DIV/0!</v>
      </c>
      <c r="CD73" s="178" t="e">
        <f t="shared" si="69"/>
        <v>#DIV/0!</v>
      </c>
      <c r="CE73" s="178" t="e">
        <f t="shared" si="69"/>
        <v>#DIV/0!</v>
      </c>
      <c r="CF73" s="178" t="e">
        <f t="shared" si="69"/>
        <v>#DIV/0!</v>
      </c>
      <c r="CG73" s="178" t="e">
        <f t="shared" si="69"/>
        <v>#DIV/0!</v>
      </c>
      <c r="CH73" s="178" t="e">
        <f t="shared" si="69"/>
        <v>#DIV/0!</v>
      </c>
      <c r="CI73" s="178" t="e">
        <f t="shared" si="69"/>
        <v>#DIV/0!</v>
      </c>
      <c r="CJ73" s="168" t="e">
        <f t="shared" si="69"/>
        <v>#DIV/0!</v>
      </c>
      <c r="CK73" s="169" t="e">
        <f t="shared" si="46"/>
        <v>#DIV/0!</v>
      </c>
      <c r="CL73" s="179" t="e">
        <f t="shared" si="47"/>
        <v>#DIV/0!</v>
      </c>
      <c r="CM73" s="180" t="e">
        <f t="shared" si="78"/>
        <v>#DIV/0!</v>
      </c>
      <c r="CN73" s="178" t="e">
        <f t="shared" si="70"/>
        <v>#DIV/0!</v>
      </c>
      <c r="CO73" s="178" t="e">
        <f t="shared" si="70"/>
        <v>#DIV/0!</v>
      </c>
      <c r="CP73" s="178" t="e">
        <f t="shared" si="70"/>
        <v>#DIV/0!</v>
      </c>
      <c r="CQ73" s="178" t="e">
        <f t="shared" si="70"/>
        <v>#DIV/0!</v>
      </c>
      <c r="CR73" s="178" t="e">
        <f t="shared" si="70"/>
        <v>#DIV/0!</v>
      </c>
      <c r="CS73" s="178" t="e">
        <f t="shared" si="70"/>
        <v>#DIV/0!</v>
      </c>
      <c r="CT73" s="178" t="e">
        <f t="shared" si="70"/>
        <v>#DIV/0!</v>
      </c>
      <c r="CU73" s="178" t="e">
        <f t="shared" si="70"/>
        <v>#DIV/0!</v>
      </c>
      <c r="CV73" s="178" t="e">
        <f t="shared" si="70"/>
        <v>#DIV/0!</v>
      </c>
      <c r="CW73" s="178" t="e">
        <f t="shared" si="70"/>
        <v>#DIV/0!</v>
      </c>
      <c r="CX73" s="168" t="e">
        <f t="shared" si="70"/>
        <v>#DIV/0!</v>
      </c>
      <c r="CY73" s="169" t="e">
        <f t="shared" si="49"/>
        <v>#DIV/0!</v>
      </c>
      <c r="CZ73" s="179" t="e">
        <f t="shared" si="50"/>
        <v>#DIV/0!</v>
      </c>
      <c r="DA73" s="180" t="e">
        <f t="shared" si="79"/>
        <v>#DIV/0!</v>
      </c>
      <c r="DB73" s="178" t="e">
        <f t="shared" si="71"/>
        <v>#DIV/0!</v>
      </c>
      <c r="DC73" s="178" t="e">
        <f t="shared" si="71"/>
        <v>#DIV/0!</v>
      </c>
      <c r="DD73" s="178" t="e">
        <f t="shared" si="71"/>
        <v>#DIV/0!</v>
      </c>
      <c r="DE73" s="178" t="e">
        <f t="shared" si="71"/>
        <v>#DIV/0!</v>
      </c>
      <c r="DF73" s="178" t="e">
        <f t="shared" si="71"/>
        <v>#DIV/0!</v>
      </c>
      <c r="DG73" s="178" t="e">
        <f t="shared" si="71"/>
        <v>#DIV/0!</v>
      </c>
      <c r="DH73" s="178" t="e">
        <f t="shared" si="71"/>
        <v>#DIV/0!</v>
      </c>
      <c r="DI73" s="178" t="e">
        <f t="shared" si="71"/>
        <v>#DIV/0!</v>
      </c>
      <c r="DJ73" s="178" t="e">
        <f t="shared" si="71"/>
        <v>#DIV/0!</v>
      </c>
      <c r="DK73" s="178" t="e">
        <f t="shared" si="71"/>
        <v>#DIV/0!</v>
      </c>
      <c r="DL73" s="168" t="e">
        <f t="shared" si="71"/>
        <v>#DIV/0!</v>
      </c>
      <c r="DM73" s="169" t="e">
        <f t="shared" si="52"/>
        <v>#DIV/0!</v>
      </c>
      <c r="DN73" s="171" t="e">
        <f t="shared" si="53"/>
        <v>#DIV/0!</v>
      </c>
      <c r="DO73" s="180" t="e">
        <f t="shared" si="80"/>
        <v>#DIV/0!</v>
      </c>
      <c r="DP73" s="178" t="e">
        <f t="shared" si="72"/>
        <v>#DIV/0!</v>
      </c>
      <c r="DQ73" s="178" t="e">
        <f t="shared" si="72"/>
        <v>#DIV/0!</v>
      </c>
      <c r="DR73" s="178" t="e">
        <f t="shared" si="72"/>
        <v>#DIV/0!</v>
      </c>
      <c r="DS73" s="178" t="e">
        <f t="shared" si="72"/>
        <v>#DIV/0!</v>
      </c>
      <c r="DT73" s="178" t="e">
        <f t="shared" si="72"/>
        <v>#DIV/0!</v>
      </c>
      <c r="DU73" s="178" t="e">
        <f t="shared" si="72"/>
        <v>#DIV/0!</v>
      </c>
      <c r="DV73" s="178" t="e">
        <f t="shared" si="72"/>
        <v>#DIV/0!</v>
      </c>
      <c r="DW73" s="178" t="e">
        <f t="shared" si="72"/>
        <v>#DIV/0!</v>
      </c>
      <c r="DX73" s="178" t="e">
        <f t="shared" si="72"/>
        <v>#DIV/0!</v>
      </c>
      <c r="DY73" s="178" t="e">
        <f t="shared" si="72"/>
        <v>#DIV/0!</v>
      </c>
      <c r="DZ73" s="168" t="e">
        <f t="shared" si="72"/>
        <v>#DIV/0!</v>
      </c>
      <c r="EA73" s="169" t="e">
        <f t="shared" si="55"/>
        <v>#DIV/0!</v>
      </c>
      <c r="EB73" s="171" t="e">
        <f t="shared" si="56"/>
        <v>#DIV/0!</v>
      </c>
    </row>
    <row r="74" spans="1:132" s="177" customFormat="1" ht="15.75">
      <c r="A74" s="163"/>
      <c r="B74" s="164"/>
      <c r="C74" s="165"/>
      <c r="D74" s="182"/>
      <c r="E74" s="167"/>
      <c r="F74" s="168" t="e">
        <f t="shared" ref="F74:F137" si="83">D74/E74</f>
        <v>#DIV/0!</v>
      </c>
      <c r="G74" s="169" t="e">
        <f t="shared" si="82"/>
        <v>#DIV/0!</v>
      </c>
      <c r="H74" s="178" t="e">
        <f t="shared" si="81"/>
        <v>#DIV/0!</v>
      </c>
      <c r="I74" s="178" t="e">
        <f t="shared" si="81"/>
        <v>#DIV/0!</v>
      </c>
      <c r="J74" s="178" t="e">
        <f t="shared" si="81"/>
        <v>#DIV/0!</v>
      </c>
      <c r="K74" s="178" t="e">
        <f t="shared" si="81"/>
        <v>#DIV/0!</v>
      </c>
      <c r="L74" s="178" t="e">
        <f t="shared" si="81"/>
        <v>#DIV/0!</v>
      </c>
      <c r="M74" s="178" t="e">
        <f t="shared" si="81"/>
        <v>#DIV/0!</v>
      </c>
      <c r="N74" s="178" t="e">
        <f t="shared" si="81"/>
        <v>#DIV/0!</v>
      </c>
      <c r="O74" s="178" t="e">
        <f t="shared" si="81"/>
        <v>#DIV/0!</v>
      </c>
      <c r="P74" s="178" t="e">
        <f t="shared" si="81"/>
        <v>#DIV/0!</v>
      </c>
      <c r="Q74" s="178" t="e">
        <f t="shared" si="81"/>
        <v>#DIV/0!</v>
      </c>
      <c r="R74" s="179" t="e">
        <f t="shared" si="81"/>
        <v>#DIV/0!</v>
      </c>
      <c r="S74" s="169" t="e">
        <f t="shared" si="31"/>
        <v>#DIV/0!</v>
      </c>
      <c r="T74" s="179" t="e">
        <f t="shared" si="32"/>
        <v>#DIV/0!</v>
      </c>
      <c r="U74" s="180" t="e">
        <f t="shared" si="73"/>
        <v>#DIV/0!</v>
      </c>
      <c r="V74" s="178" t="e">
        <f t="shared" si="66"/>
        <v>#DIV/0!</v>
      </c>
      <c r="W74" s="178" t="e">
        <f t="shared" si="66"/>
        <v>#DIV/0!</v>
      </c>
      <c r="X74" s="178" t="e">
        <f t="shared" si="66"/>
        <v>#DIV/0!</v>
      </c>
      <c r="Y74" s="178" t="e">
        <f t="shared" si="66"/>
        <v>#DIV/0!</v>
      </c>
      <c r="Z74" s="178" t="e">
        <f t="shared" si="66"/>
        <v>#DIV/0!</v>
      </c>
      <c r="AA74" s="178" t="e">
        <f t="shared" si="66"/>
        <v>#DIV/0!</v>
      </c>
      <c r="AB74" s="178" t="e">
        <f t="shared" si="66"/>
        <v>#DIV/0!</v>
      </c>
      <c r="AC74" s="178" t="e">
        <f t="shared" si="66"/>
        <v>#DIV/0!</v>
      </c>
      <c r="AD74" s="178" t="e">
        <f t="shared" si="66"/>
        <v>#DIV/0!</v>
      </c>
      <c r="AE74" s="178" t="e">
        <f t="shared" si="66"/>
        <v>#DIV/0!</v>
      </c>
      <c r="AF74" s="168" t="e">
        <f t="shared" si="66"/>
        <v>#DIV/0!</v>
      </c>
      <c r="AG74" s="169" t="e">
        <f t="shared" si="34"/>
        <v>#DIV/0!</v>
      </c>
      <c r="AH74" s="179" t="e">
        <f t="shared" si="35"/>
        <v>#DIV/0!</v>
      </c>
      <c r="AI74" s="180" t="e">
        <f t="shared" si="74"/>
        <v>#DIV/0!</v>
      </c>
      <c r="AJ74" s="178" t="e">
        <f t="shared" si="74"/>
        <v>#DIV/0!</v>
      </c>
      <c r="AK74" s="178" t="e">
        <f t="shared" si="74"/>
        <v>#DIV/0!</v>
      </c>
      <c r="AL74" s="178" t="e">
        <f t="shared" si="74"/>
        <v>#DIV/0!</v>
      </c>
      <c r="AM74" s="178" t="e">
        <f t="shared" si="74"/>
        <v>#DIV/0!</v>
      </c>
      <c r="AN74" s="178" t="e">
        <f t="shared" si="74"/>
        <v>#DIV/0!</v>
      </c>
      <c r="AO74" s="178" t="e">
        <f t="shared" si="74"/>
        <v>#DIV/0!</v>
      </c>
      <c r="AP74" s="178" t="e">
        <f t="shared" si="74"/>
        <v>#DIV/0!</v>
      </c>
      <c r="AQ74" s="178" t="e">
        <f t="shared" si="74"/>
        <v>#DIV/0!</v>
      </c>
      <c r="AR74" s="178" t="e">
        <f t="shared" si="74"/>
        <v>#DIV/0!</v>
      </c>
      <c r="AS74" s="178" t="e">
        <f t="shared" si="74"/>
        <v>#DIV/0!</v>
      </c>
      <c r="AT74" s="168" t="e">
        <f t="shared" si="74"/>
        <v>#DIV/0!</v>
      </c>
      <c r="AU74" s="169" t="e">
        <f t="shared" si="37"/>
        <v>#DIV/0!</v>
      </c>
      <c r="AV74" s="179" t="e">
        <f t="shared" si="38"/>
        <v>#DIV/0!</v>
      </c>
      <c r="AW74" s="180" t="e">
        <f t="shared" si="75"/>
        <v>#DIV/0!</v>
      </c>
      <c r="AX74" s="178" t="e">
        <f t="shared" si="67"/>
        <v>#DIV/0!</v>
      </c>
      <c r="AY74" s="178" t="e">
        <f t="shared" si="67"/>
        <v>#DIV/0!</v>
      </c>
      <c r="AZ74" s="178" t="e">
        <f t="shared" si="67"/>
        <v>#DIV/0!</v>
      </c>
      <c r="BA74" s="178" t="e">
        <f t="shared" si="67"/>
        <v>#DIV/0!</v>
      </c>
      <c r="BB74" s="178" t="e">
        <f t="shared" si="67"/>
        <v>#DIV/0!</v>
      </c>
      <c r="BC74" s="178" t="e">
        <f t="shared" si="67"/>
        <v>#DIV/0!</v>
      </c>
      <c r="BD74" s="178" t="e">
        <f t="shared" si="67"/>
        <v>#DIV/0!</v>
      </c>
      <c r="BE74" s="178" t="e">
        <f t="shared" si="67"/>
        <v>#DIV/0!</v>
      </c>
      <c r="BF74" s="178" t="e">
        <f t="shared" si="67"/>
        <v>#DIV/0!</v>
      </c>
      <c r="BG74" s="178" t="e">
        <f t="shared" si="67"/>
        <v>#DIV/0!</v>
      </c>
      <c r="BH74" s="168" t="e">
        <f t="shared" si="67"/>
        <v>#DIV/0!</v>
      </c>
      <c r="BI74" s="169" t="e">
        <f t="shared" si="40"/>
        <v>#DIV/0!</v>
      </c>
      <c r="BJ74" s="179" t="e">
        <f t="shared" si="41"/>
        <v>#DIV/0!</v>
      </c>
      <c r="BK74" s="180" t="e">
        <f t="shared" si="76"/>
        <v>#DIV/0!</v>
      </c>
      <c r="BL74" s="178" t="e">
        <f t="shared" si="68"/>
        <v>#DIV/0!</v>
      </c>
      <c r="BM74" s="178" t="e">
        <f t="shared" si="68"/>
        <v>#DIV/0!</v>
      </c>
      <c r="BN74" s="178" t="e">
        <f t="shared" si="68"/>
        <v>#DIV/0!</v>
      </c>
      <c r="BO74" s="178" t="e">
        <f t="shared" si="68"/>
        <v>#DIV/0!</v>
      </c>
      <c r="BP74" s="178" t="e">
        <f t="shared" si="68"/>
        <v>#DIV/0!</v>
      </c>
      <c r="BQ74" s="178" t="e">
        <f t="shared" si="68"/>
        <v>#DIV/0!</v>
      </c>
      <c r="BR74" s="178" t="e">
        <f t="shared" si="68"/>
        <v>#DIV/0!</v>
      </c>
      <c r="BS74" s="178" t="e">
        <f t="shared" si="68"/>
        <v>#DIV/0!</v>
      </c>
      <c r="BT74" s="178" t="e">
        <f t="shared" si="68"/>
        <v>#DIV/0!</v>
      </c>
      <c r="BU74" s="178" t="e">
        <f t="shared" si="68"/>
        <v>#DIV/0!</v>
      </c>
      <c r="BV74" s="168" t="e">
        <f t="shared" si="68"/>
        <v>#DIV/0!</v>
      </c>
      <c r="BW74" s="169" t="e">
        <f t="shared" si="43"/>
        <v>#DIV/0!</v>
      </c>
      <c r="BX74" s="179" t="e">
        <f t="shared" si="44"/>
        <v>#DIV/0!</v>
      </c>
      <c r="BY74" s="180" t="e">
        <f t="shared" si="77"/>
        <v>#DIV/0!</v>
      </c>
      <c r="BZ74" s="178" t="e">
        <f t="shared" si="69"/>
        <v>#DIV/0!</v>
      </c>
      <c r="CA74" s="178" t="e">
        <f t="shared" si="69"/>
        <v>#DIV/0!</v>
      </c>
      <c r="CB74" s="178" t="e">
        <f t="shared" si="69"/>
        <v>#DIV/0!</v>
      </c>
      <c r="CC74" s="178" t="e">
        <f t="shared" si="69"/>
        <v>#DIV/0!</v>
      </c>
      <c r="CD74" s="178" t="e">
        <f t="shared" si="69"/>
        <v>#DIV/0!</v>
      </c>
      <c r="CE74" s="178" t="e">
        <f t="shared" si="69"/>
        <v>#DIV/0!</v>
      </c>
      <c r="CF74" s="178" t="e">
        <f t="shared" si="69"/>
        <v>#DIV/0!</v>
      </c>
      <c r="CG74" s="178" t="e">
        <f t="shared" si="69"/>
        <v>#DIV/0!</v>
      </c>
      <c r="CH74" s="178" t="e">
        <f t="shared" si="69"/>
        <v>#DIV/0!</v>
      </c>
      <c r="CI74" s="178" t="e">
        <f t="shared" si="69"/>
        <v>#DIV/0!</v>
      </c>
      <c r="CJ74" s="168" t="e">
        <f t="shared" si="69"/>
        <v>#DIV/0!</v>
      </c>
      <c r="CK74" s="169" t="e">
        <f t="shared" si="46"/>
        <v>#DIV/0!</v>
      </c>
      <c r="CL74" s="179" t="e">
        <f t="shared" si="47"/>
        <v>#DIV/0!</v>
      </c>
      <c r="CM74" s="180" t="e">
        <f t="shared" si="78"/>
        <v>#DIV/0!</v>
      </c>
      <c r="CN74" s="178" t="e">
        <f t="shared" si="70"/>
        <v>#DIV/0!</v>
      </c>
      <c r="CO74" s="178" t="e">
        <f t="shared" si="70"/>
        <v>#DIV/0!</v>
      </c>
      <c r="CP74" s="178" t="e">
        <f t="shared" si="70"/>
        <v>#DIV/0!</v>
      </c>
      <c r="CQ74" s="178" t="e">
        <f t="shared" si="70"/>
        <v>#DIV/0!</v>
      </c>
      <c r="CR74" s="178" t="e">
        <f t="shared" si="70"/>
        <v>#DIV/0!</v>
      </c>
      <c r="CS74" s="178" t="e">
        <f t="shared" si="70"/>
        <v>#DIV/0!</v>
      </c>
      <c r="CT74" s="178" t="e">
        <f t="shared" si="70"/>
        <v>#DIV/0!</v>
      </c>
      <c r="CU74" s="178" t="e">
        <f t="shared" si="70"/>
        <v>#DIV/0!</v>
      </c>
      <c r="CV74" s="178" t="e">
        <f t="shared" si="70"/>
        <v>#DIV/0!</v>
      </c>
      <c r="CW74" s="178" t="e">
        <f t="shared" si="70"/>
        <v>#DIV/0!</v>
      </c>
      <c r="CX74" s="168" t="e">
        <f t="shared" si="70"/>
        <v>#DIV/0!</v>
      </c>
      <c r="CY74" s="169" t="e">
        <f t="shared" si="49"/>
        <v>#DIV/0!</v>
      </c>
      <c r="CZ74" s="179" t="e">
        <f t="shared" si="50"/>
        <v>#DIV/0!</v>
      </c>
      <c r="DA74" s="180" t="e">
        <f t="shared" si="79"/>
        <v>#DIV/0!</v>
      </c>
      <c r="DB74" s="178" t="e">
        <f t="shared" si="71"/>
        <v>#DIV/0!</v>
      </c>
      <c r="DC74" s="178" t="e">
        <f t="shared" si="71"/>
        <v>#DIV/0!</v>
      </c>
      <c r="DD74" s="178" t="e">
        <f t="shared" si="71"/>
        <v>#DIV/0!</v>
      </c>
      <c r="DE74" s="178" t="e">
        <f t="shared" si="71"/>
        <v>#DIV/0!</v>
      </c>
      <c r="DF74" s="178" t="e">
        <f t="shared" si="71"/>
        <v>#DIV/0!</v>
      </c>
      <c r="DG74" s="178" t="e">
        <f t="shared" si="71"/>
        <v>#DIV/0!</v>
      </c>
      <c r="DH74" s="178" t="e">
        <f t="shared" si="71"/>
        <v>#DIV/0!</v>
      </c>
      <c r="DI74" s="178" t="e">
        <f t="shared" si="71"/>
        <v>#DIV/0!</v>
      </c>
      <c r="DJ74" s="178" t="e">
        <f t="shared" si="71"/>
        <v>#DIV/0!</v>
      </c>
      <c r="DK74" s="178" t="e">
        <f t="shared" si="71"/>
        <v>#DIV/0!</v>
      </c>
      <c r="DL74" s="168" t="e">
        <f t="shared" si="71"/>
        <v>#DIV/0!</v>
      </c>
      <c r="DM74" s="169" t="e">
        <f t="shared" si="52"/>
        <v>#DIV/0!</v>
      </c>
      <c r="DN74" s="171" t="e">
        <f t="shared" si="53"/>
        <v>#DIV/0!</v>
      </c>
      <c r="DO74" s="180" t="e">
        <f t="shared" si="80"/>
        <v>#DIV/0!</v>
      </c>
      <c r="DP74" s="178" t="e">
        <f t="shared" si="72"/>
        <v>#DIV/0!</v>
      </c>
      <c r="DQ74" s="178" t="e">
        <f t="shared" si="72"/>
        <v>#DIV/0!</v>
      </c>
      <c r="DR74" s="178" t="e">
        <f t="shared" si="72"/>
        <v>#DIV/0!</v>
      </c>
      <c r="DS74" s="178" t="e">
        <f t="shared" si="72"/>
        <v>#DIV/0!</v>
      </c>
      <c r="DT74" s="178" t="e">
        <f t="shared" si="72"/>
        <v>#DIV/0!</v>
      </c>
      <c r="DU74" s="178" t="e">
        <f t="shared" si="72"/>
        <v>#DIV/0!</v>
      </c>
      <c r="DV74" s="178" t="e">
        <f t="shared" si="72"/>
        <v>#DIV/0!</v>
      </c>
      <c r="DW74" s="178" t="e">
        <f t="shared" si="72"/>
        <v>#DIV/0!</v>
      </c>
      <c r="DX74" s="178" t="e">
        <f t="shared" si="72"/>
        <v>#DIV/0!</v>
      </c>
      <c r="DY74" s="178" t="e">
        <f t="shared" si="72"/>
        <v>#DIV/0!</v>
      </c>
      <c r="DZ74" s="168" t="e">
        <f t="shared" si="72"/>
        <v>#DIV/0!</v>
      </c>
      <c r="EA74" s="169" t="e">
        <f t="shared" si="55"/>
        <v>#DIV/0!</v>
      </c>
      <c r="EB74" s="171" t="e">
        <f t="shared" si="56"/>
        <v>#DIV/0!</v>
      </c>
    </row>
    <row r="75" spans="1:132" s="177" customFormat="1" ht="15.75">
      <c r="A75" s="163"/>
      <c r="B75" s="164"/>
      <c r="C75" s="165"/>
      <c r="D75" s="182"/>
      <c r="E75" s="167"/>
      <c r="F75" s="168" t="e">
        <f t="shared" si="83"/>
        <v>#DIV/0!</v>
      </c>
      <c r="G75" s="169" t="e">
        <f t="shared" si="82"/>
        <v>#DIV/0!</v>
      </c>
      <c r="H75" s="178" t="e">
        <f t="shared" si="81"/>
        <v>#DIV/0!</v>
      </c>
      <c r="I75" s="178" t="e">
        <f t="shared" si="81"/>
        <v>#DIV/0!</v>
      </c>
      <c r="J75" s="178" t="e">
        <f t="shared" si="81"/>
        <v>#DIV/0!</v>
      </c>
      <c r="K75" s="178" t="e">
        <f t="shared" si="81"/>
        <v>#DIV/0!</v>
      </c>
      <c r="L75" s="178" t="e">
        <f t="shared" si="81"/>
        <v>#DIV/0!</v>
      </c>
      <c r="M75" s="178" t="e">
        <f t="shared" si="81"/>
        <v>#DIV/0!</v>
      </c>
      <c r="N75" s="178" t="e">
        <f t="shared" si="81"/>
        <v>#DIV/0!</v>
      </c>
      <c r="O75" s="178" t="e">
        <f t="shared" si="81"/>
        <v>#DIV/0!</v>
      </c>
      <c r="P75" s="178" t="e">
        <f t="shared" si="81"/>
        <v>#DIV/0!</v>
      </c>
      <c r="Q75" s="178" t="e">
        <f t="shared" si="81"/>
        <v>#DIV/0!</v>
      </c>
      <c r="R75" s="179" t="e">
        <f t="shared" si="81"/>
        <v>#DIV/0!</v>
      </c>
      <c r="S75" s="169" t="e">
        <f t="shared" ref="S75:S138" si="84">SUM(G75:R75)</f>
        <v>#DIV/0!</v>
      </c>
      <c r="T75" s="179" t="e">
        <f t="shared" ref="T75:T138" si="85">IF(AND($R$9&gt;A75,$S75&lt;&gt;0),$D75-$S75,0)</f>
        <v>#DIV/0!</v>
      </c>
      <c r="U75" s="180" t="e">
        <f t="shared" si="73"/>
        <v>#DIV/0!</v>
      </c>
      <c r="V75" s="178" t="e">
        <f t="shared" si="66"/>
        <v>#DIV/0!</v>
      </c>
      <c r="W75" s="178" t="e">
        <f t="shared" si="66"/>
        <v>#DIV/0!</v>
      </c>
      <c r="X75" s="178" t="e">
        <f t="shared" si="66"/>
        <v>#DIV/0!</v>
      </c>
      <c r="Y75" s="178" t="e">
        <f t="shared" si="66"/>
        <v>#DIV/0!</v>
      </c>
      <c r="Z75" s="178" t="e">
        <f t="shared" si="66"/>
        <v>#DIV/0!</v>
      </c>
      <c r="AA75" s="178" t="e">
        <f t="shared" si="66"/>
        <v>#DIV/0!</v>
      </c>
      <c r="AB75" s="178" t="e">
        <f t="shared" si="66"/>
        <v>#DIV/0!</v>
      </c>
      <c r="AC75" s="178" t="e">
        <f t="shared" si="66"/>
        <v>#DIV/0!</v>
      </c>
      <c r="AD75" s="178" t="e">
        <f t="shared" si="66"/>
        <v>#DIV/0!</v>
      </c>
      <c r="AE75" s="178" t="e">
        <f t="shared" si="66"/>
        <v>#DIV/0!</v>
      </c>
      <c r="AF75" s="168" t="e">
        <f t="shared" si="66"/>
        <v>#DIV/0!</v>
      </c>
      <c r="AG75" s="169" t="e">
        <f t="shared" ref="AG75:AG138" si="86">SUM(U75:AF75)</f>
        <v>#DIV/0!</v>
      </c>
      <c r="AH75" s="179" t="e">
        <f t="shared" ref="AH75:AH138" si="87">IF(AND($AF$9&gt;$A75,$AG75&lt;&gt;0),$D75-$S75-$AG75,0)</f>
        <v>#DIV/0!</v>
      </c>
      <c r="AI75" s="180" t="e">
        <f t="shared" si="74"/>
        <v>#DIV/0!</v>
      </c>
      <c r="AJ75" s="178" t="e">
        <f t="shared" si="74"/>
        <v>#DIV/0!</v>
      </c>
      <c r="AK75" s="178" t="e">
        <f t="shared" si="74"/>
        <v>#DIV/0!</v>
      </c>
      <c r="AL75" s="178" t="e">
        <f t="shared" si="74"/>
        <v>#DIV/0!</v>
      </c>
      <c r="AM75" s="178" t="e">
        <f t="shared" si="74"/>
        <v>#DIV/0!</v>
      </c>
      <c r="AN75" s="178" t="e">
        <f t="shared" si="74"/>
        <v>#DIV/0!</v>
      </c>
      <c r="AO75" s="178" t="e">
        <f t="shared" si="74"/>
        <v>#DIV/0!</v>
      </c>
      <c r="AP75" s="178" t="e">
        <f t="shared" si="74"/>
        <v>#DIV/0!</v>
      </c>
      <c r="AQ75" s="178" t="e">
        <f t="shared" si="74"/>
        <v>#DIV/0!</v>
      </c>
      <c r="AR75" s="178" t="e">
        <f t="shared" si="74"/>
        <v>#DIV/0!</v>
      </c>
      <c r="AS75" s="178" t="e">
        <f t="shared" si="74"/>
        <v>#DIV/0!</v>
      </c>
      <c r="AT75" s="168" t="e">
        <f t="shared" si="74"/>
        <v>#DIV/0!</v>
      </c>
      <c r="AU75" s="169" t="e">
        <f t="shared" ref="AU75:AU138" si="88">SUM(AI75:AT75)</f>
        <v>#DIV/0!</v>
      </c>
      <c r="AV75" s="179" t="e">
        <f t="shared" ref="AV75:AV138" si="89">IF(AND($AT$9&gt;$A75,$AU75&lt;&gt;0),$D75-$S75-$AG75-$AU75,0)</f>
        <v>#DIV/0!</v>
      </c>
      <c r="AW75" s="180" t="e">
        <f t="shared" si="75"/>
        <v>#DIV/0!</v>
      </c>
      <c r="AX75" s="178" t="e">
        <f t="shared" si="67"/>
        <v>#DIV/0!</v>
      </c>
      <c r="AY75" s="178" t="e">
        <f t="shared" si="67"/>
        <v>#DIV/0!</v>
      </c>
      <c r="AZ75" s="178" t="e">
        <f t="shared" si="67"/>
        <v>#DIV/0!</v>
      </c>
      <c r="BA75" s="178" t="e">
        <f t="shared" si="67"/>
        <v>#DIV/0!</v>
      </c>
      <c r="BB75" s="178" t="e">
        <f t="shared" si="67"/>
        <v>#DIV/0!</v>
      </c>
      <c r="BC75" s="178" t="e">
        <f t="shared" si="67"/>
        <v>#DIV/0!</v>
      </c>
      <c r="BD75" s="178" t="e">
        <f t="shared" si="67"/>
        <v>#DIV/0!</v>
      </c>
      <c r="BE75" s="178" t="e">
        <f t="shared" si="67"/>
        <v>#DIV/0!</v>
      </c>
      <c r="BF75" s="178" t="e">
        <f t="shared" si="67"/>
        <v>#DIV/0!</v>
      </c>
      <c r="BG75" s="178" t="e">
        <f t="shared" si="67"/>
        <v>#DIV/0!</v>
      </c>
      <c r="BH75" s="168" t="e">
        <f t="shared" si="67"/>
        <v>#DIV/0!</v>
      </c>
      <c r="BI75" s="169" t="e">
        <f t="shared" ref="BI75:BI138" si="90">SUM(AW75:BH75)</f>
        <v>#DIV/0!</v>
      </c>
      <c r="BJ75" s="179" t="e">
        <f t="shared" ref="BJ75:BJ138" si="91">IF(AND($BH$9&gt;$A75,$BI75&lt;&gt;0),$D75-$S75-$AG75-$AU75-$BI75,0)</f>
        <v>#DIV/0!</v>
      </c>
      <c r="BK75" s="180" t="e">
        <f t="shared" si="76"/>
        <v>#DIV/0!</v>
      </c>
      <c r="BL75" s="178" t="e">
        <f t="shared" si="68"/>
        <v>#DIV/0!</v>
      </c>
      <c r="BM75" s="178" t="e">
        <f t="shared" si="68"/>
        <v>#DIV/0!</v>
      </c>
      <c r="BN75" s="178" t="e">
        <f t="shared" si="68"/>
        <v>#DIV/0!</v>
      </c>
      <c r="BO75" s="178" t="e">
        <f t="shared" si="68"/>
        <v>#DIV/0!</v>
      </c>
      <c r="BP75" s="178" t="e">
        <f t="shared" si="68"/>
        <v>#DIV/0!</v>
      </c>
      <c r="BQ75" s="178" t="e">
        <f t="shared" si="68"/>
        <v>#DIV/0!</v>
      </c>
      <c r="BR75" s="178" t="e">
        <f t="shared" si="68"/>
        <v>#DIV/0!</v>
      </c>
      <c r="BS75" s="178" t="e">
        <f t="shared" si="68"/>
        <v>#DIV/0!</v>
      </c>
      <c r="BT75" s="178" t="e">
        <f t="shared" si="68"/>
        <v>#DIV/0!</v>
      </c>
      <c r="BU75" s="178" t="e">
        <f t="shared" si="68"/>
        <v>#DIV/0!</v>
      </c>
      <c r="BV75" s="168" t="e">
        <f t="shared" si="68"/>
        <v>#DIV/0!</v>
      </c>
      <c r="BW75" s="169" t="e">
        <f t="shared" ref="BW75:BW138" si="92">SUM(BK75:BV75)</f>
        <v>#DIV/0!</v>
      </c>
      <c r="BX75" s="179" t="e">
        <f t="shared" ref="BX75:BX138" si="93">IF(AND($BV$9&gt;$A75,$BW75&lt;&gt;0),$D75-$S75-$AG75-$AU75-$BI75-$BW75,0)</f>
        <v>#DIV/0!</v>
      </c>
      <c r="BY75" s="180" t="e">
        <f t="shared" si="77"/>
        <v>#DIV/0!</v>
      </c>
      <c r="BZ75" s="178" t="e">
        <f t="shared" si="69"/>
        <v>#DIV/0!</v>
      </c>
      <c r="CA75" s="178" t="e">
        <f t="shared" si="69"/>
        <v>#DIV/0!</v>
      </c>
      <c r="CB75" s="178" t="e">
        <f t="shared" si="69"/>
        <v>#DIV/0!</v>
      </c>
      <c r="CC75" s="178" t="e">
        <f t="shared" si="69"/>
        <v>#DIV/0!</v>
      </c>
      <c r="CD75" s="178" t="e">
        <f t="shared" si="69"/>
        <v>#DIV/0!</v>
      </c>
      <c r="CE75" s="178" t="e">
        <f t="shared" si="69"/>
        <v>#DIV/0!</v>
      </c>
      <c r="CF75" s="178" t="e">
        <f t="shared" si="69"/>
        <v>#DIV/0!</v>
      </c>
      <c r="CG75" s="178" t="e">
        <f t="shared" si="69"/>
        <v>#DIV/0!</v>
      </c>
      <c r="CH75" s="178" t="e">
        <f t="shared" si="69"/>
        <v>#DIV/0!</v>
      </c>
      <c r="CI75" s="178" t="e">
        <f t="shared" si="69"/>
        <v>#DIV/0!</v>
      </c>
      <c r="CJ75" s="168" t="e">
        <f t="shared" si="69"/>
        <v>#DIV/0!</v>
      </c>
      <c r="CK75" s="169" t="e">
        <f t="shared" ref="CK75:CK138" si="94">SUM(BY75:CJ75)</f>
        <v>#DIV/0!</v>
      </c>
      <c r="CL75" s="179" t="e">
        <f t="shared" ref="CL75:CL138" si="95">IF(AND($CJ$9&gt;$A75,$CK75&lt;&gt;0),$D75-$S75-$AG75-$AU75-$BI75-$BW75-$CK$10,0)</f>
        <v>#DIV/0!</v>
      </c>
      <c r="CM75" s="180" t="e">
        <f t="shared" si="78"/>
        <v>#DIV/0!</v>
      </c>
      <c r="CN75" s="178" t="e">
        <f t="shared" si="70"/>
        <v>#DIV/0!</v>
      </c>
      <c r="CO75" s="178" t="e">
        <f t="shared" si="70"/>
        <v>#DIV/0!</v>
      </c>
      <c r="CP75" s="178" t="e">
        <f t="shared" si="70"/>
        <v>#DIV/0!</v>
      </c>
      <c r="CQ75" s="178" t="e">
        <f t="shared" si="70"/>
        <v>#DIV/0!</v>
      </c>
      <c r="CR75" s="178" t="e">
        <f t="shared" si="70"/>
        <v>#DIV/0!</v>
      </c>
      <c r="CS75" s="178" t="e">
        <f t="shared" si="70"/>
        <v>#DIV/0!</v>
      </c>
      <c r="CT75" s="178" t="e">
        <f t="shared" si="70"/>
        <v>#DIV/0!</v>
      </c>
      <c r="CU75" s="178" t="e">
        <f t="shared" si="70"/>
        <v>#DIV/0!</v>
      </c>
      <c r="CV75" s="178" t="e">
        <f t="shared" si="70"/>
        <v>#DIV/0!</v>
      </c>
      <c r="CW75" s="178" t="e">
        <f t="shared" si="70"/>
        <v>#DIV/0!</v>
      </c>
      <c r="CX75" s="168" t="e">
        <f t="shared" si="70"/>
        <v>#DIV/0!</v>
      </c>
      <c r="CY75" s="169" t="e">
        <f t="shared" ref="CY75:CY138" si="96">SUM(CM75:CX75)</f>
        <v>#DIV/0!</v>
      </c>
      <c r="CZ75" s="179" t="e">
        <f t="shared" ref="CZ75:CZ138" si="97">IF(AND($CX$9&gt;$A75,$CY75&lt;&gt;0),$D75-$S75-$AG75-$AU75-$BI75-$BW75-$CK75-$CY75,0)</f>
        <v>#DIV/0!</v>
      </c>
      <c r="DA75" s="180" t="e">
        <f t="shared" si="79"/>
        <v>#DIV/0!</v>
      </c>
      <c r="DB75" s="178" t="e">
        <f t="shared" si="71"/>
        <v>#DIV/0!</v>
      </c>
      <c r="DC75" s="178" t="e">
        <f t="shared" si="71"/>
        <v>#DIV/0!</v>
      </c>
      <c r="DD75" s="178" t="e">
        <f t="shared" si="71"/>
        <v>#DIV/0!</v>
      </c>
      <c r="DE75" s="178" t="e">
        <f t="shared" si="71"/>
        <v>#DIV/0!</v>
      </c>
      <c r="DF75" s="178" t="e">
        <f t="shared" si="71"/>
        <v>#DIV/0!</v>
      </c>
      <c r="DG75" s="178" t="e">
        <f t="shared" si="71"/>
        <v>#DIV/0!</v>
      </c>
      <c r="DH75" s="178" t="e">
        <f t="shared" si="71"/>
        <v>#DIV/0!</v>
      </c>
      <c r="DI75" s="178" t="e">
        <f t="shared" si="71"/>
        <v>#DIV/0!</v>
      </c>
      <c r="DJ75" s="178" t="e">
        <f t="shared" si="71"/>
        <v>#DIV/0!</v>
      </c>
      <c r="DK75" s="178" t="e">
        <f t="shared" si="71"/>
        <v>#DIV/0!</v>
      </c>
      <c r="DL75" s="168" t="e">
        <f t="shared" si="71"/>
        <v>#DIV/0!</v>
      </c>
      <c r="DM75" s="169" t="e">
        <f t="shared" ref="DM75:DM138" si="98">SUM(DA75:DL75)</f>
        <v>#DIV/0!</v>
      </c>
      <c r="DN75" s="171" t="e">
        <f t="shared" ref="DN75:DN137" si="99">IF(AND($DL$9&gt;$A75,$DM75&lt;&gt;0),$D75-$S75-$AG75-$AU75-$BI75-$BW75-$CK$10-$CY75-$DM75,0)</f>
        <v>#DIV/0!</v>
      </c>
      <c r="DO75" s="180" t="e">
        <f t="shared" si="80"/>
        <v>#DIV/0!</v>
      </c>
      <c r="DP75" s="178" t="e">
        <f t="shared" si="72"/>
        <v>#DIV/0!</v>
      </c>
      <c r="DQ75" s="178" t="e">
        <f t="shared" si="72"/>
        <v>#DIV/0!</v>
      </c>
      <c r="DR75" s="178" t="e">
        <f t="shared" si="72"/>
        <v>#DIV/0!</v>
      </c>
      <c r="DS75" s="178" t="e">
        <f t="shared" si="72"/>
        <v>#DIV/0!</v>
      </c>
      <c r="DT75" s="178" t="e">
        <f t="shared" si="72"/>
        <v>#DIV/0!</v>
      </c>
      <c r="DU75" s="178" t="e">
        <f t="shared" si="72"/>
        <v>#DIV/0!</v>
      </c>
      <c r="DV75" s="178" t="e">
        <f t="shared" si="72"/>
        <v>#DIV/0!</v>
      </c>
      <c r="DW75" s="178" t="e">
        <f t="shared" si="72"/>
        <v>#DIV/0!</v>
      </c>
      <c r="DX75" s="178" t="e">
        <f t="shared" si="72"/>
        <v>#DIV/0!</v>
      </c>
      <c r="DY75" s="178" t="e">
        <f t="shared" si="72"/>
        <v>#DIV/0!</v>
      </c>
      <c r="DZ75" s="168" t="e">
        <f t="shared" si="72"/>
        <v>#DIV/0!</v>
      </c>
      <c r="EA75" s="169" t="e">
        <f t="shared" ref="EA75:EA138" si="100">SUM(DO75:DZ75)</f>
        <v>#DIV/0!</v>
      </c>
      <c r="EB75" s="171" t="e">
        <f t="shared" ref="EB75:EB138" si="101">IF(AND($DZ$9&gt;$A75,$EA75&lt;&gt;0),$D75-$S75-$AG75-$AU75-$BI75-$BW75--CY75-$DM75-$CK75-$EA75,0)</f>
        <v>#DIV/0!</v>
      </c>
    </row>
    <row r="76" spans="1:132" s="177" customFormat="1" ht="15.75">
      <c r="A76" s="163"/>
      <c r="B76" s="164"/>
      <c r="C76" s="165"/>
      <c r="D76" s="182"/>
      <c r="E76" s="167"/>
      <c r="F76" s="168" t="e">
        <f t="shared" si="83"/>
        <v>#DIV/0!</v>
      </c>
      <c r="G76" s="169" t="e">
        <f t="shared" si="82"/>
        <v>#DIV/0!</v>
      </c>
      <c r="H76" s="178" t="e">
        <f t="shared" si="81"/>
        <v>#DIV/0!</v>
      </c>
      <c r="I76" s="178" t="e">
        <f t="shared" si="81"/>
        <v>#DIV/0!</v>
      </c>
      <c r="J76" s="178" t="e">
        <f t="shared" si="81"/>
        <v>#DIV/0!</v>
      </c>
      <c r="K76" s="178" t="e">
        <f t="shared" si="81"/>
        <v>#DIV/0!</v>
      </c>
      <c r="L76" s="178" t="e">
        <f t="shared" si="81"/>
        <v>#DIV/0!</v>
      </c>
      <c r="M76" s="178" t="e">
        <f t="shared" si="81"/>
        <v>#DIV/0!</v>
      </c>
      <c r="N76" s="178" t="e">
        <f t="shared" si="81"/>
        <v>#DIV/0!</v>
      </c>
      <c r="O76" s="178" t="e">
        <f t="shared" si="81"/>
        <v>#DIV/0!</v>
      </c>
      <c r="P76" s="178" t="e">
        <f t="shared" si="81"/>
        <v>#DIV/0!</v>
      </c>
      <c r="Q76" s="178" t="e">
        <f t="shared" si="81"/>
        <v>#DIV/0!</v>
      </c>
      <c r="R76" s="179" t="e">
        <f t="shared" si="81"/>
        <v>#DIV/0!</v>
      </c>
      <c r="S76" s="169" t="e">
        <f t="shared" si="84"/>
        <v>#DIV/0!</v>
      </c>
      <c r="T76" s="179" t="e">
        <f t="shared" si="85"/>
        <v>#DIV/0!</v>
      </c>
      <c r="U76" s="180" t="e">
        <f t="shared" si="73"/>
        <v>#DIV/0!</v>
      </c>
      <c r="V76" s="178" t="e">
        <f t="shared" si="66"/>
        <v>#DIV/0!</v>
      </c>
      <c r="W76" s="178" t="e">
        <f t="shared" si="66"/>
        <v>#DIV/0!</v>
      </c>
      <c r="X76" s="178" t="e">
        <f t="shared" si="66"/>
        <v>#DIV/0!</v>
      </c>
      <c r="Y76" s="178" t="e">
        <f t="shared" si="66"/>
        <v>#DIV/0!</v>
      </c>
      <c r="Z76" s="178" t="e">
        <f t="shared" si="66"/>
        <v>#DIV/0!</v>
      </c>
      <c r="AA76" s="178" t="e">
        <f t="shared" si="66"/>
        <v>#DIV/0!</v>
      </c>
      <c r="AB76" s="178" t="e">
        <f t="shared" si="66"/>
        <v>#DIV/0!</v>
      </c>
      <c r="AC76" s="178" t="e">
        <f t="shared" si="66"/>
        <v>#DIV/0!</v>
      </c>
      <c r="AD76" s="178" t="e">
        <f t="shared" si="66"/>
        <v>#DIV/0!</v>
      </c>
      <c r="AE76" s="178" t="e">
        <f t="shared" si="66"/>
        <v>#DIV/0!</v>
      </c>
      <c r="AF76" s="168" t="e">
        <f t="shared" si="66"/>
        <v>#DIV/0!</v>
      </c>
      <c r="AG76" s="169" t="e">
        <f t="shared" si="86"/>
        <v>#DIV/0!</v>
      </c>
      <c r="AH76" s="179" t="e">
        <f t="shared" si="87"/>
        <v>#DIV/0!</v>
      </c>
      <c r="AI76" s="180" t="e">
        <f t="shared" si="74"/>
        <v>#DIV/0!</v>
      </c>
      <c r="AJ76" s="178" t="e">
        <f t="shared" si="74"/>
        <v>#DIV/0!</v>
      </c>
      <c r="AK76" s="178" t="e">
        <f t="shared" si="74"/>
        <v>#DIV/0!</v>
      </c>
      <c r="AL76" s="178" t="e">
        <f t="shared" si="74"/>
        <v>#DIV/0!</v>
      </c>
      <c r="AM76" s="178" t="e">
        <f t="shared" si="74"/>
        <v>#DIV/0!</v>
      </c>
      <c r="AN76" s="178" t="e">
        <f t="shared" si="74"/>
        <v>#DIV/0!</v>
      </c>
      <c r="AO76" s="178" t="e">
        <f t="shared" si="74"/>
        <v>#DIV/0!</v>
      </c>
      <c r="AP76" s="178" t="e">
        <f t="shared" si="74"/>
        <v>#DIV/0!</v>
      </c>
      <c r="AQ76" s="178" t="e">
        <f t="shared" si="74"/>
        <v>#DIV/0!</v>
      </c>
      <c r="AR76" s="178" t="e">
        <f t="shared" si="74"/>
        <v>#DIV/0!</v>
      </c>
      <c r="AS76" s="178" t="e">
        <f t="shared" si="74"/>
        <v>#DIV/0!</v>
      </c>
      <c r="AT76" s="168" t="e">
        <f t="shared" si="74"/>
        <v>#DIV/0!</v>
      </c>
      <c r="AU76" s="169" t="e">
        <f t="shared" si="88"/>
        <v>#DIV/0!</v>
      </c>
      <c r="AV76" s="179" t="e">
        <f t="shared" si="89"/>
        <v>#DIV/0!</v>
      </c>
      <c r="AW76" s="180" t="e">
        <f t="shared" si="75"/>
        <v>#DIV/0!</v>
      </c>
      <c r="AX76" s="178" t="e">
        <f t="shared" si="67"/>
        <v>#DIV/0!</v>
      </c>
      <c r="AY76" s="178" t="e">
        <f t="shared" si="67"/>
        <v>#DIV/0!</v>
      </c>
      <c r="AZ76" s="178" t="e">
        <f t="shared" si="67"/>
        <v>#DIV/0!</v>
      </c>
      <c r="BA76" s="178" t="e">
        <f t="shared" si="67"/>
        <v>#DIV/0!</v>
      </c>
      <c r="BB76" s="178" t="e">
        <f t="shared" si="67"/>
        <v>#DIV/0!</v>
      </c>
      <c r="BC76" s="178" t="e">
        <f t="shared" si="67"/>
        <v>#DIV/0!</v>
      </c>
      <c r="BD76" s="178" t="e">
        <f t="shared" si="67"/>
        <v>#DIV/0!</v>
      </c>
      <c r="BE76" s="178" t="e">
        <f t="shared" si="67"/>
        <v>#DIV/0!</v>
      </c>
      <c r="BF76" s="178" t="e">
        <f t="shared" si="67"/>
        <v>#DIV/0!</v>
      </c>
      <c r="BG76" s="178" t="e">
        <f t="shared" si="67"/>
        <v>#DIV/0!</v>
      </c>
      <c r="BH76" s="168" t="e">
        <f t="shared" si="67"/>
        <v>#DIV/0!</v>
      </c>
      <c r="BI76" s="169" t="e">
        <f t="shared" si="90"/>
        <v>#DIV/0!</v>
      </c>
      <c r="BJ76" s="179" t="e">
        <f t="shared" si="91"/>
        <v>#DIV/0!</v>
      </c>
      <c r="BK76" s="180" t="e">
        <f t="shared" si="76"/>
        <v>#DIV/0!</v>
      </c>
      <c r="BL76" s="178" t="e">
        <f t="shared" si="68"/>
        <v>#DIV/0!</v>
      </c>
      <c r="BM76" s="178" t="e">
        <f t="shared" si="68"/>
        <v>#DIV/0!</v>
      </c>
      <c r="BN76" s="178" t="e">
        <f t="shared" si="68"/>
        <v>#DIV/0!</v>
      </c>
      <c r="BO76" s="178" t="e">
        <f t="shared" si="68"/>
        <v>#DIV/0!</v>
      </c>
      <c r="BP76" s="178" t="e">
        <f t="shared" si="68"/>
        <v>#DIV/0!</v>
      </c>
      <c r="BQ76" s="178" t="e">
        <f t="shared" si="68"/>
        <v>#DIV/0!</v>
      </c>
      <c r="BR76" s="178" t="e">
        <f t="shared" si="68"/>
        <v>#DIV/0!</v>
      </c>
      <c r="BS76" s="178" t="e">
        <f t="shared" si="68"/>
        <v>#DIV/0!</v>
      </c>
      <c r="BT76" s="178" t="e">
        <f t="shared" si="68"/>
        <v>#DIV/0!</v>
      </c>
      <c r="BU76" s="178" t="e">
        <f t="shared" si="68"/>
        <v>#DIV/0!</v>
      </c>
      <c r="BV76" s="168" t="e">
        <f t="shared" si="68"/>
        <v>#DIV/0!</v>
      </c>
      <c r="BW76" s="169" t="e">
        <f t="shared" si="92"/>
        <v>#DIV/0!</v>
      </c>
      <c r="BX76" s="179" t="e">
        <f t="shared" si="93"/>
        <v>#DIV/0!</v>
      </c>
      <c r="BY76" s="180" t="e">
        <f t="shared" si="77"/>
        <v>#DIV/0!</v>
      </c>
      <c r="BZ76" s="178" t="e">
        <f t="shared" si="69"/>
        <v>#DIV/0!</v>
      </c>
      <c r="CA76" s="178" t="e">
        <f t="shared" si="69"/>
        <v>#DIV/0!</v>
      </c>
      <c r="CB76" s="178" t="e">
        <f t="shared" si="69"/>
        <v>#DIV/0!</v>
      </c>
      <c r="CC76" s="178" t="e">
        <f t="shared" si="69"/>
        <v>#DIV/0!</v>
      </c>
      <c r="CD76" s="178" t="e">
        <f t="shared" si="69"/>
        <v>#DIV/0!</v>
      </c>
      <c r="CE76" s="178" t="e">
        <f t="shared" si="69"/>
        <v>#DIV/0!</v>
      </c>
      <c r="CF76" s="178" t="e">
        <f t="shared" si="69"/>
        <v>#DIV/0!</v>
      </c>
      <c r="CG76" s="178" t="e">
        <f t="shared" si="69"/>
        <v>#DIV/0!</v>
      </c>
      <c r="CH76" s="178" t="e">
        <f t="shared" si="69"/>
        <v>#DIV/0!</v>
      </c>
      <c r="CI76" s="178" t="e">
        <f t="shared" si="69"/>
        <v>#DIV/0!</v>
      </c>
      <c r="CJ76" s="168" t="e">
        <f t="shared" si="69"/>
        <v>#DIV/0!</v>
      </c>
      <c r="CK76" s="169" t="e">
        <f t="shared" si="94"/>
        <v>#DIV/0!</v>
      </c>
      <c r="CL76" s="179" t="e">
        <f t="shared" si="95"/>
        <v>#DIV/0!</v>
      </c>
      <c r="CM76" s="180" t="e">
        <f t="shared" si="78"/>
        <v>#DIV/0!</v>
      </c>
      <c r="CN76" s="178" t="e">
        <f t="shared" si="70"/>
        <v>#DIV/0!</v>
      </c>
      <c r="CO76" s="178" t="e">
        <f t="shared" si="70"/>
        <v>#DIV/0!</v>
      </c>
      <c r="CP76" s="178" t="e">
        <f t="shared" si="70"/>
        <v>#DIV/0!</v>
      </c>
      <c r="CQ76" s="178" t="e">
        <f t="shared" si="70"/>
        <v>#DIV/0!</v>
      </c>
      <c r="CR76" s="178" t="e">
        <f t="shared" si="70"/>
        <v>#DIV/0!</v>
      </c>
      <c r="CS76" s="178" t="e">
        <f t="shared" si="70"/>
        <v>#DIV/0!</v>
      </c>
      <c r="CT76" s="178" t="e">
        <f t="shared" si="70"/>
        <v>#DIV/0!</v>
      </c>
      <c r="CU76" s="178" t="e">
        <f t="shared" si="70"/>
        <v>#DIV/0!</v>
      </c>
      <c r="CV76" s="178" t="e">
        <f t="shared" si="70"/>
        <v>#DIV/0!</v>
      </c>
      <c r="CW76" s="178" t="e">
        <f t="shared" si="70"/>
        <v>#DIV/0!</v>
      </c>
      <c r="CX76" s="168" t="e">
        <f t="shared" si="70"/>
        <v>#DIV/0!</v>
      </c>
      <c r="CY76" s="169" t="e">
        <f t="shared" si="96"/>
        <v>#DIV/0!</v>
      </c>
      <c r="CZ76" s="179" t="e">
        <f t="shared" si="97"/>
        <v>#DIV/0!</v>
      </c>
      <c r="DA76" s="180" t="e">
        <f t="shared" si="79"/>
        <v>#DIV/0!</v>
      </c>
      <c r="DB76" s="178" t="e">
        <f t="shared" si="71"/>
        <v>#DIV/0!</v>
      </c>
      <c r="DC76" s="178" t="e">
        <f t="shared" si="71"/>
        <v>#DIV/0!</v>
      </c>
      <c r="DD76" s="178" t="e">
        <f t="shared" si="71"/>
        <v>#DIV/0!</v>
      </c>
      <c r="DE76" s="178" t="e">
        <f t="shared" si="71"/>
        <v>#DIV/0!</v>
      </c>
      <c r="DF76" s="178" t="e">
        <f t="shared" si="71"/>
        <v>#DIV/0!</v>
      </c>
      <c r="DG76" s="178" t="e">
        <f t="shared" si="71"/>
        <v>#DIV/0!</v>
      </c>
      <c r="DH76" s="178" t="e">
        <f t="shared" si="71"/>
        <v>#DIV/0!</v>
      </c>
      <c r="DI76" s="178" t="e">
        <f t="shared" si="71"/>
        <v>#DIV/0!</v>
      </c>
      <c r="DJ76" s="178" t="e">
        <f t="shared" si="71"/>
        <v>#DIV/0!</v>
      </c>
      <c r="DK76" s="178" t="e">
        <f t="shared" si="71"/>
        <v>#DIV/0!</v>
      </c>
      <c r="DL76" s="168" t="e">
        <f t="shared" si="71"/>
        <v>#DIV/0!</v>
      </c>
      <c r="DM76" s="169" t="e">
        <f t="shared" si="98"/>
        <v>#DIV/0!</v>
      </c>
      <c r="DN76" s="171" t="e">
        <f t="shared" si="99"/>
        <v>#DIV/0!</v>
      </c>
      <c r="DO76" s="180" t="e">
        <f t="shared" si="80"/>
        <v>#DIV/0!</v>
      </c>
      <c r="DP76" s="178" t="e">
        <f t="shared" si="72"/>
        <v>#DIV/0!</v>
      </c>
      <c r="DQ76" s="178" t="e">
        <f t="shared" si="72"/>
        <v>#DIV/0!</v>
      </c>
      <c r="DR76" s="178" t="e">
        <f t="shared" si="72"/>
        <v>#DIV/0!</v>
      </c>
      <c r="DS76" s="178" t="e">
        <f t="shared" si="72"/>
        <v>#DIV/0!</v>
      </c>
      <c r="DT76" s="178" t="e">
        <f t="shared" si="72"/>
        <v>#DIV/0!</v>
      </c>
      <c r="DU76" s="178" t="e">
        <f t="shared" si="72"/>
        <v>#DIV/0!</v>
      </c>
      <c r="DV76" s="178" t="e">
        <f t="shared" si="72"/>
        <v>#DIV/0!</v>
      </c>
      <c r="DW76" s="178" t="e">
        <f t="shared" si="72"/>
        <v>#DIV/0!</v>
      </c>
      <c r="DX76" s="178" t="e">
        <f t="shared" si="72"/>
        <v>#DIV/0!</v>
      </c>
      <c r="DY76" s="178" t="e">
        <f t="shared" si="72"/>
        <v>#DIV/0!</v>
      </c>
      <c r="DZ76" s="168" t="e">
        <f t="shared" si="72"/>
        <v>#DIV/0!</v>
      </c>
      <c r="EA76" s="169" t="e">
        <f t="shared" si="100"/>
        <v>#DIV/0!</v>
      </c>
      <c r="EB76" s="171" t="e">
        <f t="shared" si="101"/>
        <v>#DIV/0!</v>
      </c>
    </row>
    <row r="77" spans="1:132" s="177" customFormat="1" ht="15.75">
      <c r="A77" s="163"/>
      <c r="B77" s="164"/>
      <c r="C77" s="165"/>
      <c r="D77" s="182"/>
      <c r="E77" s="167"/>
      <c r="F77" s="168" t="e">
        <f t="shared" si="83"/>
        <v>#DIV/0!</v>
      </c>
      <c r="G77" s="169" t="e">
        <f t="shared" si="82"/>
        <v>#DIV/0!</v>
      </c>
      <c r="H77" s="178" t="e">
        <f t="shared" si="81"/>
        <v>#DIV/0!</v>
      </c>
      <c r="I77" s="178" t="e">
        <f t="shared" si="81"/>
        <v>#DIV/0!</v>
      </c>
      <c r="J77" s="178" t="e">
        <f t="shared" si="81"/>
        <v>#DIV/0!</v>
      </c>
      <c r="K77" s="178" t="e">
        <f t="shared" si="81"/>
        <v>#DIV/0!</v>
      </c>
      <c r="L77" s="178" t="e">
        <f t="shared" si="81"/>
        <v>#DIV/0!</v>
      </c>
      <c r="M77" s="178" t="e">
        <f t="shared" si="81"/>
        <v>#DIV/0!</v>
      </c>
      <c r="N77" s="178" t="e">
        <f t="shared" si="81"/>
        <v>#DIV/0!</v>
      </c>
      <c r="O77" s="178" t="e">
        <f t="shared" si="81"/>
        <v>#DIV/0!</v>
      </c>
      <c r="P77" s="178" t="e">
        <f t="shared" si="81"/>
        <v>#DIV/0!</v>
      </c>
      <c r="Q77" s="178" t="e">
        <f t="shared" si="81"/>
        <v>#DIV/0!</v>
      </c>
      <c r="R77" s="179" t="e">
        <f t="shared" si="81"/>
        <v>#DIV/0!</v>
      </c>
      <c r="S77" s="169" t="e">
        <f t="shared" si="84"/>
        <v>#DIV/0!</v>
      </c>
      <c r="T77" s="179" t="e">
        <f t="shared" si="85"/>
        <v>#DIV/0!</v>
      </c>
      <c r="U77" s="180" t="e">
        <f t="shared" si="73"/>
        <v>#DIV/0!</v>
      </c>
      <c r="V77" s="178" t="e">
        <f t="shared" si="66"/>
        <v>#DIV/0!</v>
      </c>
      <c r="W77" s="178" t="e">
        <f t="shared" si="66"/>
        <v>#DIV/0!</v>
      </c>
      <c r="X77" s="178" t="e">
        <f t="shared" si="66"/>
        <v>#DIV/0!</v>
      </c>
      <c r="Y77" s="178" t="e">
        <f t="shared" si="66"/>
        <v>#DIV/0!</v>
      </c>
      <c r="Z77" s="178" t="e">
        <f t="shared" si="66"/>
        <v>#DIV/0!</v>
      </c>
      <c r="AA77" s="178" t="e">
        <f t="shared" si="66"/>
        <v>#DIV/0!</v>
      </c>
      <c r="AB77" s="178" t="e">
        <f t="shared" si="66"/>
        <v>#DIV/0!</v>
      </c>
      <c r="AC77" s="178" t="e">
        <f t="shared" si="66"/>
        <v>#DIV/0!</v>
      </c>
      <c r="AD77" s="178" t="e">
        <f t="shared" si="66"/>
        <v>#DIV/0!</v>
      </c>
      <c r="AE77" s="178" t="e">
        <f t="shared" si="66"/>
        <v>#DIV/0!</v>
      </c>
      <c r="AF77" s="168" t="e">
        <f t="shared" si="66"/>
        <v>#DIV/0!</v>
      </c>
      <c r="AG77" s="169" t="e">
        <f t="shared" si="86"/>
        <v>#DIV/0!</v>
      </c>
      <c r="AH77" s="179" t="e">
        <f t="shared" si="87"/>
        <v>#DIV/0!</v>
      </c>
      <c r="AI77" s="180" t="e">
        <f t="shared" si="74"/>
        <v>#DIV/0!</v>
      </c>
      <c r="AJ77" s="178" t="e">
        <f t="shared" si="74"/>
        <v>#DIV/0!</v>
      </c>
      <c r="AK77" s="178" t="e">
        <f t="shared" si="74"/>
        <v>#DIV/0!</v>
      </c>
      <c r="AL77" s="178" t="e">
        <f t="shared" si="74"/>
        <v>#DIV/0!</v>
      </c>
      <c r="AM77" s="178" t="e">
        <f t="shared" si="74"/>
        <v>#DIV/0!</v>
      </c>
      <c r="AN77" s="178" t="e">
        <f t="shared" si="74"/>
        <v>#DIV/0!</v>
      </c>
      <c r="AO77" s="178" t="e">
        <f t="shared" si="74"/>
        <v>#DIV/0!</v>
      </c>
      <c r="AP77" s="178" t="e">
        <f t="shared" si="74"/>
        <v>#DIV/0!</v>
      </c>
      <c r="AQ77" s="178" t="e">
        <f t="shared" si="74"/>
        <v>#DIV/0!</v>
      </c>
      <c r="AR77" s="178" t="e">
        <f t="shared" si="74"/>
        <v>#DIV/0!</v>
      </c>
      <c r="AS77" s="178" t="e">
        <f t="shared" si="74"/>
        <v>#DIV/0!</v>
      </c>
      <c r="AT77" s="168" t="e">
        <f t="shared" si="74"/>
        <v>#DIV/0!</v>
      </c>
      <c r="AU77" s="169" t="e">
        <f t="shared" si="88"/>
        <v>#DIV/0!</v>
      </c>
      <c r="AV77" s="179" t="e">
        <f t="shared" si="89"/>
        <v>#DIV/0!</v>
      </c>
      <c r="AW77" s="180" t="e">
        <f t="shared" si="75"/>
        <v>#DIV/0!</v>
      </c>
      <c r="AX77" s="178" t="e">
        <f t="shared" si="67"/>
        <v>#DIV/0!</v>
      </c>
      <c r="AY77" s="178" t="e">
        <f t="shared" si="67"/>
        <v>#DIV/0!</v>
      </c>
      <c r="AZ77" s="178" t="e">
        <f t="shared" si="67"/>
        <v>#DIV/0!</v>
      </c>
      <c r="BA77" s="178" t="e">
        <f t="shared" si="67"/>
        <v>#DIV/0!</v>
      </c>
      <c r="BB77" s="178" t="e">
        <f t="shared" si="67"/>
        <v>#DIV/0!</v>
      </c>
      <c r="BC77" s="178" t="e">
        <f t="shared" si="67"/>
        <v>#DIV/0!</v>
      </c>
      <c r="BD77" s="178" t="e">
        <f t="shared" si="67"/>
        <v>#DIV/0!</v>
      </c>
      <c r="BE77" s="178" t="e">
        <f t="shared" si="67"/>
        <v>#DIV/0!</v>
      </c>
      <c r="BF77" s="178" t="e">
        <f t="shared" si="67"/>
        <v>#DIV/0!</v>
      </c>
      <c r="BG77" s="178" t="e">
        <f t="shared" si="67"/>
        <v>#DIV/0!</v>
      </c>
      <c r="BH77" s="168" t="e">
        <f t="shared" si="67"/>
        <v>#DIV/0!</v>
      </c>
      <c r="BI77" s="169" t="e">
        <f t="shared" si="90"/>
        <v>#DIV/0!</v>
      </c>
      <c r="BJ77" s="179" t="e">
        <f t="shared" si="91"/>
        <v>#DIV/0!</v>
      </c>
      <c r="BK77" s="180" t="e">
        <f t="shared" si="76"/>
        <v>#DIV/0!</v>
      </c>
      <c r="BL77" s="178" t="e">
        <f t="shared" si="68"/>
        <v>#DIV/0!</v>
      </c>
      <c r="BM77" s="178" t="e">
        <f t="shared" si="68"/>
        <v>#DIV/0!</v>
      </c>
      <c r="BN77" s="178" t="e">
        <f t="shared" si="68"/>
        <v>#DIV/0!</v>
      </c>
      <c r="BO77" s="178" t="e">
        <f t="shared" si="68"/>
        <v>#DIV/0!</v>
      </c>
      <c r="BP77" s="178" t="e">
        <f t="shared" si="68"/>
        <v>#DIV/0!</v>
      </c>
      <c r="BQ77" s="178" t="e">
        <f t="shared" si="68"/>
        <v>#DIV/0!</v>
      </c>
      <c r="BR77" s="178" t="e">
        <f t="shared" si="68"/>
        <v>#DIV/0!</v>
      </c>
      <c r="BS77" s="178" t="e">
        <f t="shared" si="68"/>
        <v>#DIV/0!</v>
      </c>
      <c r="BT77" s="178" t="e">
        <f t="shared" si="68"/>
        <v>#DIV/0!</v>
      </c>
      <c r="BU77" s="178" t="e">
        <f t="shared" si="68"/>
        <v>#DIV/0!</v>
      </c>
      <c r="BV77" s="168" t="e">
        <f t="shared" si="68"/>
        <v>#DIV/0!</v>
      </c>
      <c r="BW77" s="169" t="e">
        <f t="shared" si="92"/>
        <v>#DIV/0!</v>
      </c>
      <c r="BX77" s="179" t="e">
        <f t="shared" si="93"/>
        <v>#DIV/0!</v>
      </c>
      <c r="BY77" s="180" t="e">
        <f t="shared" si="77"/>
        <v>#DIV/0!</v>
      </c>
      <c r="BZ77" s="178" t="e">
        <f t="shared" si="69"/>
        <v>#DIV/0!</v>
      </c>
      <c r="CA77" s="178" t="e">
        <f t="shared" si="69"/>
        <v>#DIV/0!</v>
      </c>
      <c r="CB77" s="178" t="e">
        <f t="shared" si="69"/>
        <v>#DIV/0!</v>
      </c>
      <c r="CC77" s="178" t="e">
        <f t="shared" si="69"/>
        <v>#DIV/0!</v>
      </c>
      <c r="CD77" s="178" t="e">
        <f t="shared" si="69"/>
        <v>#DIV/0!</v>
      </c>
      <c r="CE77" s="178" t="e">
        <f t="shared" si="69"/>
        <v>#DIV/0!</v>
      </c>
      <c r="CF77" s="178" t="e">
        <f t="shared" si="69"/>
        <v>#DIV/0!</v>
      </c>
      <c r="CG77" s="178" t="e">
        <f t="shared" si="69"/>
        <v>#DIV/0!</v>
      </c>
      <c r="CH77" s="178" t="e">
        <f t="shared" si="69"/>
        <v>#DIV/0!</v>
      </c>
      <c r="CI77" s="178" t="e">
        <f t="shared" si="69"/>
        <v>#DIV/0!</v>
      </c>
      <c r="CJ77" s="168" t="e">
        <f t="shared" si="69"/>
        <v>#DIV/0!</v>
      </c>
      <c r="CK77" s="169" t="e">
        <f t="shared" si="94"/>
        <v>#DIV/0!</v>
      </c>
      <c r="CL77" s="179" t="e">
        <f t="shared" si="95"/>
        <v>#DIV/0!</v>
      </c>
      <c r="CM77" s="180" t="e">
        <f t="shared" si="78"/>
        <v>#DIV/0!</v>
      </c>
      <c r="CN77" s="178" t="e">
        <f t="shared" si="70"/>
        <v>#DIV/0!</v>
      </c>
      <c r="CO77" s="178" t="e">
        <f t="shared" si="70"/>
        <v>#DIV/0!</v>
      </c>
      <c r="CP77" s="178" t="e">
        <f t="shared" si="70"/>
        <v>#DIV/0!</v>
      </c>
      <c r="CQ77" s="178" t="e">
        <f t="shared" si="70"/>
        <v>#DIV/0!</v>
      </c>
      <c r="CR77" s="178" t="e">
        <f t="shared" si="70"/>
        <v>#DIV/0!</v>
      </c>
      <c r="CS77" s="178" t="e">
        <f t="shared" si="70"/>
        <v>#DIV/0!</v>
      </c>
      <c r="CT77" s="178" t="e">
        <f t="shared" si="70"/>
        <v>#DIV/0!</v>
      </c>
      <c r="CU77" s="178" t="e">
        <f t="shared" si="70"/>
        <v>#DIV/0!</v>
      </c>
      <c r="CV77" s="178" t="e">
        <f t="shared" si="70"/>
        <v>#DIV/0!</v>
      </c>
      <c r="CW77" s="178" t="e">
        <f t="shared" si="70"/>
        <v>#DIV/0!</v>
      </c>
      <c r="CX77" s="168" t="e">
        <f t="shared" si="70"/>
        <v>#DIV/0!</v>
      </c>
      <c r="CY77" s="169" t="e">
        <f t="shared" si="96"/>
        <v>#DIV/0!</v>
      </c>
      <c r="CZ77" s="179" t="e">
        <f t="shared" si="97"/>
        <v>#DIV/0!</v>
      </c>
      <c r="DA77" s="180" t="e">
        <f t="shared" si="79"/>
        <v>#DIV/0!</v>
      </c>
      <c r="DB77" s="178" t="e">
        <f t="shared" si="71"/>
        <v>#DIV/0!</v>
      </c>
      <c r="DC77" s="178" t="e">
        <f t="shared" si="71"/>
        <v>#DIV/0!</v>
      </c>
      <c r="DD77" s="178" t="e">
        <f t="shared" si="71"/>
        <v>#DIV/0!</v>
      </c>
      <c r="DE77" s="178" t="e">
        <f t="shared" si="71"/>
        <v>#DIV/0!</v>
      </c>
      <c r="DF77" s="178" t="e">
        <f t="shared" si="71"/>
        <v>#DIV/0!</v>
      </c>
      <c r="DG77" s="178" t="e">
        <f t="shared" si="71"/>
        <v>#DIV/0!</v>
      </c>
      <c r="DH77" s="178" t="e">
        <f t="shared" si="71"/>
        <v>#DIV/0!</v>
      </c>
      <c r="DI77" s="178" t="e">
        <f t="shared" si="71"/>
        <v>#DIV/0!</v>
      </c>
      <c r="DJ77" s="178" t="e">
        <f t="shared" si="71"/>
        <v>#DIV/0!</v>
      </c>
      <c r="DK77" s="178" t="e">
        <f t="shared" si="71"/>
        <v>#DIV/0!</v>
      </c>
      <c r="DL77" s="168" t="e">
        <f t="shared" si="71"/>
        <v>#DIV/0!</v>
      </c>
      <c r="DM77" s="169" t="e">
        <f t="shared" si="98"/>
        <v>#DIV/0!</v>
      </c>
      <c r="DN77" s="171" t="e">
        <f t="shared" si="99"/>
        <v>#DIV/0!</v>
      </c>
      <c r="DO77" s="180" t="e">
        <f t="shared" si="80"/>
        <v>#DIV/0!</v>
      </c>
      <c r="DP77" s="178" t="e">
        <f t="shared" si="72"/>
        <v>#DIV/0!</v>
      </c>
      <c r="DQ77" s="178" t="e">
        <f t="shared" si="72"/>
        <v>#DIV/0!</v>
      </c>
      <c r="DR77" s="178" t="e">
        <f t="shared" si="72"/>
        <v>#DIV/0!</v>
      </c>
      <c r="DS77" s="178" t="e">
        <f t="shared" si="72"/>
        <v>#DIV/0!</v>
      </c>
      <c r="DT77" s="178" t="e">
        <f t="shared" si="72"/>
        <v>#DIV/0!</v>
      </c>
      <c r="DU77" s="178" t="e">
        <f t="shared" si="72"/>
        <v>#DIV/0!</v>
      </c>
      <c r="DV77" s="178" t="e">
        <f t="shared" si="72"/>
        <v>#DIV/0!</v>
      </c>
      <c r="DW77" s="178" t="e">
        <f t="shared" si="72"/>
        <v>#DIV/0!</v>
      </c>
      <c r="DX77" s="178" t="e">
        <f t="shared" si="72"/>
        <v>#DIV/0!</v>
      </c>
      <c r="DY77" s="178" t="e">
        <f t="shared" si="72"/>
        <v>#DIV/0!</v>
      </c>
      <c r="DZ77" s="168" t="e">
        <f t="shared" si="72"/>
        <v>#DIV/0!</v>
      </c>
      <c r="EA77" s="169" t="e">
        <f t="shared" si="100"/>
        <v>#DIV/0!</v>
      </c>
      <c r="EB77" s="171" t="e">
        <f t="shared" si="101"/>
        <v>#DIV/0!</v>
      </c>
    </row>
    <row r="78" spans="1:132" s="177" customFormat="1" ht="15.75">
      <c r="A78" s="163"/>
      <c r="B78" s="164"/>
      <c r="C78" s="165"/>
      <c r="D78" s="182"/>
      <c r="E78" s="167"/>
      <c r="F78" s="168" t="e">
        <f t="shared" si="83"/>
        <v>#DIV/0!</v>
      </c>
      <c r="G78" s="169" t="e">
        <f t="shared" si="82"/>
        <v>#DIV/0!</v>
      </c>
      <c r="H78" s="178" t="e">
        <f t="shared" si="81"/>
        <v>#DIV/0!</v>
      </c>
      <c r="I78" s="178" t="e">
        <f t="shared" si="81"/>
        <v>#DIV/0!</v>
      </c>
      <c r="J78" s="178" t="e">
        <f t="shared" si="81"/>
        <v>#DIV/0!</v>
      </c>
      <c r="K78" s="178" t="e">
        <f t="shared" si="81"/>
        <v>#DIV/0!</v>
      </c>
      <c r="L78" s="178" t="e">
        <f t="shared" si="81"/>
        <v>#DIV/0!</v>
      </c>
      <c r="M78" s="178" t="e">
        <f t="shared" si="81"/>
        <v>#DIV/0!</v>
      </c>
      <c r="N78" s="178" t="e">
        <f t="shared" si="81"/>
        <v>#DIV/0!</v>
      </c>
      <c r="O78" s="178" t="e">
        <f t="shared" si="81"/>
        <v>#DIV/0!</v>
      </c>
      <c r="P78" s="178" t="e">
        <f t="shared" si="81"/>
        <v>#DIV/0!</v>
      </c>
      <c r="Q78" s="178" t="e">
        <f t="shared" si="81"/>
        <v>#DIV/0!</v>
      </c>
      <c r="R78" s="179" t="e">
        <f t="shared" si="81"/>
        <v>#DIV/0!</v>
      </c>
      <c r="S78" s="169" t="e">
        <f t="shared" si="84"/>
        <v>#DIV/0!</v>
      </c>
      <c r="T78" s="179" t="e">
        <f t="shared" si="85"/>
        <v>#DIV/0!</v>
      </c>
      <c r="U78" s="180" t="e">
        <f t="shared" si="73"/>
        <v>#DIV/0!</v>
      </c>
      <c r="V78" s="178" t="e">
        <f t="shared" si="66"/>
        <v>#DIV/0!</v>
      </c>
      <c r="W78" s="178" t="e">
        <f t="shared" si="66"/>
        <v>#DIV/0!</v>
      </c>
      <c r="X78" s="178" t="e">
        <f t="shared" si="66"/>
        <v>#DIV/0!</v>
      </c>
      <c r="Y78" s="178" t="e">
        <f t="shared" si="66"/>
        <v>#DIV/0!</v>
      </c>
      <c r="Z78" s="178" t="e">
        <f t="shared" si="66"/>
        <v>#DIV/0!</v>
      </c>
      <c r="AA78" s="178" t="e">
        <f t="shared" si="66"/>
        <v>#DIV/0!</v>
      </c>
      <c r="AB78" s="178" t="e">
        <f t="shared" si="66"/>
        <v>#DIV/0!</v>
      </c>
      <c r="AC78" s="178" t="e">
        <f t="shared" si="66"/>
        <v>#DIV/0!</v>
      </c>
      <c r="AD78" s="178" t="e">
        <f t="shared" si="66"/>
        <v>#DIV/0!</v>
      </c>
      <c r="AE78" s="178" t="e">
        <f t="shared" si="66"/>
        <v>#DIV/0!</v>
      </c>
      <c r="AF78" s="168" t="e">
        <f t="shared" si="66"/>
        <v>#DIV/0!</v>
      </c>
      <c r="AG78" s="169" t="e">
        <f t="shared" si="86"/>
        <v>#DIV/0!</v>
      </c>
      <c r="AH78" s="179" t="e">
        <f t="shared" si="87"/>
        <v>#DIV/0!</v>
      </c>
      <c r="AI78" s="180" t="e">
        <f t="shared" si="74"/>
        <v>#DIV/0!</v>
      </c>
      <c r="AJ78" s="178" t="e">
        <f t="shared" si="74"/>
        <v>#DIV/0!</v>
      </c>
      <c r="AK78" s="178" t="e">
        <f t="shared" si="74"/>
        <v>#DIV/0!</v>
      </c>
      <c r="AL78" s="178" t="e">
        <f t="shared" si="74"/>
        <v>#DIV/0!</v>
      </c>
      <c r="AM78" s="178" t="e">
        <f t="shared" si="74"/>
        <v>#DIV/0!</v>
      </c>
      <c r="AN78" s="178" t="e">
        <f t="shared" si="74"/>
        <v>#DIV/0!</v>
      </c>
      <c r="AO78" s="178" t="e">
        <f t="shared" si="74"/>
        <v>#DIV/0!</v>
      </c>
      <c r="AP78" s="178" t="e">
        <f t="shared" si="74"/>
        <v>#DIV/0!</v>
      </c>
      <c r="AQ78" s="178" t="e">
        <f t="shared" si="74"/>
        <v>#DIV/0!</v>
      </c>
      <c r="AR78" s="178" t="e">
        <f t="shared" si="74"/>
        <v>#DIV/0!</v>
      </c>
      <c r="AS78" s="178" t="e">
        <f t="shared" si="74"/>
        <v>#DIV/0!</v>
      </c>
      <c r="AT78" s="168" t="e">
        <f t="shared" si="74"/>
        <v>#DIV/0!</v>
      </c>
      <c r="AU78" s="169" t="e">
        <f t="shared" si="88"/>
        <v>#DIV/0!</v>
      </c>
      <c r="AV78" s="179" t="e">
        <f t="shared" si="89"/>
        <v>#DIV/0!</v>
      </c>
      <c r="AW78" s="180" t="e">
        <f t="shared" si="75"/>
        <v>#DIV/0!</v>
      </c>
      <c r="AX78" s="178" t="e">
        <f t="shared" si="67"/>
        <v>#DIV/0!</v>
      </c>
      <c r="AY78" s="178" t="e">
        <f t="shared" si="67"/>
        <v>#DIV/0!</v>
      </c>
      <c r="AZ78" s="178" t="e">
        <f t="shared" si="67"/>
        <v>#DIV/0!</v>
      </c>
      <c r="BA78" s="178" t="e">
        <f t="shared" si="67"/>
        <v>#DIV/0!</v>
      </c>
      <c r="BB78" s="178" t="e">
        <f t="shared" si="67"/>
        <v>#DIV/0!</v>
      </c>
      <c r="BC78" s="178" t="e">
        <f t="shared" si="67"/>
        <v>#DIV/0!</v>
      </c>
      <c r="BD78" s="178" t="e">
        <f t="shared" si="67"/>
        <v>#DIV/0!</v>
      </c>
      <c r="BE78" s="178" t="e">
        <f t="shared" si="67"/>
        <v>#DIV/0!</v>
      </c>
      <c r="BF78" s="178" t="e">
        <f t="shared" si="67"/>
        <v>#DIV/0!</v>
      </c>
      <c r="BG78" s="178" t="e">
        <f t="shared" si="67"/>
        <v>#DIV/0!</v>
      </c>
      <c r="BH78" s="168" t="e">
        <f t="shared" si="67"/>
        <v>#DIV/0!</v>
      </c>
      <c r="BI78" s="169" t="e">
        <f t="shared" si="90"/>
        <v>#DIV/0!</v>
      </c>
      <c r="BJ78" s="179" t="e">
        <f t="shared" si="91"/>
        <v>#DIV/0!</v>
      </c>
      <c r="BK78" s="180" t="e">
        <f t="shared" si="76"/>
        <v>#DIV/0!</v>
      </c>
      <c r="BL78" s="178" t="e">
        <f t="shared" si="68"/>
        <v>#DIV/0!</v>
      </c>
      <c r="BM78" s="178" t="e">
        <f t="shared" si="68"/>
        <v>#DIV/0!</v>
      </c>
      <c r="BN78" s="178" t="e">
        <f t="shared" si="68"/>
        <v>#DIV/0!</v>
      </c>
      <c r="BO78" s="178" t="e">
        <f t="shared" si="68"/>
        <v>#DIV/0!</v>
      </c>
      <c r="BP78" s="178" t="e">
        <f t="shared" si="68"/>
        <v>#DIV/0!</v>
      </c>
      <c r="BQ78" s="178" t="e">
        <f t="shared" si="68"/>
        <v>#DIV/0!</v>
      </c>
      <c r="BR78" s="178" t="e">
        <f t="shared" si="68"/>
        <v>#DIV/0!</v>
      </c>
      <c r="BS78" s="178" t="e">
        <f t="shared" si="68"/>
        <v>#DIV/0!</v>
      </c>
      <c r="BT78" s="178" t="e">
        <f t="shared" si="68"/>
        <v>#DIV/0!</v>
      </c>
      <c r="BU78" s="178" t="e">
        <f t="shared" si="68"/>
        <v>#DIV/0!</v>
      </c>
      <c r="BV78" s="168" t="e">
        <f t="shared" si="68"/>
        <v>#DIV/0!</v>
      </c>
      <c r="BW78" s="169" t="e">
        <f t="shared" si="92"/>
        <v>#DIV/0!</v>
      </c>
      <c r="BX78" s="179" t="e">
        <f t="shared" si="93"/>
        <v>#DIV/0!</v>
      </c>
      <c r="BY78" s="180" t="e">
        <f t="shared" si="77"/>
        <v>#DIV/0!</v>
      </c>
      <c r="BZ78" s="178" t="e">
        <f t="shared" si="69"/>
        <v>#DIV/0!</v>
      </c>
      <c r="CA78" s="178" t="e">
        <f t="shared" si="69"/>
        <v>#DIV/0!</v>
      </c>
      <c r="CB78" s="178" t="e">
        <f t="shared" si="69"/>
        <v>#DIV/0!</v>
      </c>
      <c r="CC78" s="178" t="e">
        <f t="shared" si="69"/>
        <v>#DIV/0!</v>
      </c>
      <c r="CD78" s="178" t="e">
        <f t="shared" si="69"/>
        <v>#DIV/0!</v>
      </c>
      <c r="CE78" s="178" t="e">
        <f t="shared" si="69"/>
        <v>#DIV/0!</v>
      </c>
      <c r="CF78" s="178" t="e">
        <f t="shared" si="69"/>
        <v>#DIV/0!</v>
      </c>
      <c r="CG78" s="178" t="e">
        <f t="shared" si="69"/>
        <v>#DIV/0!</v>
      </c>
      <c r="CH78" s="178" t="e">
        <f t="shared" si="69"/>
        <v>#DIV/0!</v>
      </c>
      <c r="CI78" s="178" t="e">
        <f t="shared" si="69"/>
        <v>#DIV/0!</v>
      </c>
      <c r="CJ78" s="168" t="e">
        <f t="shared" si="69"/>
        <v>#DIV/0!</v>
      </c>
      <c r="CK78" s="169" t="e">
        <f t="shared" si="94"/>
        <v>#DIV/0!</v>
      </c>
      <c r="CL78" s="179" t="e">
        <f t="shared" si="95"/>
        <v>#DIV/0!</v>
      </c>
      <c r="CM78" s="180" t="e">
        <f t="shared" si="78"/>
        <v>#DIV/0!</v>
      </c>
      <c r="CN78" s="178" t="e">
        <f t="shared" si="70"/>
        <v>#DIV/0!</v>
      </c>
      <c r="CO78" s="178" t="e">
        <f t="shared" si="70"/>
        <v>#DIV/0!</v>
      </c>
      <c r="CP78" s="178" t="e">
        <f t="shared" si="70"/>
        <v>#DIV/0!</v>
      </c>
      <c r="CQ78" s="178" t="e">
        <f t="shared" si="70"/>
        <v>#DIV/0!</v>
      </c>
      <c r="CR78" s="178" t="e">
        <f t="shared" si="70"/>
        <v>#DIV/0!</v>
      </c>
      <c r="CS78" s="178" t="e">
        <f t="shared" si="70"/>
        <v>#DIV/0!</v>
      </c>
      <c r="CT78" s="178" t="e">
        <f t="shared" si="70"/>
        <v>#DIV/0!</v>
      </c>
      <c r="CU78" s="178" t="e">
        <f t="shared" si="70"/>
        <v>#DIV/0!</v>
      </c>
      <c r="CV78" s="178" t="e">
        <f t="shared" si="70"/>
        <v>#DIV/0!</v>
      </c>
      <c r="CW78" s="178" t="e">
        <f t="shared" si="70"/>
        <v>#DIV/0!</v>
      </c>
      <c r="CX78" s="168" t="e">
        <f t="shared" si="70"/>
        <v>#DIV/0!</v>
      </c>
      <c r="CY78" s="169" t="e">
        <f t="shared" si="96"/>
        <v>#DIV/0!</v>
      </c>
      <c r="CZ78" s="179" t="e">
        <f t="shared" si="97"/>
        <v>#DIV/0!</v>
      </c>
      <c r="DA78" s="180" t="e">
        <f t="shared" si="79"/>
        <v>#DIV/0!</v>
      </c>
      <c r="DB78" s="178" t="e">
        <f t="shared" si="71"/>
        <v>#DIV/0!</v>
      </c>
      <c r="DC78" s="178" t="e">
        <f t="shared" si="71"/>
        <v>#DIV/0!</v>
      </c>
      <c r="DD78" s="178" t="e">
        <f t="shared" si="71"/>
        <v>#DIV/0!</v>
      </c>
      <c r="DE78" s="178" t="e">
        <f t="shared" si="71"/>
        <v>#DIV/0!</v>
      </c>
      <c r="DF78" s="178" t="e">
        <f t="shared" si="71"/>
        <v>#DIV/0!</v>
      </c>
      <c r="DG78" s="178" t="e">
        <f t="shared" si="71"/>
        <v>#DIV/0!</v>
      </c>
      <c r="DH78" s="178" t="e">
        <f t="shared" si="71"/>
        <v>#DIV/0!</v>
      </c>
      <c r="DI78" s="178" t="e">
        <f t="shared" si="71"/>
        <v>#DIV/0!</v>
      </c>
      <c r="DJ78" s="178" t="e">
        <f t="shared" si="71"/>
        <v>#DIV/0!</v>
      </c>
      <c r="DK78" s="178" t="e">
        <f t="shared" si="71"/>
        <v>#DIV/0!</v>
      </c>
      <c r="DL78" s="168" t="e">
        <f t="shared" si="71"/>
        <v>#DIV/0!</v>
      </c>
      <c r="DM78" s="169" t="e">
        <f t="shared" si="98"/>
        <v>#DIV/0!</v>
      </c>
      <c r="DN78" s="171" t="e">
        <f t="shared" si="99"/>
        <v>#DIV/0!</v>
      </c>
      <c r="DO78" s="180" t="e">
        <f t="shared" si="80"/>
        <v>#DIV/0!</v>
      </c>
      <c r="DP78" s="178" t="e">
        <f t="shared" si="72"/>
        <v>#DIV/0!</v>
      </c>
      <c r="DQ78" s="178" t="e">
        <f t="shared" si="72"/>
        <v>#DIV/0!</v>
      </c>
      <c r="DR78" s="178" t="e">
        <f t="shared" si="72"/>
        <v>#DIV/0!</v>
      </c>
      <c r="DS78" s="178" t="e">
        <f t="shared" si="72"/>
        <v>#DIV/0!</v>
      </c>
      <c r="DT78" s="178" t="e">
        <f t="shared" si="72"/>
        <v>#DIV/0!</v>
      </c>
      <c r="DU78" s="178" t="e">
        <f t="shared" si="72"/>
        <v>#DIV/0!</v>
      </c>
      <c r="DV78" s="178" t="e">
        <f t="shared" si="72"/>
        <v>#DIV/0!</v>
      </c>
      <c r="DW78" s="178" t="e">
        <f t="shared" si="72"/>
        <v>#DIV/0!</v>
      </c>
      <c r="DX78" s="178" t="e">
        <f t="shared" si="72"/>
        <v>#DIV/0!</v>
      </c>
      <c r="DY78" s="178" t="e">
        <f t="shared" si="72"/>
        <v>#DIV/0!</v>
      </c>
      <c r="DZ78" s="168" t="e">
        <f t="shared" si="72"/>
        <v>#DIV/0!</v>
      </c>
      <c r="EA78" s="169" t="e">
        <f t="shared" si="100"/>
        <v>#DIV/0!</v>
      </c>
      <c r="EB78" s="171" t="e">
        <f t="shared" si="101"/>
        <v>#DIV/0!</v>
      </c>
    </row>
    <row r="79" spans="1:132" s="177" customFormat="1" ht="15.75">
      <c r="A79" s="163"/>
      <c r="B79" s="164"/>
      <c r="C79" s="165"/>
      <c r="D79" s="182"/>
      <c r="E79" s="167"/>
      <c r="F79" s="168" t="e">
        <f t="shared" si="83"/>
        <v>#DIV/0!</v>
      </c>
      <c r="G79" s="169" t="e">
        <f t="shared" si="82"/>
        <v>#DIV/0!</v>
      </c>
      <c r="H79" s="178" t="e">
        <f t="shared" si="81"/>
        <v>#DIV/0!</v>
      </c>
      <c r="I79" s="178" t="e">
        <f t="shared" si="81"/>
        <v>#DIV/0!</v>
      </c>
      <c r="J79" s="178" t="e">
        <f t="shared" si="81"/>
        <v>#DIV/0!</v>
      </c>
      <c r="K79" s="178" t="e">
        <f t="shared" si="81"/>
        <v>#DIV/0!</v>
      </c>
      <c r="L79" s="178" t="e">
        <f t="shared" si="81"/>
        <v>#DIV/0!</v>
      </c>
      <c r="M79" s="178" t="e">
        <f t="shared" si="81"/>
        <v>#DIV/0!</v>
      </c>
      <c r="N79" s="178" t="e">
        <f t="shared" si="81"/>
        <v>#DIV/0!</v>
      </c>
      <c r="O79" s="178" t="e">
        <f t="shared" si="81"/>
        <v>#DIV/0!</v>
      </c>
      <c r="P79" s="178" t="e">
        <f t="shared" si="81"/>
        <v>#DIV/0!</v>
      </c>
      <c r="Q79" s="178" t="e">
        <f t="shared" si="81"/>
        <v>#DIV/0!</v>
      </c>
      <c r="R79" s="179" t="e">
        <f t="shared" si="81"/>
        <v>#DIV/0!</v>
      </c>
      <c r="S79" s="169" t="e">
        <f t="shared" si="84"/>
        <v>#DIV/0!</v>
      </c>
      <c r="T79" s="179" t="e">
        <f t="shared" si="85"/>
        <v>#DIV/0!</v>
      </c>
      <c r="U79" s="180" t="e">
        <f t="shared" si="73"/>
        <v>#DIV/0!</v>
      </c>
      <c r="V79" s="178" t="e">
        <f t="shared" si="66"/>
        <v>#DIV/0!</v>
      </c>
      <c r="W79" s="178" t="e">
        <f t="shared" si="66"/>
        <v>#DIV/0!</v>
      </c>
      <c r="X79" s="178" t="e">
        <f t="shared" si="66"/>
        <v>#DIV/0!</v>
      </c>
      <c r="Y79" s="178" t="e">
        <f t="shared" si="66"/>
        <v>#DIV/0!</v>
      </c>
      <c r="Z79" s="178" t="e">
        <f t="shared" si="66"/>
        <v>#DIV/0!</v>
      </c>
      <c r="AA79" s="178" t="e">
        <f t="shared" si="66"/>
        <v>#DIV/0!</v>
      </c>
      <c r="AB79" s="178" t="e">
        <f t="shared" si="66"/>
        <v>#DIV/0!</v>
      </c>
      <c r="AC79" s="178" t="e">
        <f t="shared" si="66"/>
        <v>#DIV/0!</v>
      </c>
      <c r="AD79" s="178" t="e">
        <f t="shared" si="66"/>
        <v>#DIV/0!</v>
      </c>
      <c r="AE79" s="178" t="e">
        <f t="shared" si="66"/>
        <v>#DIV/0!</v>
      </c>
      <c r="AF79" s="168" t="e">
        <f t="shared" si="66"/>
        <v>#DIV/0!</v>
      </c>
      <c r="AG79" s="169" t="e">
        <f t="shared" si="86"/>
        <v>#DIV/0!</v>
      </c>
      <c r="AH79" s="179" t="e">
        <f t="shared" si="87"/>
        <v>#DIV/0!</v>
      </c>
      <c r="AI79" s="180" t="e">
        <f t="shared" si="74"/>
        <v>#DIV/0!</v>
      </c>
      <c r="AJ79" s="178" t="e">
        <f t="shared" si="74"/>
        <v>#DIV/0!</v>
      </c>
      <c r="AK79" s="178" t="e">
        <f t="shared" si="74"/>
        <v>#DIV/0!</v>
      </c>
      <c r="AL79" s="178" t="e">
        <f t="shared" si="74"/>
        <v>#DIV/0!</v>
      </c>
      <c r="AM79" s="178" t="e">
        <f t="shared" si="74"/>
        <v>#DIV/0!</v>
      </c>
      <c r="AN79" s="178" t="e">
        <f t="shared" si="74"/>
        <v>#DIV/0!</v>
      </c>
      <c r="AO79" s="178" t="e">
        <f t="shared" si="74"/>
        <v>#DIV/0!</v>
      </c>
      <c r="AP79" s="178" t="e">
        <f t="shared" si="74"/>
        <v>#DIV/0!</v>
      </c>
      <c r="AQ79" s="178" t="e">
        <f t="shared" si="74"/>
        <v>#DIV/0!</v>
      </c>
      <c r="AR79" s="178" t="e">
        <f t="shared" si="74"/>
        <v>#DIV/0!</v>
      </c>
      <c r="AS79" s="178" t="e">
        <f t="shared" si="74"/>
        <v>#DIV/0!</v>
      </c>
      <c r="AT79" s="168" t="e">
        <f t="shared" si="74"/>
        <v>#DIV/0!</v>
      </c>
      <c r="AU79" s="169" t="e">
        <f t="shared" si="88"/>
        <v>#DIV/0!</v>
      </c>
      <c r="AV79" s="179" t="e">
        <f t="shared" si="89"/>
        <v>#DIV/0!</v>
      </c>
      <c r="AW79" s="180" t="e">
        <f t="shared" si="75"/>
        <v>#DIV/0!</v>
      </c>
      <c r="AX79" s="178" t="e">
        <f t="shared" si="67"/>
        <v>#DIV/0!</v>
      </c>
      <c r="AY79" s="178" t="e">
        <f t="shared" si="67"/>
        <v>#DIV/0!</v>
      </c>
      <c r="AZ79" s="178" t="e">
        <f t="shared" si="67"/>
        <v>#DIV/0!</v>
      </c>
      <c r="BA79" s="178" t="e">
        <f t="shared" si="67"/>
        <v>#DIV/0!</v>
      </c>
      <c r="BB79" s="178" t="e">
        <f t="shared" si="67"/>
        <v>#DIV/0!</v>
      </c>
      <c r="BC79" s="178" t="e">
        <f t="shared" si="67"/>
        <v>#DIV/0!</v>
      </c>
      <c r="BD79" s="178" t="e">
        <f t="shared" si="67"/>
        <v>#DIV/0!</v>
      </c>
      <c r="BE79" s="178" t="e">
        <f t="shared" si="67"/>
        <v>#DIV/0!</v>
      </c>
      <c r="BF79" s="178" t="e">
        <f t="shared" si="67"/>
        <v>#DIV/0!</v>
      </c>
      <c r="BG79" s="178" t="e">
        <f t="shared" si="67"/>
        <v>#DIV/0!</v>
      </c>
      <c r="BH79" s="168" t="e">
        <f t="shared" si="67"/>
        <v>#DIV/0!</v>
      </c>
      <c r="BI79" s="169" t="e">
        <f t="shared" si="90"/>
        <v>#DIV/0!</v>
      </c>
      <c r="BJ79" s="179" t="e">
        <f t="shared" si="91"/>
        <v>#DIV/0!</v>
      </c>
      <c r="BK79" s="180" t="e">
        <f t="shared" si="76"/>
        <v>#DIV/0!</v>
      </c>
      <c r="BL79" s="178" t="e">
        <f t="shared" si="68"/>
        <v>#DIV/0!</v>
      </c>
      <c r="BM79" s="178" t="e">
        <f t="shared" si="68"/>
        <v>#DIV/0!</v>
      </c>
      <c r="BN79" s="178" t="e">
        <f t="shared" si="68"/>
        <v>#DIV/0!</v>
      </c>
      <c r="BO79" s="178" t="e">
        <f t="shared" si="68"/>
        <v>#DIV/0!</v>
      </c>
      <c r="BP79" s="178" t="e">
        <f t="shared" si="68"/>
        <v>#DIV/0!</v>
      </c>
      <c r="BQ79" s="178" t="e">
        <f t="shared" si="68"/>
        <v>#DIV/0!</v>
      </c>
      <c r="BR79" s="178" t="e">
        <f t="shared" si="68"/>
        <v>#DIV/0!</v>
      </c>
      <c r="BS79" s="178" t="e">
        <f t="shared" si="68"/>
        <v>#DIV/0!</v>
      </c>
      <c r="BT79" s="178" t="e">
        <f t="shared" si="68"/>
        <v>#DIV/0!</v>
      </c>
      <c r="BU79" s="178" t="e">
        <f t="shared" si="68"/>
        <v>#DIV/0!</v>
      </c>
      <c r="BV79" s="168" t="e">
        <f t="shared" si="68"/>
        <v>#DIV/0!</v>
      </c>
      <c r="BW79" s="169" t="e">
        <f t="shared" si="92"/>
        <v>#DIV/0!</v>
      </c>
      <c r="BX79" s="179" t="e">
        <f t="shared" si="93"/>
        <v>#DIV/0!</v>
      </c>
      <c r="BY79" s="180" t="e">
        <f t="shared" si="77"/>
        <v>#DIV/0!</v>
      </c>
      <c r="BZ79" s="178" t="e">
        <f t="shared" si="69"/>
        <v>#DIV/0!</v>
      </c>
      <c r="CA79" s="178" t="e">
        <f t="shared" si="69"/>
        <v>#DIV/0!</v>
      </c>
      <c r="CB79" s="178" t="e">
        <f t="shared" si="69"/>
        <v>#DIV/0!</v>
      </c>
      <c r="CC79" s="178" t="e">
        <f t="shared" si="69"/>
        <v>#DIV/0!</v>
      </c>
      <c r="CD79" s="178" t="e">
        <f t="shared" si="69"/>
        <v>#DIV/0!</v>
      </c>
      <c r="CE79" s="178" t="e">
        <f t="shared" si="69"/>
        <v>#DIV/0!</v>
      </c>
      <c r="CF79" s="178" t="e">
        <f t="shared" si="69"/>
        <v>#DIV/0!</v>
      </c>
      <c r="CG79" s="178" t="e">
        <f t="shared" si="69"/>
        <v>#DIV/0!</v>
      </c>
      <c r="CH79" s="178" t="e">
        <f t="shared" si="69"/>
        <v>#DIV/0!</v>
      </c>
      <c r="CI79" s="178" t="e">
        <f t="shared" si="69"/>
        <v>#DIV/0!</v>
      </c>
      <c r="CJ79" s="168" t="e">
        <f t="shared" si="69"/>
        <v>#DIV/0!</v>
      </c>
      <c r="CK79" s="169" t="e">
        <f t="shared" si="94"/>
        <v>#DIV/0!</v>
      </c>
      <c r="CL79" s="179" t="e">
        <f t="shared" si="95"/>
        <v>#DIV/0!</v>
      </c>
      <c r="CM79" s="180" t="e">
        <f t="shared" si="78"/>
        <v>#DIV/0!</v>
      </c>
      <c r="CN79" s="178" t="e">
        <f t="shared" si="70"/>
        <v>#DIV/0!</v>
      </c>
      <c r="CO79" s="178" t="e">
        <f t="shared" si="70"/>
        <v>#DIV/0!</v>
      </c>
      <c r="CP79" s="178" t="e">
        <f t="shared" si="70"/>
        <v>#DIV/0!</v>
      </c>
      <c r="CQ79" s="178" t="e">
        <f t="shared" si="70"/>
        <v>#DIV/0!</v>
      </c>
      <c r="CR79" s="178" t="e">
        <f t="shared" si="70"/>
        <v>#DIV/0!</v>
      </c>
      <c r="CS79" s="178" t="e">
        <f t="shared" si="70"/>
        <v>#DIV/0!</v>
      </c>
      <c r="CT79" s="178" t="e">
        <f t="shared" si="70"/>
        <v>#DIV/0!</v>
      </c>
      <c r="CU79" s="178" t="e">
        <f t="shared" si="70"/>
        <v>#DIV/0!</v>
      </c>
      <c r="CV79" s="178" t="e">
        <f t="shared" si="70"/>
        <v>#DIV/0!</v>
      </c>
      <c r="CW79" s="178" t="e">
        <f t="shared" si="70"/>
        <v>#DIV/0!</v>
      </c>
      <c r="CX79" s="168" t="e">
        <f t="shared" si="70"/>
        <v>#DIV/0!</v>
      </c>
      <c r="CY79" s="169" t="e">
        <f t="shared" si="96"/>
        <v>#DIV/0!</v>
      </c>
      <c r="CZ79" s="179" t="e">
        <f t="shared" si="97"/>
        <v>#DIV/0!</v>
      </c>
      <c r="DA79" s="180" t="e">
        <f t="shared" si="79"/>
        <v>#DIV/0!</v>
      </c>
      <c r="DB79" s="178" t="e">
        <f t="shared" si="71"/>
        <v>#DIV/0!</v>
      </c>
      <c r="DC79" s="178" t="e">
        <f t="shared" si="71"/>
        <v>#DIV/0!</v>
      </c>
      <c r="DD79" s="178" t="e">
        <f t="shared" si="71"/>
        <v>#DIV/0!</v>
      </c>
      <c r="DE79" s="178" t="e">
        <f t="shared" si="71"/>
        <v>#DIV/0!</v>
      </c>
      <c r="DF79" s="178" t="e">
        <f t="shared" si="71"/>
        <v>#DIV/0!</v>
      </c>
      <c r="DG79" s="178" t="e">
        <f t="shared" si="71"/>
        <v>#DIV/0!</v>
      </c>
      <c r="DH79" s="178" t="e">
        <f t="shared" si="71"/>
        <v>#DIV/0!</v>
      </c>
      <c r="DI79" s="178" t="e">
        <f t="shared" si="71"/>
        <v>#DIV/0!</v>
      </c>
      <c r="DJ79" s="178" t="e">
        <f t="shared" si="71"/>
        <v>#DIV/0!</v>
      </c>
      <c r="DK79" s="178" t="e">
        <f t="shared" si="71"/>
        <v>#DIV/0!</v>
      </c>
      <c r="DL79" s="168" t="e">
        <f t="shared" si="71"/>
        <v>#DIV/0!</v>
      </c>
      <c r="DM79" s="169" t="e">
        <f t="shared" si="98"/>
        <v>#DIV/0!</v>
      </c>
      <c r="DN79" s="171" t="e">
        <f t="shared" si="99"/>
        <v>#DIV/0!</v>
      </c>
      <c r="DO79" s="180" t="e">
        <f t="shared" si="80"/>
        <v>#DIV/0!</v>
      </c>
      <c r="DP79" s="178" t="e">
        <f t="shared" si="72"/>
        <v>#DIV/0!</v>
      </c>
      <c r="DQ79" s="178" t="e">
        <f t="shared" si="72"/>
        <v>#DIV/0!</v>
      </c>
      <c r="DR79" s="178" t="e">
        <f t="shared" si="72"/>
        <v>#DIV/0!</v>
      </c>
      <c r="DS79" s="178" t="e">
        <f t="shared" si="72"/>
        <v>#DIV/0!</v>
      </c>
      <c r="DT79" s="178" t="e">
        <f t="shared" si="72"/>
        <v>#DIV/0!</v>
      </c>
      <c r="DU79" s="178" t="e">
        <f t="shared" si="72"/>
        <v>#DIV/0!</v>
      </c>
      <c r="DV79" s="178" t="e">
        <f t="shared" si="72"/>
        <v>#DIV/0!</v>
      </c>
      <c r="DW79" s="178" t="e">
        <f t="shared" si="72"/>
        <v>#DIV/0!</v>
      </c>
      <c r="DX79" s="178" t="e">
        <f t="shared" si="72"/>
        <v>#DIV/0!</v>
      </c>
      <c r="DY79" s="178" t="e">
        <f t="shared" si="72"/>
        <v>#DIV/0!</v>
      </c>
      <c r="DZ79" s="168" t="e">
        <f t="shared" si="72"/>
        <v>#DIV/0!</v>
      </c>
      <c r="EA79" s="169" t="e">
        <f t="shared" si="100"/>
        <v>#DIV/0!</v>
      </c>
      <c r="EB79" s="171" t="e">
        <f t="shared" si="101"/>
        <v>#DIV/0!</v>
      </c>
    </row>
    <row r="80" spans="1:132" s="177" customFormat="1" ht="15.75">
      <c r="A80" s="163"/>
      <c r="B80" s="164"/>
      <c r="C80" s="165"/>
      <c r="D80" s="182"/>
      <c r="E80" s="167"/>
      <c r="F80" s="168" t="e">
        <f t="shared" si="83"/>
        <v>#DIV/0!</v>
      </c>
      <c r="G80" s="169" t="e">
        <f t="shared" si="82"/>
        <v>#DIV/0!</v>
      </c>
      <c r="H80" s="178" t="e">
        <f t="shared" si="81"/>
        <v>#DIV/0!</v>
      </c>
      <c r="I80" s="178" t="e">
        <f t="shared" si="81"/>
        <v>#DIV/0!</v>
      </c>
      <c r="J80" s="178" t="e">
        <f t="shared" si="81"/>
        <v>#DIV/0!</v>
      </c>
      <c r="K80" s="178" t="e">
        <f t="shared" si="81"/>
        <v>#DIV/0!</v>
      </c>
      <c r="L80" s="178" t="e">
        <f t="shared" si="81"/>
        <v>#DIV/0!</v>
      </c>
      <c r="M80" s="178" t="e">
        <f t="shared" si="81"/>
        <v>#DIV/0!</v>
      </c>
      <c r="N80" s="178" t="e">
        <f t="shared" si="81"/>
        <v>#DIV/0!</v>
      </c>
      <c r="O80" s="178" t="e">
        <f t="shared" si="81"/>
        <v>#DIV/0!</v>
      </c>
      <c r="P80" s="178" t="e">
        <f t="shared" si="81"/>
        <v>#DIV/0!</v>
      </c>
      <c r="Q80" s="178" t="e">
        <f t="shared" si="81"/>
        <v>#DIV/0!</v>
      </c>
      <c r="R80" s="179" t="e">
        <f t="shared" si="81"/>
        <v>#DIV/0!</v>
      </c>
      <c r="S80" s="169" t="e">
        <f t="shared" si="84"/>
        <v>#DIV/0!</v>
      </c>
      <c r="T80" s="179" t="e">
        <f t="shared" si="85"/>
        <v>#DIV/0!</v>
      </c>
      <c r="U80" s="180" t="e">
        <f t="shared" si="73"/>
        <v>#DIV/0!</v>
      </c>
      <c r="V80" s="178" t="e">
        <f t="shared" si="66"/>
        <v>#DIV/0!</v>
      </c>
      <c r="W80" s="178" t="e">
        <f t="shared" si="66"/>
        <v>#DIV/0!</v>
      </c>
      <c r="X80" s="178" t="e">
        <f t="shared" si="66"/>
        <v>#DIV/0!</v>
      </c>
      <c r="Y80" s="178" t="e">
        <f t="shared" si="66"/>
        <v>#DIV/0!</v>
      </c>
      <c r="Z80" s="178" t="e">
        <f t="shared" si="66"/>
        <v>#DIV/0!</v>
      </c>
      <c r="AA80" s="178" t="e">
        <f t="shared" si="66"/>
        <v>#DIV/0!</v>
      </c>
      <c r="AB80" s="178" t="e">
        <f t="shared" si="66"/>
        <v>#DIV/0!</v>
      </c>
      <c r="AC80" s="178" t="e">
        <f t="shared" si="66"/>
        <v>#DIV/0!</v>
      </c>
      <c r="AD80" s="178" t="e">
        <f t="shared" si="66"/>
        <v>#DIV/0!</v>
      </c>
      <c r="AE80" s="178" t="e">
        <f t="shared" si="66"/>
        <v>#DIV/0!</v>
      </c>
      <c r="AF80" s="168" t="e">
        <f t="shared" si="66"/>
        <v>#DIV/0!</v>
      </c>
      <c r="AG80" s="169" t="e">
        <f t="shared" si="86"/>
        <v>#DIV/0!</v>
      </c>
      <c r="AH80" s="179" t="e">
        <f t="shared" si="87"/>
        <v>#DIV/0!</v>
      </c>
      <c r="AI80" s="180" t="e">
        <f t="shared" si="74"/>
        <v>#DIV/0!</v>
      </c>
      <c r="AJ80" s="178" t="e">
        <f t="shared" si="74"/>
        <v>#DIV/0!</v>
      </c>
      <c r="AK80" s="178" t="e">
        <f t="shared" si="74"/>
        <v>#DIV/0!</v>
      </c>
      <c r="AL80" s="178" t="e">
        <f t="shared" si="74"/>
        <v>#DIV/0!</v>
      </c>
      <c r="AM80" s="178" t="e">
        <f t="shared" si="74"/>
        <v>#DIV/0!</v>
      </c>
      <c r="AN80" s="178" t="e">
        <f t="shared" si="74"/>
        <v>#DIV/0!</v>
      </c>
      <c r="AO80" s="178" t="e">
        <f t="shared" si="74"/>
        <v>#DIV/0!</v>
      </c>
      <c r="AP80" s="178" t="e">
        <f t="shared" si="74"/>
        <v>#DIV/0!</v>
      </c>
      <c r="AQ80" s="178" t="e">
        <f t="shared" si="74"/>
        <v>#DIV/0!</v>
      </c>
      <c r="AR80" s="178" t="e">
        <f t="shared" si="74"/>
        <v>#DIV/0!</v>
      </c>
      <c r="AS80" s="178" t="e">
        <f t="shared" si="74"/>
        <v>#DIV/0!</v>
      </c>
      <c r="AT80" s="168" t="e">
        <f t="shared" si="74"/>
        <v>#DIV/0!</v>
      </c>
      <c r="AU80" s="169" t="e">
        <f t="shared" si="88"/>
        <v>#DIV/0!</v>
      </c>
      <c r="AV80" s="179" t="e">
        <f t="shared" si="89"/>
        <v>#DIV/0!</v>
      </c>
      <c r="AW80" s="180" t="e">
        <f t="shared" si="75"/>
        <v>#DIV/0!</v>
      </c>
      <c r="AX80" s="178" t="e">
        <f t="shared" si="67"/>
        <v>#DIV/0!</v>
      </c>
      <c r="AY80" s="178" t="e">
        <f t="shared" si="67"/>
        <v>#DIV/0!</v>
      </c>
      <c r="AZ80" s="178" t="e">
        <f t="shared" si="67"/>
        <v>#DIV/0!</v>
      </c>
      <c r="BA80" s="178" t="e">
        <f t="shared" si="67"/>
        <v>#DIV/0!</v>
      </c>
      <c r="BB80" s="178" t="e">
        <f t="shared" si="67"/>
        <v>#DIV/0!</v>
      </c>
      <c r="BC80" s="178" t="e">
        <f t="shared" si="67"/>
        <v>#DIV/0!</v>
      </c>
      <c r="BD80" s="178" t="e">
        <f t="shared" si="67"/>
        <v>#DIV/0!</v>
      </c>
      <c r="BE80" s="178" t="e">
        <f t="shared" si="67"/>
        <v>#DIV/0!</v>
      </c>
      <c r="BF80" s="178" t="e">
        <f t="shared" si="67"/>
        <v>#DIV/0!</v>
      </c>
      <c r="BG80" s="178" t="e">
        <f t="shared" si="67"/>
        <v>#DIV/0!</v>
      </c>
      <c r="BH80" s="168" t="e">
        <f t="shared" si="67"/>
        <v>#DIV/0!</v>
      </c>
      <c r="BI80" s="169" t="e">
        <f t="shared" si="90"/>
        <v>#DIV/0!</v>
      </c>
      <c r="BJ80" s="179" t="e">
        <f t="shared" si="91"/>
        <v>#DIV/0!</v>
      </c>
      <c r="BK80" s="180" t="e">
        <f t="shared" si="76"/>
        <v>#DIV/0!</v>
      </c>
      <c r="BL80" s="178" t="e">
        <f t="shared" si="68"/>
        <v>#DIV/0!</v>
      </c>
      <c r="BM80" s="178" t="e">
        <f t="shared" si="68"/>
        <v>#DIV/0!</v>
      </c>
      <c r="BN80" s="178" t="e">
        <f t="shared" si="68"/>
        <v>#DIV/0!</v>
      </c>
      <c r="BO80" s="178" t="e">
        <f t="shared" si="68"/>
        <v>#DIV/0!</v>
      </c>
      <c r="BP80" s="178" t="e">
        <f t="shared" si="68"/>
        <v>#DIV/0!</v>
      </c>
      <c r="BQ80" s="178" t="e">
        <f t="shared" si="68"/>
        <v>#DIV/0!</v>
      </c>
      <c r="BR80" s="178" t="e">
        <f t="shared" si="68"/>
        <v>#DIV/0!</v>
      </c>
      <c r="BS80" s="178" t="e">
        <f t="shared" si="68"/>
        <v>#DIV/0!</v>
      </c>
      <c r="BT80" s="178" t="e">
        <f t="shared" si="68"/>
        <v>#DIV/0!</v>
      </c>
      <c r="BU80" s="178" t="e">
        <f t="shared" si="68"/>
        <v>#DIV/0!</v>
      </c>
      <c r="BV80" s="168" t="e">
        <f t="shared" si="68"/>
        <v>#DIV/0!</v>
      </c>
      <c r="BW80" s="169" t="e">
        <f t="shared" si="92"/>
        <v>#DIV/0!</v>
      </c>
      <c r="BX80" s="179" t="e">
        <f t="shared" si="93"/>
        <v>#DIV/0!</v>
      </c>
      <c r="BY80" s="180" t="e">
        <f t="shared" si="77"/>
        <v>#DIV/0!</v>
      </c>
      <c r="BZ80" s="178" t="e">
        <f t="shared" si="69"/>
        <v>#DIV/0!</v>
      </c>
      <c r="CA80" s="178" t="e">
        <f t="shared" si="69"/>
        <v>#DIV/0!</v>
      </c>
      <c r="CB80" s="178" t="e">
        <f t="shared" si="69"/>
        <v>#DIV/0!</v>
      </c>
      <c r="CC80" s="178" t="e">
        <f t="shared" si="69"/>
        <v>#DIV/0!</v>
      </c>
      <c r="CD80" s="178" t="e">
        <f t="shared" si="69"/>
        <v>#DIV/0!</v>
      </c>
      <c r="CE80" s="178" t="e">
        <f t="shared" si="69"/>
        <v>#DIV/0!</v>
      </c>
      <c r="CF80" s="178" t="e">
        <f t="shared" si="69"/>
        <v>#DIV/0!</v>
      </c>
      <c r="CG80" s="178" t="e">
        <f t="shared" si="69"/>
        <v>#DIV/0!</v>
      </c>
      <c r="CH80" s="178" t="e">
        <f t="shared" si="69"/>
        <v>#DIV/0!</v>
      </c>
      <c r="CI80" s="178" t="e">
        <f t="shared" si="69"/>
        <v>#DIV/0!</v>
      </c>
      <c r="CJ80" s="168" t="e">
        <f t="shared" si="69"/>
        <v>#DIV/0!</v>
      </c>
      <c r="CK80" s="169" t="e">
        <f t="shared" si="94"/>
        <v>#DIV/0!</v>
      </c>
      <c r="CL80" s="179" t="e">
        <f t="shared" si="95"/>
        <v>#DIV/0!</v>
      </c>
      <c r="CM80" s="180" t="e">
        <f t="shared" si="78"/>
        <v>#DIV/0!</v>
      </c>
      <c r="CN80" s="178" t="e">
        <f t="shared" si="70"/>
        <v>#DIV/0!</v>
      </c>
      <c r="CO80" s="178" t="e">
        <f t="shared" si="70"/>
        <v>#DIV/0!</v>
      </c>
      <c r="CP80" s="178" t="e">
        <f t="shared" si="70"/>
        <v>#DIV/0!</v>
      </c>
      <c r="CQ80" s="178" t="e">
        <f t="shared" si="70"/>
        <v>#DIV/0!</v>
      </c>
      <c r="CR80" s="178" t="e">
        <f t="shared" si="70"/>
        <v>#DIV/0!</v>
      </c>
      <c r="CS80" s="178" t="e">
        <f t="shared" si="70"/>
        <v>#DIV/0!</v>
      </c>
      <c r="CT80" s="178" t="e">
        <f t="shared" si="70"/>
        <v>#DIV/0!</v>
      </c>
      <c r="CU80" s="178" t="e">
        <f t="shared" si="70"/>
        <v>#DIV/0!</v>
      </c>
      <c r="CV80" s="178" t="e">
        <f t="shared" si="70"/>
        <v>#DIV/0!</v>
      </c>
      <c r="CW80" s="178" t="e">
        <f t="shared" si="70"/>
        <v>#DIV/0!</v>
      </c>
      <c r="CX80" s="168" t="e">
        <f t="shared" si="70"/>
        <v>#DIV/0!</v>
      </c>
      <c r="CY80" s="169" t="e">
        <f t="shared" si="96"/>
        <v>#DIV/0!</v>
      </c>
      <c r="CZ80" s="179" t="e">
        <f t="shared" si="97"/>
        <v>#DIV/0!</v>
      </c>
      <c r="DA80" s="180" t="e">
        <f t="shared" si="79"/>
        <v>#DIV/0!</v>
      </c>
      <c r="DB80" s="178" t="e">
        <f t="shared" si="71"/>
        <v>#DIV/0!</v>
      </c>
      <c r="DC80" s="178" t="e">
        <f t="shared" si="71"/>
        <v>#DIV/0!</v>
      </c>
      <c r="DD80" s="178" t="e">
        <f t="shared" si="71"/>
        <v>#DIV/0!</v>
      </c>
      <c r="DE80" s="178" t="e">
        <f t="shared" si="71"/>
        <v>#DIV/0!</v>
      </c>
      <c r="DF80" s="178" t="e">
        <f t="shared" si="71"/>
        <v>#DIV/0!</v>
      </c>
      <c r="DG80" s="178" t="e">
        <f t="shared" si="71"/>
        <v>#DIV/0!</v>
      </c>
      <c r="DH80" s="178" t="e">
        <f t="shared" si="71"/>
        <v>#DIV/0!</v>
      </c>
      <c r="DI80" s="178" t="e">
        <f t="shared" si="71"/>
        <v>#DIV/0!</v>
      </c>
      <c r="DJ80" s="178" t="e">
        <f t="shared" si="71"/>
        <v>#DIV/0!</v>
      </c>
      <c r="DK80" s="178" t="e">
        <f t="shared" si="71"/>
        <v>#DIV/0!</v>
      </c>
      <c r="DL80" s="168" t="e">
        <f t="shared" si="71"/>
        <v>#DIV/0!</v>
      </c>
      <c r="DM80" s="169" t="e">
        <f t="shared" si="98"/>
        <v>#DIV/0!</v>
      </c>
      <c r="DN80" s="171" t="e">
        <f t="shared" si="99"/>
        <v>#DIV/0!</v>
      </c>
      <c r="DO80" s="180" t="e">
        <f t="shared" si="80"/>
        <v>#DIV/0!</v>
      </c>
      <c r="DP80" s="178" t="e">
        <f t="shared" si="72"/>
        <v>#DIV/0!</v>
      </c>
      <c r="DQ80" s="178" t="e">
        <f t="shared" si="72"/>
        <v>#DIV/0!</v>
      </c>
      <c r="DR80" s="178" t="e">
        <f t="shared" si="72"/>
        <v>#DIV/0!</v>
      </c>
      <c r="DS80" s="178" t="e">
        <f t="shared" si="72"/>
        <v>#DIV/0!</v>
      </c>
      <c r="DT80" s="178" t="e">
        <f t="shared" si="72"/>
        <v>#DIV/0!</v>
      </c>
      <c r="DU80" s="178" t="e">
        <f t="shared" si="72"/>
        <v>#DIV/0!</v>
      </c>
      <c r="DV80" s="178" t="e">
        <f t="shared" si="72"/>
        <v>#DIV/0!</v>
      </c>
      <c r="DW80" s="178" t="e">
        <f t="shared" si="72"/>
        <v>#DIV/0!</v>
      </c>
      <c r="DX80" s="178" t="e">
        <f t="shared" si="72"/>
        <v>#DIV/0!</v>
      </c>
      <c r="DY80" s="178" t="e">
        <f t="shared" si="72"/>
        <v>#DIV/0!</v>
      </c>
      <c r="DZ80" s="168" t="e">
        <f t="shared" si="72"/>
        <v>#DIV/0!</v>
      </c>
      <c r="EA80" s="169" t="e">
        <f t="shared" si="100"/>
        <v>#DIV/0!</v>
      </c>
      <c r="EB80" s="171" t="e">
        <f t="shared" si="101"/>
        <v>#DIV/0!</v>
      </c>
    </row>
    <row r="81" spans="1:132" s="177" customFormat="1" ht="15.75">
      <c r="A81" s="163"/>
      <c r="B81" s="164"/>
      <c r="C81" s="165"/>
      <c r="D81" s="182"/>
      <c r="E81" s="167"/>
      <c r="F81" s="168" t="e">
        <f t="shared" si="83"/>
        <v>#DIV/0!</v>
      </c>
      <c r="G81" s="169" t="e">
        <f t="shared" si="82"/>
        <v>#DIV/0!</v>
      </c>
      <c r="H81" s="178" t="e">
        <f t="shared" si="81"/>
        <v>#DIV/0!</v>
      </c>
      <c r="I81" s="178" t="e">
        <f t="shared" si="81"/>
        <v>#DIV/0!</v>
      </c>
      <c r="J81" s="178" t="e">
        <f t="shared" si="81"/>
        <v>#DIV/0!</v>
      </c>
      <c r="K81" s="178" t="e">
        <f t="shared" si="81"/>
        <v>#DIV/0!</v>
      </c>
      <c r="L81" s="178" t="e">
        <f t="shared" si="81"/>
        <v>#DIV/0!</v>
      </c>
      <c r="M81" s="178" t="e">
        <f t="shared" si="81"/>
        <v>#DIV/0!</v>
      </c>
      <c r="N81" s="178" t="e">
        <f t="shared" si="81"/>
        <v>#DIV/0!</v>
      </c>
      <c r="O81" s="178" t="e">
        <f t="shared" si="81"/>
        <v>#DIV/0!</v>
      </c>
      <c r="P81" s="178" t="e">
        <f t="shared" si="81"/>
        <v>#DIV/0!</v>
      </c>
      <c r="Q81" s="178" t="e">
        <f t="shared" si="81"/>
        <v>#DIV/0!</v>
      </c>
      <c r="R81" s="179" t="e">
        <f t="shared" si="81"/>
        <v>#DIV/0!</v>
      </c>
      <c r="S81" s="169" t="e">
        <f t="shared" si="84"/>
        <v>#DIV/0!</v>
      </c>
      <c r="T81" s="179" t="e">
        <f t="shared" si="85"/>
        <v>#DIV/0!</v>
      </c>
      <c r="U81" s="180" t="e">
        <f t="shared" si="73"/>
        <v>#DIV/0!</v>
      </c>
      <c r="V81" s="178" t="e">
        <f t="shared" si="66"/>
        <v>#DIV/0!</v>
      </c>
      <c r="W81" s="178" t="e">
        <f t="shared" si="66"/>
        <v>#DIV/0!</v>
      </c>
      <c r="X81" s="178" t="e">
        <f t="shared" si="66"/>
        <v>#DIV/0!</v>
      </c>
      <c r="Y81" s="178" t="e">
        <f t="shared" si="66"/>
        <v>#DIV/0!</v>
      </c>
      <c r="Z81" s="178" t="e">
        <f t="shared" si="66"/>
        <v>#DIV/0!</v>
      </c>
      <c r="AA81" s="178" t="e">
        <f t="shared" si="66"/>
        <v>#DIV/0!</v>
      </c>
      <c r="AB81" s="178" t="e">
        <f t="shared" si="66"/>
        <v>#DIV/0!</v>
      </c>
      <c r="AC81" s="178" t="e">
        <f t="shared" si="66"/>
        <v>#DIV/0!</v>
      </c>
      <c r="AD81" s="178" t="e">
        <f t="shared" si="66"/>
        <v>#DIV/0!</v>
      </c>
      <c r="AE81" s="178" t="e">
        <f t="shared" si="66"/>
        <v>#DIV/0!</v>
      </c>
      <c r="AF81" s="168" t="e">
        <f t="shared" si="66"/>
        <v>#DIV/0!</v>
      </c>
      <c r="AG81" s="169" t="e">
        <f t="shared" si="86"/>
        <v>#DIV/0!</v>
      </c>
      <c r="AH81" s="179" t="e">
        <f t="shared" si="87"/>
        <v>#DIV/0!</v>
      </c>
      <c r="AI81" s="180" t="e">
        <f t="shared" si="74"/>
        <v>#DIV/0!</v>
      </c>
      <c r="AJ81" s="178" t="e">
        <f t="shared" si="74"/>
        <v>#DIV/0!</v>
      </c>
      <c r="AK81" s="178" t="e">
        <f t="shared" si="74"/>
        <v>#DIV/0!</v>
      </c>
      <c r="AL81" s="178" t="e">
        <f t="shared" si="74"/>
        <v>#DIV/0!</v>
      </c>
      <c r="AM81" s="178" t="e">
        <f t="shared" si="74"/>
        <v>#DIV/0!</v>
      </c>
      <c r="AN81" s="178" t="e">
        <f t="shared" si="74"/>
        <v>#DIV/0!</v>
      </c>
      <c r="AO81" s="178" t="e">
        <f t="shared" si="74"/>
        <v>#DIV/0!</v>
      </c>
      <c r="AP81" s="178" t="e">
        <f t="shared" si="74"/>
        <v>#DIV/0!</v>
      </c>
      <c r="AQ81" s="178" t="e">
        <f t="shared" si="74"/>
        <v>#DIV/0!</v>
      </c>
      <c r="AR81" s="178" t="e">
        <f t="shared" si="74"/>
        <v>#DIV/0!</v>
      </c>
      <c r="AS81" s="178" t="e">
        <f t="shared" si="74"/>
        <v>#DIV/0!</v>
      </c>
      <c r="AT81" s="168" t="e">
        <f t="shared" si="74"/>
        <v>#DIV/0!</v>
      </c>
      <c r="AU81" s="169" t="e">
        <f t="shared" si="88"/>
        <v>#DIV/0!</v>
      </c>
      <c r="AV81" s="179" t="e">
        <f t="shared" si="89"/>
        <v>#DIV/0!</v>
      </c>
      <c r="AW81" s="180" t="e">
        <f t="shared" si="75"/>
        <v>#DIV/0!</v>
      </c>
      <c r="AX81" s="178" t="e">
        <f t="shared" si="67"/>
        <v>#DIV/0!</v>
      </c>
      <c r="AY81" s="178" t="e">
        <f t="shared" si="67"/>
        <v>#DIV/0!</v>
      </c>
      <c r="AZ81" s="178" t="e">
        <f t="shared" si="67"/>
        <v>#DIV/0!</v>
      </c>
      <c r="BA81" s="178" t="e">
        <f t="shared" si="67"/>
        <v>#DIV/0!</v>
      </c>
      <c r="BB81" s="178" t="e">
        <f t="shared" si="67"/>
        <v>#DIV/0!</v>
      </c>
      <c r="BC81" s="178" t="e">
        <f t="shared" si="67"/>
        <v>#DIV/0!</v>
      </c>
      <c r="BD81" s="178" t="e">
        <f t="shared" si="67"/>
        <v>#DIV/0!</v>
      </c>
      <c r="BE81" s="178" t="e">
        <f t="shared" si="67"/>
        <v>#DIV/0!</v>
      </c>
      <c r="BF81" s="178" t="e">
        <f t="shared" si="67"/>
        <v>#DIV/0!</v>
      </c>
      <c r="BG81" s="178" t="e">
        <f t="shared" si="67"/>
        <v>#DIV/0!</v>
      </c>
      <c r="BH81" s="168" t="e">
        <f t="shared" si="67"/>
        <v>#DIV/0!</v>
      </c>
      <c r="BI81" s="169" t="e">
        <f t="shared" si="90"/>
        <v>#DIV/0!</v>
      </c>
      <c r="BJ81" s="179" t="e">
        <f t="shared" si="91"/>
        <v>#DIV/0!</v>
      </c>
      <c r="BK81" s="180" t="e">
        <f t="shared" si="76"/>
        <v>#DIV/0!</v>
      </c>
      <c r="BL81" s="178" t="e">
        <f t="shared" si="68"/>
        <v>#DIV/0!</v>
      </c>
      <c r="BM81" s="178" t="e">
        <f t="shared" si="68"/>
        <v>#DIV/0!</v>
      </c>
      <c r="BN81" s="178" t="e">
        <f t="shared" si="68"/>
        <v>#DIV/0!</v>
      </c>
      <c r="BO81" s="178" t="e">
        <f t="shared" si="68"/>
        <v>#DIV/0!</v>
      </c>
      <c r="BP81" s="178" t="e">
        <f t="shared" si="68"/>
        <v>#DIV/0!</v>
      </c>
      <c r="BQ81" s="178" t="e">
        <f t="shared" si="68"/>
        <v>#DIV/0!</v>
      </c>
      <c r="BR81" s="178" t="e">
        <f t="shared" si="68"/>
        <v>#DIV/0!</v>
      </c>
      <c r="BS81" s="178" t="e">
        <f t="shared" si="68"/>
        <v>#DIV/0!</v>
      </c>
      <c r="BT81" s="178" t="e">
        <f t="shared" si="68"/>
        <v>#DIV/0!</v>
      </c>
      <c r="BU81" s="178" t="e">
        <f t="shared" si="68"/>
        <v>#DIV/0!</v>
      </c>
      <c r="BV81" s="168" t="e">
        <f t="shared" si="68"/>
        <v>#DIV/0!</v>
      </c>
      <c r="BW81" s="169" t="e">
        <f t="shared" si="92"/>
        <v>#DIV/0!</v>
      </c>
      <c r="BX81" s="179" t="e">
        <f t="shared" si="93"/>
        <v>#DIV/0!</v>
      </c>
      <c r="BY81" s="180" t="e">
        <f t="shared" si="77"/>
        <v>#DIV/0!</v>
      </c>
      <c r="BZ81" s="178" t="e">
        <f t="shared" si="69"/>
        <v>#DIV/0!</v>
      </c>
      <c r="CA81" s="178" t="e">
        <f t="shared" si="69"/>
        <v>#DIV/0!</v>
      </c>
      <c r="CB81" s="178" t="e">
        <f t="shared" si="69"/>
        <v>#DIV/0!</v>
      </c>
      <c r="CC81" s="178" t="e">
        <f t="shared" si="69"/>
        <v>#DIV/0!</v>
      </c>
      <c r="CD81" s="178" t="e">
        <f t="shared" si="69"/>
        <v>#DIV/0!</v>
      </c>
      <c r="CE81" s="178" t="e">
        <f t="shared" si="69"/>
        <v>#DIV/0!</v>
      </c>
      <c r="CF81" s="178" t="e">
        <f t="shared" si="69"/>
        <v>#DIV/0!</v>
      </c>
      <c r="CG81" s="178" t="e">
        <f t="shared" si="69"/>
        <v>#DIV/0!</v>
      </c>
      <c r="CH81" s="178" t="e">
        <f t="shared" si="69"/>
        <v>#DIV/0!</v>
      </c>
      <c r="CI81" s="178" t="e">
        <f t="shared" si="69"/>
        <v>#DIV/0!</v>
      </c>
      <c r="CJ81" s="168" t="e">
        <f t="shared" si="69"/>
        <v>#DIV/0!</v>
      </c>
      <c r="CK81" s="169" t="e">
        <f t="shared" si="94"/>
        <v>#DIV/0!</v>
      </c>
      <c r="CL81" s="179" t="e">
        <f t="shared" si="95"/>
        <v>#DIV/0!</v>
      </c>
      <c r="CM81" s="180" t="e">
        <f t="shared" si="78"/>
        <v>#DIV/0!</v>
      </c>
      <c r="CN81" s="178" t="e">
        <f t="shared" si="70"/>
        <v>#DIV/0!</v>
      </c>
      <c r="CO81" s="178" t="e">
        <f t="shared" si="70"/>
        <v>#DIV/0!</v>
      </c>
      <c r="CP81" s="178" t="e">
        <f t="shared" si="70"/>
        <v>#DIV/0!</v>
      </c>
      <c r="CQ81" s="178" t="e">
        <f t="shared" si="70"/>
        <v>#DIV/0!</v>
      </c>
      <c r="CR81" s="178" t="e">
        <f t="shared" si="70"/>
        <v>#DIV/0!</v>
      </c>
      <c r="CS81" s="178" t="e">
        <f t="shared" si="70"/>
        <v>#DIV/0!</v>
      </c>
      <c r="CT81" s="178" t="e">
        <f t="shared" si="70"/>
        <v>#DIV/0!</v>
      </c>
      <c r="CU81" s="178" t="e">
        <f t="shared" si="70"/>
        <v>#DIV/0!</v>
      </c>
      <c r="CV81" s="178" t="e">
        <f t="shared" si="70"/>
        <v>#DIV/0!</v>
      </c>
      <c r="CW81" s="178" t="e">
        <f t="shared" si="70"/>
        <v>#DIV/0!</v>
      </c>
      <c r="CX81" s="168" t="e">
        <f t="shared" si="70"/>
        <v>#DIV/0!</v>
      </c>
      <c r="CY81" s="169" t="e">
        <f t="shared" si="96"/>
        <v>#DIV/0!</v>
      </c>
      <c r="CZ81" s="179" t="e">
        <f t="shared" si="97"/>
        <v>#DIV/0!</v>
      </c>
      <c r="DA81" s="180" t="e">
        <f t="shared" si="79"/>
        <v>#DIV/0!</v>
      </c>
      <c r="DB81" s="178" t="e">
        <f t="shared" si="71"/>
        <v>#DIV/0!</v>
      </c>
      <c r="DC81" s="178" t="e">
        <f t="shared" si="71"/>
        <v>#DIV/0!</v>
      </c>
      <c r="DD81" s="178" t="e">
        <f t="shared" si="71"/>
        <v>#DIV/0!</v>
      </c>
      <c r="DE81" s="178" t="e">
        <f t="shared" si="71"/>
        <v>#DIV/0!</v>
      </c>
      <c r="DF81" s="178" t="e">
        <f t="shared" si="71"/>
        <v>#DIV/0!</v>
      </c>
      <c r="DG81" s="178" t="e">
        <f t="shared" si="71"/>
        <v>#DIV/0!</v>
      </c>
      <c r="DH81" s="178" t="e">
        <f t="shared" si="71"/>
        <v>#DIV/0!</v>
      </c>
      <c r="DI81" s="178" t="e">
        <f t="shared" si="71"/>
        <v>#DIV/0!</v>
      </c>
      <c r="DJ81" s="178" t="e">
        <f t="shared" si="71"/>
        <v>#DIV/0!</v>
      </c>
      <c r="DK81" s="178" t="e">
        <f t="shared" si="71"/>
        <v>#DIV/0!</v>
      </c>
      <c r="DL81" s="168" t="e">
        <f t="shared" si="71"/>
        <v>#DIV/0!</v>
      </c>
      <c r="DM81" s="169" t="e">
        <f t="shared" si="98"/>
        <v>#DIV/0!</v>
      </c>
      <c r="DN81" s="171" t="e">
        <f t="shared" si="99"/>
        <v>#DIV/0!</v>
      </c>
      <c r="DO81" s="180" t="e">
        <f t="shared" si="80"/>
        <v>#DIV/0!</v>
      </c>
      <c r="DP81" s="178" t="e">
        <f t="shared" si="72"/>
        <v>#DIV/0!</v>
      </c>
      <c r="DQ81" s="178" t="e">
        <f t="shared" si="72"/>
        <v>#DIV/0!</v>
      </c>
      <c r="DR81" s="178" t="e">
        <f t="shared" si="72"/>
        <v>#DIV/0!</v>
      </c>
      <c r="DS81" s="178" t="e">
        <f t="shared" si="72"/>
        <v>#DIV/0!</v>
      </c>
      <c r="DT81" s="178" t="e">
        <f t="shared" si="72"/>
        <v>#DIV/0!</v>
      </c>
      <c r="DU81" s="178" t="e">
        <f t="shared" si="72"/>
        <v>#DIV/0!</v>
      </c>
      <c r="DV81" s="178" t="e">
        <f t="shared" si="72"/>
        <v>#DIV/0!</v>
      </c>
      <c r="DW81" s="178" t="e">
        <f t="shared" si="72"/>
        <v>#DIV/0!</v>
      </c>
      <c r="DX81" s="178" t="e">
        <f t="shared" si="72"/>
        <v>#DIV/0!</v>
      </c>
      <c r="DY81" s="178" t="e">
        <f t="shared" si="72"/>
        <v>#DIV/0!</v>
      </c>
      <c r="DZ81" s="168" t="e">
        <f t="shared" si="72"/>
        <v>#DIV/0!</v>
      </c>
      <c r="EA81" s="169" t="e">
        <f t="shared" si="100"/>
        <v>#DIV/0!</v>
      </c>
      <c r="EB81" s="171" t="e">
        <f t="shared" si="101"/>
        <v>#DIV/0!</v>
      </c>
    </row>
    <row r="82" spans="1:132" s="177" customFormat="1" ht="15.75">
      <c r="A82" s="163"/>
      <c r="B82" s="164"/>
      <c r="C82" s="165"/>
      <c r="D82" s="182"/>
      <c r="E82" s="167"/>
      <c r="F82" s="168" t="e">
        <f t="shared" si="83"/>
        <v>#DIV/0!</v>
      </c>
      <c r="G82" s="169" t="e">
        <f t="shared" si="82"/>
        <v>#DIV/0!</v>
      </c>
      <c r="H82" s="178" t="e">
        <f t="shared" si="81"/>
        <v>#DIV/0!</v>
      </c>
      <c r="I82" s="178" t="e">
        <f t="shared" si="81"/>
        <v>#DIV/0!</v>
      </c>
      <c r="J82" s="178" t="e">
        <f t="shared" si="81"/>
        <v>#DIV/0!</v>
      </c>
      <c r="K82" s="178" t="e">
        <f t="shared" si="81"/>
        <v>#DIV/0!</v>
      </c>
      <c r="L82" s="178" t="e">
        <f t="shared" si="81"/>
        <v>#DIV/0!</v>
      </c>
      <c r="M82" s="178" t="e">
        <f t="shared" si="81"/>
        <v>#DIV/0!</v>
      </c>
      <c r="N82" s="178" t="e">
        <f t="shared" si="81"/>
        <v>#DIV/0!</v>
      </c>
      <c r="O82" s="178" t="e">
        <f t="shared" si="81"/>
        <v>#DIV/0!</v>
      </c>
      <c r="P82" s="178" t="e">
        <f t="shared" si="81"/>
        <v>#DIV/0!</v>
      </c>
      <c r="Q82" s="178" t="e">
        <f t="shared" si="81"/>
        <v>#DIV/0!</v>
      </c>
      <c r="R82" s="179" t="e">
        <f t="shared" si="81"/>
        <v>#DIV/0!</v>
      </c>
      <c r="S82" s="169" t="e">
        <f t="shared" si="84"/>
        <v>#DIV/0!</v>
      </c>
      <c r="T82" s="179" t="e">
        <f t="shared" si="85"/>
        <v>#DIV/0!</v>
      </c>
      <c r="U82" s="180" t="e">
        <f t="shared" si="73"/>
        <v>#DIV/0!</v>
      </c>
      <c r="V82" s="178" t="e">
        <f t="shared" si="66"/>
        <v>#DIV/0!</v>
      </c>
      <c r="W82" s="178" t="e">
        <f t="shared" si="66"/>
        <v>#DIV/0!</v>
      </c>
      <c r="X82" s="178" t="e">
        <f t="shared" si="66"/>
        <v>#DIV/0!</v>
      </c>
      <c r="Y82" s="178" t="e">
        <f t="shared" si="66"/>
        <v>#DIV/0!</v>
      </c>
      <c r="Z82" s="178" t="e">
        <f t="shared" si="66"/>
        <v>#DIV/0!</v>
      </c>
      <c r="AA82" s="178" t="e">
        <f t="shared" si="66"/>
        <v>#DIV/0!</v>
      </c>
      <c r="AB82" s="178" t="e">
        <f t="shared" si="66"/>
        <v>#DIV/0!</v>
      </c>
      <c r="AC82" s="178" t="e">
        <f t="shared" si="66"/>
        <v>#DIV/0!</v>
      </c>
      <c r="AD82" s="178" t="e">
        <f t="shared" si="66"/>
        <v>#DIV/0!</v>
      </c>
      <c r="AE82" s="178" t="e">
        <f t="shared" si="66"/>
        <v>#DIV/0!</v>
      </c>
      <c r="AF82" s="168" t="e">
        <f t="shared" si="66"/>
        <v>#DIV/0!</v>
      </c>
      <c r="AG82" s="169" t="e">
        <f t="shared" si="86"/>
        <v>#DIV/0!</v>
      </c>
      <c r="AH82" s="179" t="e">
        <f t="shared" si="87"/>
        <v>#DIV/0!</v>
      </c>
      <c r="AI82" s="180" t="e">
        <f t="shared" si="74"/>
        <v>#DIV/0!</v>
      </c>
      <c r="AJ82" s="178" t="e">
        <f t="shared" si="74"/>
        <v>#DIV/0!</v>
      </c>
      <c r="AK82" s="178" t="e">
        <f t="shared" si="74"/>
        <v>#DIV/0!</v>
      </c>
      <c r="AL82" s="178" t="e">
        <f t="shared" si="74"/>
        <v>#DIV/0!</v>
      </c>
      <c r="AM82" s="178" t="e">
        <f t="shared" si="74"/>
        <v>#DIV/0!</v>
      </c>
      <c r="AN82" s="178" t="e">
        <f t="shared" si="74"/>
        <v>#DIV/0!</v>
      </c>
      <c r="AO82" s="178" t="e">
        <f t="shared" si="74"/>
        <v>#DIV/0!</v>
      </c>
      <c r="AP82" s="178" t="e">
        <f t="shared" si="74"/>
        <v>#DIV/0!</v>
      </c>
      <c r="AQ82" s="178" t="e">
        <f t="shared" si="74"/>
        <v>#DIV/0!</v>
      </c>
      <c r="AR82" s="178" t="e">
        <f t="shared" si="74"/>
        <v>#DIV/0!</v>
      </c>
      <c r="AS82" s="178" t="e">
        <f t="shared" si="74"/>
        <v>#DIV/0!</v>
      </c>
      <c r="AT82" s="168" t="e">
        <f t="shared" si="74"/>
        <v>#DIV/0!</v>
      </c>
      <c r="AU82" s="169" t="e">
        <f t="shared" si="88"/>
        <v>#DIV/0!</v>
      </c>
      <c r="AV82" s="179" t="e">
        <f t="shared" si="89"/>
        <v>#DIV/0!</v>
      </c>
      <c r="AW82" s="180" t="e">
        <f t="shared" si="75"/>
        <v>#DIV/0!</v>
      </c>
      <c r="AX82" s="178" t="e">
        <f t="shared" si="67"/>
        <v>#DIV/0!</v>
      </c>
      <c r="AY82" s="178" t="e">
        <f t="shared" si="67"/>
        <v>#DIV/0!</v>
      </c>
      <c r="AZ82" s="178" t="e">
        <f t="shared" si="67"/>
        <v>#DIV/0!</v>
      </c>
      <c r="BA82" s="178" t="e">
        <f t="shared" si="67"/>
        <v>#DIV/0!</v>
      </c>
      <c r="BB82" s="178" t="e">
        <f t="shared" si="67"/>
        <v>#DIV/0!</v>
      </c>
      <c r="BC82" s="178" t="e">
        <f t="shared" si="67"/>
        <v>#DIV/0!</v>
      </c>
      <c r="BD82" s="178" t="e">
        <f t="shared" si="67"/>
        <v>#DIV/0!</v>
      </c>
      <c r="BE82" s="178" t="e">
        <f t="shared" si="67"/>
        <v>#DIV/0!</v>
      </c>
      <c r="BF82" s="178" t="e">
        <f t="shared" si="67"/>
        <v>#DIV/0!</v>
      </c>
      <c r="BG82" s="178" t="e">
        <f t="shared" si="67"/>
        <v>#DIV/0!</v>
      </c>
      <c r="BH82" s="168" t="e">
        <f t="shared" si="67"/>
        <v>#DIV/0!</v>
      </c>
      <c r="BI82" s="169" t="e">
        <f t="shared" si="90"/>
        <v>#DIV/0!</v>
      </c>
      <c r="BJ82" s="179" t="e">
        <f t="shared" si="91"/>
        <v>#DIV/0!</v>
      </c>
      <c r="BK82" s="180" t="e">
        <f t="shared" si="76"/>
        <v>#DIV/0!</v>
      </c>
      <c r="BL82" s="178" t="e">
        <f t="shared" si="68"/>
        <v>#DIV/0!</v>
      </c>
      <c r="BM82" s="178" t="e">
        <f t="shared" si="68"/>
        <v>#DIV/0!</v>
      </c>
      <c r="BN82" s="178" t="e">
        <f t="shared" si="68"/>
        <v>#DIV/0!</v>
      </c>
      <c r="BO82" s="178" t="e">
        <f t="shared" si="68"/>
        <v>#DIV/0!</v>
      </c>
      <c r="BP82" s="178" t="e">
        <f t="shared" si="68"/>
        <v>#DIV/0!</v>
      </c>
      <c r="BQ82" s="178" t="e">
        <f t="shared" si="68"/>
        <v>#DIV/0!</v>
      </c>
      <c r="BR82" s="178" t="e">
        <f t="shared" si="68"/>
        <v>#DIV/0!</v>
      </c>
      <c r="BS82" s="178" t="e">
        <f t="shared" si="68"/>
        <v>#DIV/0!</v>
      </c>
      <c r="BT82" s="178" t="e">
        <f t="shared" si="68"/>
        <v>#DIV/0!</v>
      </c>
      <c r="BU82" s="178" t="e">
        <f t="shared" si="68"/>
        <v>#DIV/0!</v>
      </c>
      <c r="BV82" s="168" t="e">
        <f t="shared" si="68"/>
        <v>#DIV/0!</v>
      </c>
      <c r="BW82" s="169" t="e">
        <f t="shared" si="92"/>
        <v>#DIV/0!</v>
      </c>
      <c r="BX82" s="179" t="e">
        <f t="shared" si="93"/>
        <v>#DIV/0!</v>
      </c>
      <c r="BY82" s="180" t="e">
        <f t="shared" si="77"/>
        <v>#DIV/0!</v>
      </c>
      <c r="BZ82" s="178" t="e">
        <f t="shared" si="69"/>
        <v>#DIV/0!</v>
      </c>
      <c r="CA82" s="178" t="e">
        <f t="shared" si="69"/>
        <v>#DIV/0!</v>
      </c>
      <c r="CB82" s="178" t="e">
        <f t="shared" si="69"/>
        <v>#DIV/0!</v>
      </c>
      <c r="CC82" s="178" t="e">
        <f t="shared" si="69"/>
        <v>#DIV/0!</v>
      </c>
      <c r="CD82" s="178" t="e">
        <f t="shared" si="69"/>
        <v>#DIV/0!</v>
      </c>
      <c r="CE82" s="178" t="e">
        <f t="shared" si="69"/>
        <v>#DIV/0!</v>
      </c>
      <c r="CF82" s="178" t="e">
        <f t="shared" si="69"/>
        <v>#DIV/0!</v>
      </c>
      <c r="CG82" s="178" t="e">
        <f t="shared" si="69"/>
        <v>#DIV/0!</v>
      </c>
      <c r="CH82" s="178" t="e">
        <f t="shared" si="69"/>
        <v>#DIV/0!</v>
      </c>
      <c r="CI82" s="178" t="e">
        <f t="shared" si="69"/>
        <v>#DIV/0!</v>
      </c>
      <c r="CJ82" s="168" t="e">
        <f t="shared" si="69"/>
        <v>#DIV/0!</v>
      </c>
      <c r="CK82" s="169" t="e">
        <f t="shared" si="94"/>
        <v>#DIV/0!</v>
      </c>
      <c r="CL82" s="179" t="e">
        <f t="shared" si="95"/>
        <v>#DIV/0!</v>
      </c>
      <c r="CM82" s="180" t="e">
        <f t="shared" si="78"/>
        <v>#DIV/0!</v>
      </c>
      <c r="CN82" s="178" t="e">
        <f t="shared" si="70"/>
        <v>#DIV/0!</v>
      </c>
      <c r="CO82" s="178" t="e">
        <f t="shared" si="70"/>
        <v>#DIV/0!</v>
      </c>
      <c r="CP82" s="178" t="e">
        <f t="shared" si="70"/>
        <v>#DIV/0!</v>
      </c>
      <c r="CQ82" s="178" t="e">
        <f t="shared" si="70"/>
        <v>#DIV/0!</v>
      </c>
      <c r="CR82" s="178" t="e">
        <f t="shared" si="70"/>
        <v>#DIV/0!</v>
      </c>
      <c r="CS82" s="178" t="e">
        <f t="shared" si="70"/>
        <v>#DIV/0!</v>
      </c>
      <c r="CT82" s="178" t="e">
        <f t="shared" si="70"/>
        <v>#DIV/0!</v>
      </c>
      <c r="CU82" s="178" t="e">
        <f t="shared" si="70"/>
        <v>#DIV/0!</v>
      </c>
      <c r="CV82" s="178" t="e">
        <f t="shared" si="70"/>
        <v>#DIV/0!</v>
      </c>
      <c r="CW82" s="178" t="e">
        <f t="shared" si="70"/>
        <v>#DIV/0!</v>
      </c>
      <c r="CX82" s="168" t="e">
        <f t="shared" si="70"/>
        <v>#DIV/0!</v>
      </c>
      <c r="CY82" s="169" t="e">
        <f t="shared" si="96"/>
        <v>#DIV/0!</v>
      </c>
      <c r="CZ82" s="179" t="e">
        <f t="shared" si="97"/>
        <v>#DIV/0!</v>
      </c>
      <c r="DA82" s="180" t="e">
        <f t="shared" si="79"/>
        <v>#DIV/0!</v>
      </c>
      <c r="DB82" s="178" t="e">
        <f t="shared" si="71"/>
        <v>#DIV/0!</v>
      </c>
      <c r="DC82" s="178" t="e">
        <f t="shared" si="71"/>
        <v>#DIV/0!</v>
      </c>
      <c r="DD82" s="178" t="e">
        <f t="shared" si="71"/>
        <v>#DIV/0!</v>
      </c>
      <c r="DE82" s="178" t="e">
        <f t="shared" si="71"/>
        <v>#DIV/0!</v>
      </c>
      <c r="DF82" s="178" t="e">
        <f t="shared" si="71"/>
        <v>#DIV/0!</v>
      </c>
      <c r="DG82" s="178" t="e">
        <f t="shared" si="71"/>
        <v>#DIV/0!</v>
      </c>
      <c r="DH82" s="178" t="e">
        <f t="shared" si="71"/>
        <v>#DIV/0!</v>
      </c>
      <c r="DI82" s="178" t="e">
        <f t="shared" si="71"/>
        <v>#DIV/0!</v>
      </c>
      <c r="DJ82" s="178" t="e">
        <f t="shared" si="71"/>
        <v>#DIV/0!</v>
      </c>
      <c r="DK82" s="178" t="e">
        <f t="shared" si="71"/>
        <v>#DIV/0!</v>
      </c>
      <c r="DL82" s="168" t="e">
        <f t="shared" si="71"/>
        <v>#DIV/0!</v>
      </c>
      <c r="DM82" s="169" t="e">
        <f t="shared" si="98"/>
        <v>#DIV/0!</v>
      </c>
      <c r="DN82" s="171" t="e">
        <f t="shared" si="99"/>
        <v>#DIV/0!</v>
      </c>
      <c r="DO82" s="180" t="e">
        <f t="shared" si="80"/>
        <v>#DIV/0!</v>
      </c>
      <c r="DP82" s="178" t="e">
        <f t="shared" si="72"/>
        <v>#DIV/0!</v>
      </c>
      <c r="DQ82" s="178" t="e">
        <f t="shared" si="72"/>
        <v>#DIV/0!</v>
      </c>
      <c r="DR82" s="178" t="e">
        <f t="shared" si="72"/>
        <v>#DIV/0!</v>
      </c>
      <c r="DS82" s="178" t="e">
        <f t="shared" si="72"/>
        <v>#DIV/0!</v>
      </c>
      <c r="DT82" s="178" t="e">
        <f t="shared" si="72"/>
        <v>#DIV/0!</v>
      </c>
      <c r="DU82" s="178" t="e">
        <f t="shared" si="72"/>
        <v>#DIV/0!</v>
      </c>
      <c r="DV82" s="178" t="e">
        <f t="shared" si="72"/>
        <v>#DIV/0!</v>
      </c>
      <c r="DW82" s="178" t="e">
        <f t="shared" si="72"/>
        <v>#DIV/0!</v>
      </c>
      <c r="DX82" s="178" t="e">
        <f t="shared" si="72"/>
        <v>#DIV/0!</v>
      </c>
      <c r="DY82" s="178" t="e">
        <f t="shared" si="72"/>
        <v>#DIV/0!</v>
      </c>
      <c r="DZ82" s="168" t="e">
        <f t="shared" si="72"/>
        <v>#DIV/0!</v>
      </c>
      <c r="EA82" s="169" t="e">
        <f t="shared" si="100"/>
        <v>#DIV/0!</v>
      </c>
      <c r="EB82" s="171" t="e">
        <f t="shared" si="101"/>
        <v>#DIV/0!</v>
      </c>
    </row>
    <row r="83" spans="1:132" s="177" customFormat="1" ht="15.75">
      <c r="A83" s="163"/>
      <c r="B83" s="164"/>
      <c r="C83" s="165"/>
      <c r="D83" s="182"/>
      <c r="E83" s="167"/>
      <c r="F83" s="168" t="e">
        <f t="shared" si="83"/>
        <v>#DIV/0!</v>
      </c>
      <c r="G83" s="169" t="e">
        <f t="shared" si="82"/>
        <v>#DIV/0!</v>
      </c>
      <c r="H83" s="178" t="e">
        <f t="shared" si="81"/>
        <v>#DIV/0!</v>
      </c>
      <c r="I83" s="178" t="e">
        <f t="shared" si="81"/>
        <v>#DIV/0!</v>
      </c>
      <c r="J83" s="178" t="e">
        <f t="shared" si="81"/>
        <v>#DIV/0!</v>
      </c>
      <c r="K83" s="178" t="e">
        <f t="shared" si="81"/>
        <v>#DIV/0!</v>
      </c>
      <c r="L83" s="178" t="e">
        <f t="shared" si="81"/>
        <v>#DIV/0!</v>
      </c>
      <c r="M83" s="178" t="e">
        <f t="shared" si="81"/>
        <v>#DIV/0!</v>
      </c>
      <c r="N83" s="178" t="e">
        <f t="shared" si="81"/>
        <v>#DIV/0!</v>
      </c>
      <c r="O83" s="178" t="e">
        <f t="shared" si="81"/>
        <v>#DIV/0!</v>
      </c>
      <c r="P83" s="178" t="e">
        <f t="shared" si="81"/>
        <v>#DIV/0!</v>
      </c>
      <c r="Q83" s="178" t="e">
        <f t="shared" si="81"/>
        <v>#DIV/0!</v>
      </c>
      <c r="R83" s="179" t="e">
        <f t="shared" si="81"/>
        <v>#DIV/0!</v>
      </c>
      <c r="S83" s="169" t="e">
        <f t="shared" si="84"/>
        <v>#DIV/0!</v>
      </c>
      <c r="T83" s="179" t="e">
        <f t="shared" si="85"/>
        <v>#DIV/0!</v>
      </c>
      <c r="U83" s="180" t="e">
        <f t="shared" si="73"/>
        <v>#DIV/0!</v>
      </c>
      <c r="V83" s="178" t="e">
        <f t="shared" si="66"/>
        <v>#DIV/0!</v>
      </c>
      <c r="W83" s="178" t="e">
        <f t="shared" si="66"/>
        <v>#DIV/0!</v>
      </c>
      <c r="X83" s="178" t="e">
        <f t="shared" si="66"/>
        <v>#DIV/0!</v>
      </c>
      <c r="Y83" s="178" t="e">
        <f t="shared" si="66"/>
        <v>#DIV/0!</v>
      </c>
      <c r="Z83" s="178" t="e">
        <f t="shared" si="66"/>
        <v>#DIV/0!</v>
      </c>
      <c r="AA83" s="178" t="e">
        <f t="shared" si="66"/>
        <v>#DIV/0!</v>
      </c>
      <c r="AB83" s="178" t="e">
        <f t="shared" si="66"/>
        <v>#DIV/0!</v>
      </c>
      <c r="AC83" s="178" t="e">
        <f t="shared" si="66"/>
        <v>#DIV/0!</v>
      </c>
      <c r="AD83" s="178" t="e">
        <f t="shared" si="66"/>
        <v>#DIV/0!</v>
      </c>
      <c r="AE83" s="178" t="e">
        <f t="shared" si="66"/>
        <v>#DIV/0!</v>
      </c>
      <c r="AF83" s="168" t="e">
        <f t="shared" si="66"/>
        <v>#DIV/0!</v>
      </c>
      <c r="AG83" s="169" t="e">
        <f t="shared" si="86"/>
        <v>#DIV/0!</v>
      </c>
      <c r="AH83" s="179" t="e">
        <f t="shared" si="87"/>
        <v>#DIV/0!</v>
      </c>
      <c r="AI83" s="180" t="e">
        <f t="shared" si="74"/>
        <v>#DIV/0!</v>
      </c>
      <c r="AJ83" s="178" t="e">
        <f t="shared" si="74"/>
        <v>#DIV/0!</v>
      </c>
      <c r="AK83" s="178" t="e">
        <f t="shared" si="74"/>
        <v>#DIV/0!</v>
      </c>
      <c r="AL83" s="178" t="e">
        <f t="shared" si="74"/>
        <v>#DIV/0!</v>
      </c>
      <c r="AM83" s="178" t="e">
        <f t="shared" si="74"/>
        <v>#DIV/0!</v>
      </c>
      <c r="AN83" s="178" t="e">
        <f t="shared" si="74"/>
        <v>#DIV/0!</v>
      </c>
      <c r="AO83" s="178" t="e">
        <f t="shared" si="74"/>
        <v>#DIV/0!</v>
      </c>
      <c r="AP83" s="178" t="e">
        <f t="shared" si="74"/>
        <v>#DIV/0!</v>
      </c>
      <c r="AQ83" s="178" t="e">
        <f t="shared" si="74"/>
        <v>#DIV/0!</v>
      </c>
      <c r="AR83" s="178" t="e">
        <f t="shared" si="74"/>
        <v>#DIV/0!</v>
      </c>
      <c r="AS83" s="178" t="e">
        <f t="shared" si="74"/>
        <v>#DIV/0!</v>
      </c>
      <c r="AT83" s="168" t="e">
        <f t="shared" si="74"/>
        <v>#DIV/0!</v>
      </c>
      <c r="AU83" s="169" t="e">
        <f t="shared" si="88"/>
        <v>#DIV/0!</v>
      </c>
      <c r="AV83" s="179" t="e">
        <f t="shared" si="89"/>
        <v>#DIV/0!</v>
      </c>
      <c r="AW83" s="180" t="e">
        <f t="shared" si="75"/>
        <v>#DIV/0!</v>
      </c>
      <c r="AX83" s="178" t="e">
        <f t="shared" si="67"/>
        <v>#DIV/0!</v>
      </c>
      <c r="AY83" s="178" t="e">
        <f t="shared" si="67"/>
        <v>#DIV/0!</v>
      </c>
      <c r="AZ83" s="178" t="e">
        <f t="shared" si="67"/>
        <v>#DIV/0!</v>
      </c>
      <c r="BA83" s="178" t="e">
        <f t="shared" si="67"/>
        <v>#DIV/0!</v>
      </c>
      <c r="BB83" s="178" t="e">
        <f t="shared" si="67"/>
        <v>#DIV/0!</v>
      </c>
      <c r="BC83" s="178" t="e">
        <f t="shared" si="67"/>
        <v>#DIV/0!</v>
      </c>
      <c r="BD83" s="178" t="e">
        <f t="shared" si="67"/>
        <v>#DIV/0!</v>
      </c>
      <c r="BE83" s="178" t="e">
        <f t="shared" si="67"/>
        <v>#DIV/0!</v>
      </c>
      <c r="BF83" s="178" t="e">
        <f t="shared" si="67"/>
        <v>#DIV/0!</v>
      </c>
      <c r="BG83" s="178" t="e">
        <f t="shared" si="67"/>
        <v>#DIV/0!</v>
      </c>
      <c r="BH83" s="168" t="e">
        <f t="shared" si="67"/>
        <v>#DIV/0!</v>
      </c>
      <c r="BI83" s="169" t="e">
        <f t="shared" si="90"/>
        <v>#DIV/0!</v>
      </c>
      <c r="BJ83" s="179" t="e">
        <f t="shared" si="91"/>
        <v>#DIV/0!</v>
      </c>
      <c r="BK83" s="180" t="e">
        <f t="shared" si="76"/>
        <v>#DIV/0!</v>
      </c>
      <c r="BL83" s="178" t="e">
        <f t="shared" si="68"/>
        <v>#DIV/0!</v>
      </c>
      <c r="BM83" s="178" t="e">
        <f t="shared" si="68"/>
        <v>#DIV/0!</v>
      </c>
      <c r="BN83" s="178" t="e">
        <f t="shared" si="68"/>
        <v>#DIV/0!</v>
      </c>
      <c r="BO83" s="178" t="e">
        <f t="shared" si="68"/>
        <v>#DIV/0!</v>
      </c>
      <c r="BP83" s="178" t="e">
        <f t="shared" si="68"/>
        <v>#DIV/0!</v>
      </c>
      <c r="BQ83" s="178" t="e">
        <f t="shared" si="68"/>
        <v>#DIV/0!</v>
      </c>
      <c r="BR83" s="178" t="e">
        <f t="shared" si="68"/>
        <v>#DIV/0!</v>
      </c>
      <c r="BS83" s="178" t="e">
        <f t="shared" si="68"/>
        <v>#DIV/0!</v>
      </c>
      <c r="BT83" s="178" t="e">
        <f t="shared" si="68"/>
        <v>#DIV/0!</v>
      </c>
      <c r="BU83" s="178" t="e">
        <f t="shared" si="68"/>
        <v>#DIV/0!</v>
      </c>
      <c r="BV83" s="168" t="e">
        <f t="shared" si="68"/>
        <v>#DIV/0!</v>
      </c>
      <c r="BW83" s="169" t="e">
        <f t="shared" si="92"/>
        <v>#DIV/0!</v>
      </c>
      <c r="BX83" s="179" t="e">
        <f t="shared" si="93"/>
        <v>#DIV/0!</v>
      </c>
      <c r="BY83" s="180" t="e">
        <f t="shared" si="77"/>
        <v>#DIV/0!</v>
      </c>
      <c r="BZ83" s="178" t="e">
        <f t="shared" si="69"/>
        <v>#DIV/0!</v>
      </c>
      <c r="CA83" s="178" t="e">
        <f t="shared" si="69"/>
        <v>#DIV/0!</v>
      </c>
      <c r="CB83" s="178" t="e">
        <f t="shared" si="69"/>
        <v>#DIV/0!</v>
      </c>
      <c r="CC83" s="178" t="e">
        <f t="shared" si="69"/>
        <v>#DIV/0!</v>
      </c>
      <c r="CD83" s="178" t="e">
        <f t="shared" si="69"/>
        <v>#DIV/0!</v>
      </c>
      <c r="CE83" s="178" t="e">
        <f t="shared" si="69"/>
        <v>#DIV/0!</v>
      </c>
      <c r="CF83" s="178" t="e">
        <f t="shared" si="69"/>
        <v>#DIV/0!</v>
      </c>
      <c r="CG83" s="178" t="e">
        <f t="shared" si="69"/>
        <v>#DIV/0!</v>
      </c>
      <c r="CH83" s="178" t="e">
        <f t="shared" si="69"/>
        <v>#DIV/0!</v>
      </c>
      <c r="CI83" s="178" t="e">
        <f t="shared" si="69"/>
        <v>#DIV/0!</v>
      </c>
      <c r="CJ83" s="168" t="e">
        <f t="shared" si="69"/>
        <v>#DIV/0!</v>
      </c>
      <c r="CK83" s="169" t="e">
        <f t="shared" si="94"/>
        <v>#DIV/0!</v>
      </c>
      <c r="CL83" s="179" t="e">
        <f t="shared" si="95"/>
        <v>#DIV/0!</v>
      </c>
      <c r="CM83" s="180" t="e">
        <f t="shared" si="78"/>
        <v>#DIV/0!</v>
      </c>
      <c r="CN83" s="178" t="e">
        <f t="shared" si="70"/>
        <v>#DIV/0!</v>
      </c>
      <c r="CO83" s="178" t="e">
        <f t="shared" si="70"/>
        <v>#DIV/0!</v>
      </c>
      <c r="CP83" s="178" t="e">
        <f t="shared" si="70"/>
        <v>#DIV/0!</v>
      </c>
      <c r="CQ83" s="178" t="e">
        <f t="shared" si="70"/>
        <v>#DIV/0!</v>
      </c>
      <c r="CR83" s="178" t="e">
        <f t="shared" si="70"/>
        <v>#DIV/0!</v>
      </c>
      <c r="CS83" s="178" t="e">
        <f t="shared" si="70"/>
        <v>#DIV/0!</v>
      </c>
      <c r="CT83" s="178" t="e">
        <f t="shared" si="70"/>
        <v>#DIV/0!</v>
      </c>
      <c r="CU83" s="178" t="e">
        <f t="shared" si="70"/>
        <v>#DIV/0!</v>
      </c>
      <c r="CV83" s="178" t="e">
        <f t="shared" si="70"/>
        <v>#DIV/0!</v>
      </c>
      <c r="CW83" s="178" t="e">
        <f t="shared" si="70"/>
        <v>#DIV/0!</v>
      </c>
      <c r="CX83" s="168" t="e">
        <f t="shared" si="70"/>
        <v>#DIV/0!</v>
      </c>
      <c r="CY83" s="169" t="e">
        <f t="shared" si="96"/>
        <v>#DIV/0!</v>
      </c>
      <c r="CZ83" s="179" t="e">
        <f t="shared" si="97"/>
        <v>#DIV/0!</v>
      </c>
      <c r="DA83" s="180" t="e">
        <f t="shared" si="79"/>
        <v>#DIV/0!</v>
      </c>
      <c r="DB83" s="178" t="e">
        <f t="shared" si="71"/>
        <v>#DIV/0!</v>
      </c>
      <c r="DC83" s="178" t="e">
        <f t="shared" si="71"/>
        <v>#DIV/0!</v>
      </c>
      <c r="DD83" s="178" t="e">
        <f t="shared" si="71"/>
        <v>#DIV/0!</v>
      </c>
      <c r="DE83" s="178" t="e">
        <f t="shared" si="71"/>
        <v>#DIV/0!</v>
      </c>
      <c r="DF83" s="178" t="e">
        <f t="shared" si="71"/>
        <v>#DIV/0!</v>
      </c>
      <c r="DG83" s="178" t="e">
        <f t="shared" si="71"/>
        <v>#DIV/0!</v>
      </c>
      <c r="DH83" s="178" t="e">
        <f t="shared" si="71"/>
        <v>#DIV/0!</v>
      </c>
      <c r="DI83" s="178" t="e">
        <f t="shared" si="71"/>
        <v>#DIV/0!</v>
      </c>
      <c r="DJ83" s="178" t="e">
        <f t="shared" si="71"/>
        <v>#DIV/0!</v>
      </c>
      <c r="DK83" s="178" t="e">
        <f t="shared" si="71"/>
        <v>#DIV/0!</v>
      </c>
      <c r="DL83" s="168" t="e">
        <f t="shared" si="71"/>
        <v>#DIV/0!</v>
      </c>
      <c r="DM83" s="169" t="e">
        <f t="shared" si="98"/>
        <v>#DIV/0!</v>
      </c>
      <c r="DN83" s="171" t="e">
        <f t="shared" si="99"/>
        <v>#DIV/0!</v>
      </c>
      <c r="DO83" s="180" t="e">
        <f t="shared" si="80"/>
        <v>#DIV/0!</v>
      </c>
      <c r="DP83" s="178" t="e">
        <f t="shared" si="72"/>
        <v>#DIV/0!</v>
      </c>
      <c r="DQ83" s="178" t="e">
        <f t="shared" si="72"/>
        <v>#DIV/0!</v>
      </c>
      <c r="DR83" s="178" t="e">
        <f t="shared" si="72"/>
        <v>#DIV/0!</v>
      </c>
      <c r="DS83" s="178" t="e">
        <f t="shared" si="72"/>
        <v>#DIV/0!</v>
      </c>
      <c r="DT83" s="178" t="e">
        <f t="shared" si="72"/>
        <v>#DIV/0!</v>
      </c>
      <c r="DU83" s="178" t="e">
        <f t="shared" si="72"/>
        <v>#DIV/0!</v>
      </c>
      <c r="DV83" s="178" t="e">
        <f t="shared" si="72"/>
        <v>#DIV/0!</v>
      </c>
      <c r="DW83" s="178" t="e">
        <f t="shared" si="72"/>
        <v>#DIV/0!</v>
      </c>
      <c r="DX83" s="178" t="e">
        <f t="shared" si="72"/>
        <v>#DIV/0!</v>
      </c>
      <c r="DY83" s="178" t="e">
        <f t="shared" si="72"/>
        <v>#DIV/0!</v>
      </c>
      <c r="DZ83" s="168" t="e">
        <f t="shared" si="72"/>
        <v>#DIV/0!</v>
      </c>
      <c r="EA83" s="169" t="e">
        <f t="shared" si="100"/>
        <v>#DIV/0!</v>
      </c>
      <c r="EB83" s="171" t="e">
        <f t="shared" si="101"/>
        <v>#DIV/0!</v>
      </c>
    </row>
    <row r="84" spans="1:132" s="177" customFormat="1" ht="15.75">
      <c r="A84" s="163"/>
      <c r="B84" s="164"/>
      <c r="C84" s="165"/>
      <c r="D84" s="182"/>
      <c r="E84" s="167"/>
      <c r="F84" s="168" t="e">
        <f t="shared" si="83"/>
        <v>#DIV/0!</v>
      </c>
      <c r="G84" s="169" t="e">
        <f t="shared" si="82"/>
        <v>#DIV/0!</v>
      </c>
      <c r="H84" s="178" t="e">
        <f t="shared" si="81"/>
        <v>#DIV/0!</v>
      </c>
      <c r="I84" s="178" t="e">
        <f t="shared" si="81"/>
        <v>#DIV/0!</v>
      </c>
      <c r="J84" s="178" t="e">
        <f t="shared" si="81"/>
        <v>#DIV/0!</v>
      </c>
      <c r="K84" s="178" t="e">
        <f t="shared" si="81"/>
        <v>#DIV/0!</v>
      </c>
      <c r="L84" s="178" t="e">
        <f t="shared" si="81"/>
        <v>#DIV/0!</v>
      </c>
      <c r="M84" s="178" t="e">
        <f t="shared" si="81"/>
        <v>#DIV/0!</v>
      </c>
      <c r="N84" s="178" t="e">
        <f t="shared" si="81"/>
        <v>#DIV/0!</v>
      </c>
      <c r="O84" s="178" t="e">
        <f t="shared" si="81"/>
        <v>#DIV/0!</v>
      </c>
      <c r="P84" s="178" t="e">
        <f t="shared" si="81"/>
        <v>#DIV/0!</v>
      </c>
      <c r="Q84" s="178" t="e">
        <f t="shared" si="81"/>
        <v>#DIV/0!</v>
      </c>
      <c r="R84" s="179" t="e">
        <f t="shared" si="81"/>
        <v>#DIV/0!</v>
      </c>
      <c r="S84" s="169" t="e">
        <f t="shared" si="84"/>
        <v>#DIV/0!</v>
      </c>
      <c r="T84" s="179" t="e">
        <f t="shared" si="85"/>
        <v>#DIV/0!</v>
      </c>
      <c r="U84" s="180" t="e">
        <f t="shared" si="73"/>
        <v>#DIV/0!</v>
      </c>
      <c r="V84" s="178" t="e">
        <f t="shared" si="66"/>
        <v>#DIV/0!</v>
      </c>
      <c r="W84" s="178" t="e">
        <f t="shared" si="66"/>
        <v>#DIV/0!</v>
      </c>
      <c r="X84" s="178" t="e">
        <f t="shared" si="66"/>
        <v>#DIV/0!</v>
      </c>
      <c r="Y84" s="178" t="e">
        <f t="shared" si="66"/>
        <v>#DIV/0!</v>
      </c>
      <c r="Z84" s="178" t="e">
        <f t="shared" si="66"/>
        <v>#DIV/0!</v>
      </c>
      <c r="AA84" s="178" t="e">
        <f t="shared" si="66"/>
        <v>#DIV/0!</v>
      </c>
      <c r="AB84" s="178" t="e">
        <f t="shared" si="66"/>
        <v>#DIV/0!</v>
      </c>
      <c r="AC84" s="178" t="e">
        <f t="shared" si="66"/>
        <v>#DIV/0!</v>
      </c>
      <c r="AD84" s="178" t="e">
        <f t="shared" si="66"/>
        <v>#DIV/0!</v>
      </c>
      <c r="AE84" s="178" t="e">
        <f t="shared" si="66"/>
        <v>#DIV/0!</v>
      </c>
      <c r="AF84" s="168" t="e">
        <f t="shared" si="66"/>
        <v>#DIV/0!</v>
      </c>
      <c r="AG84" s="169" t="e">
        <f t="shared" si="86"/>
        <v>#DIV/0!</v>
      </c>
      <c r="AH84" s="179" t="e">
        <f t="shared" si="87"/>
        <v>#DIV/0!</v>
      </c>
      <c r="AI84" s="180" t="e">
        <f t="shared" si="74"/>
        <v>#DIV/0!</v>
      </c>
      <c r="AJ84" s="178" t="e">
        <f t="shared" si="74"/>
        <v>#DIV/0!</v>
      </c>
      <c r="AK84" s="178" t="e">
        <f t="shared" si="74"/>
        <v>#DIV/0!</v>
      </c>
      <c r="AL84" s="178" t="e">
        <f t="shared" si="74"/>
        <v>#DIV/0!</v>
      </c>
      <c r="AM84" s="178" t="e">
        <f t="shared" si="74"/>
        <v>#DIV/0!</v>
      </c>
      <c r="AN84" s="178" t="e">
        <f t="shared" si="74"/>
        <v>#DIV/0!</v>
      </c>
      <c r="AO84" s="178" t="e">
        <f t="shared" si="74"/>
        <v>#DIV/0!</v>
      </c>
      <c r="AP84" s="178" t="e">
        <f t="shared" si="74"/>
        <v>#DIV/0!</v>
      </c>
      <c r="AQ84" s="178" t="e">
        <f t="shared" si="74"/>
        <v>#DIV/0!</v>
      </c>
      <c r="AR84" s="178" t="e">
        <f t="shared" si="74"/>
        <v>#DIV/0!</v>
      </c>
      <c r="AS84" s="178" t="e">
        <f t="shared" si="74"/>
        <v>#DIV/0!</v>
      </c>
      <c r="AT84" s="168" t="e">
        <f t="shared" si="74"/>
        <v>#DIV/0!</v>
      </c>
      <c r="AU84" s="169" t="e">
        <f t="shared" si="88"/>
        <v>#DIV/0!</v>
      </c>
      <c r="AV84" s="179" t="e">
        <f t="shared" si="89"/>
        <v>#DIV/0!</v>
      </c>
      <c r="AW84" s="180" t="e">
        <f t="shared" si="75"/>
        <v>#DIV/0!</v>
      </c>
      <c r="AX84" s="178" t="e">
        <f t="shared" si="67"/>
        <v>#DIV/0!</v>
      </c>
      <c r="AY84" s="178" t="e">
        <f t="shared" si="67"/>
        <v>#DIV/0!</v>
      </c>
      <c r="AZ84" s="178" t="e">
        <f t="shared" si="67"/>
        <v>#DIV/0!</v>
      </c>
      <c r="BA84" s="178" t="e">
        <f t="shared" si="67"/>
        <v>#DIV/0!</v>
      </c>
      <c r="BB84" s="178" t="e">
        <f t="shared" si="67"/>
        <v>#DIV/0!</v>
      </c>
      <c r="BC84" s="178" t="e">
        <f t="shared" si="67"/>
        <v>#DIV/0!</v>
      </c>
      <c r="BD84" s="178" t="e">
        <f t="shared" si="67"/>
        <v>#DIV/0!</v>
      </c>
      <c r="BE84" s="178" t="e">
        <f t="shared" si="67"/>
        <v>#DIV/0!</v>
      </c>
      <c r="BF84" s="178" t="e">
        <f t="shared" si="67"/>
        <v>#DIV/0!</v>
      </c>
      <c r="BG84" s="178" t="e">
        <f t="shared" si="67"/>
        <v>#DIV/0!</v>
      </c>
      <c r="BH84" s="168" t="e">
        <f t="shared" si="67"/>
        <v>#DIV/0!</v>
      </c>
      <c r="BI84" s="169" t="e">
        <f t="shared" si="90"/>
        <v>#DIV/0!</v>
      </c>
      <c r="BJ84" s="179" t="e">
        <f t="shared" si="91"/>
        <v>#DIV/0!</v>
      </c>
      <c r="BK84" s="180" t="e">
        <f t="shared" si="76"/>
        <v>#DIV/0!</v>
      </c>
      <c r="BL84" s="178" t="e">
        <f t="shared" si="68"/>
        <v>#DIV/0!</v>
      </c>
      <c r="BM84" s="178" t="e">
        <f t="shared" si="68"/>
        <v>#DIV/0!</v>
      </c>
      <c r="BN84" s="178" t="e">
        <f t="shared" si="68"/>
        <v>#DIV/0!</v>
      </c>
      <c r="BO84" s="178" t="e">
        <f t="shared" si="68"/>
        <v>#DIV/0!</v>
      </c>
      <c r="BP84" s="178" t="e">
        <f t="shared" si="68"/>
        <v>#DIV/0!</v>
      </c>
      <c r="BQ84" s="178" t="e">
        <f t="shared" si="68"/>
        <v>#DIV/0!</v>
      </c>
      <c r="BR84" s="178" t="e">
        <f t="shared" si="68"/>
        <v>#DIV/0!</v>
      </c>
      <c r="BS84" s="178" t="e">
        <f t="shared" si="68"/>
        <v>#DIV/0!</v>
      </c>
      <c r="BT84" s="178" t="e">
        <f t="shared" si="68"/>
        <v>#DIV/0!</v>
      </c>
      <c r="BU84" s="178" t="e">
        <f t="shared" si="68"/>
        <v>#DIV/0!</v>
      </c>
      <c r="BV84" s="168" t="e">
        <f t="shared" si="68"/>
        <v>#DIV/0!</v>
      </c>
      <c r="BW84" s="169" t="e">
        <f t="shared" si="92"/>
        <v>#DIV/0!</v>
      </c>
      <c r="BX84" s="179" t="e">
        <f t="shared" si="93"/>
        <v>#DIV/0!</v>
      </c>
      <c r="BY84" s="180" t="e">
        <f t="shared" si="77"/>
        <v>#DIV/0!</v>
      </c>
      <c r="BZ84" s="178" t="e">
        <f t="shared" si="69"/>
        <v>#DIV/0!</v>
      </c>
      <c r="CA84" s="178" t="e">
        <f t="shared" si="69"/>
        <v>#DIV/0!</v>
      </c>
      <c r="CB84" s="178" t="e">
        <f t="shared" si="69"/>
        <v>#DIV/0!</v>
      </c>
      <c r="CC84" s="178" t="e">
        <f t="shared" si="69"/>
        <v>#DIV/0!</v>
      </c>
      <c r="CD84" s="178" t="e">
        <f t="shared" si="69"/>
        <v>#DIV/0!</v>
      </c>
      <c r="CE84" s="178" t="e">
        <f t="shared" si="69"/>
        <v>#DIV/0!</v>
      </c>
      <c r="CF84" s="178" t="e">
        <f t="shared" si="69"/>
        <v>#DIV/0!</v>
      </c>
      <c r="CG84" s="178" t="e">
        <f t="shared" si="69"/>
        <v>#DIV/0!</v>
      </c>
      <c r="CH84" s="178" t="e">
        <f t="shared" si="69"/>
        <v>#DIV/0!</v>
      </c>
      <c r="CI84" s="178" t="e">
        <f t="shared" si="69"/>
        <v>#DIV/0!</v>
      </c>
      <c r="CJ84" s="168" t="e">
        <f t="shared" si="69"/>
        <v>#DIV/0!</v>
      </c>
      <c r="CK84" s="169" t="e">
        <f t="shared" si="94"/>
        <v>#DIV/0!</v>
      </c>
      <c r="CL84" s="179" t="e">
        <f t="shared" si="95"/>
        <v>#DIV/0!</v>
      </c>
      <c r="CM84" s="180" t="e">
        <f t="shared" si="78"/>
        <v>#DIV/0!</v>
      </c>
      <c r="CN84" s="178" t="e">
        <f t="shared" si="70"/>
        <v>#DIV/0!</v>
      </c>
      <c r="CO84" s="178" t="e">
        <f t="shared" si="70"/>
        <v>#DIV/0!</v>
      </c>
      <c r="CP84" s="178" t="e">
        <f t="shared" si="70"/>
        <v>#DIV/0!</v>
      </c>
      <c r="CQ84" s="178" t="e">
        <f t="shared" si="70"/>
        <v>#DIV/0!</v>
      </c>
      <c r="CR84" s="178" t="e">
        <f t="shared" si="70"/>
        <v>#DIV/0!</v>
      </c>
      <c r="CS84" s="178" t="e">
        <f t="shared" si="70"/>
        <v>#DIV/0!</v>
      </c>
      <c r="CT84" s="178" t="e">
        <f t="shared" si="70"/>
        <v>#DIV/0!</v>
      </c>
      <c r="CU84" s="178" t="e">
        <f t="shared" si="70"/>
        <v>#DIV/0!</v>
      </c>
      <c r="CV84" s="178" t="e">
        <f t="shared" si="70"/>
        <v>#DIV/0!</v>
      </c>
      <c r="CW84" s="178" t="e">
        <f t="shared" si="70"/>
        <v>#DIV/0!</v>
      </c>
      <c r="CX84" s="168" t="e">
        <f t="shared" si="70"/>
        <v>#DIV/0!</v>
      </c>
      <c r="CY84" s="169" t="e">
        <f t="shared" si="96"/>
        <v>#DIV/0!</v>
      </c>
      <c r="CZ84" s="179" t="e">
        <f t="shared" si="97"/>
        <v>#DIV/0!</v>
      </c>
      <c r="DA84" s="180" t="e">
        <f t="shared" si="79"/>
        <v>#DIV/0!</v>
      </c>
      <c r="DB84" s="178" t="e">
        <f t="shared" si="71"/>
        <v>#DIV/0!</v>
      </c>
      <c r="DC84" s="178" t="e">
        <f t="shared" si="71"/>
        <v>#DIV/0!</v>
      </c>
      <c r="DD84" s="178" t="e">
        <f t="shared" si="71"/>
        <v>#DIV/0!</v>
      </c>
      <c r="DE84" s="178" t="e">
        <f t="shared" si="71"/>
        <v>#DIV/0!</v>
      </c>
      <c r="DF84" s="178" t="e">
        <f t="shared" si="71"/>
        <v>#DIV/0!</v>
      </c>
      <c r="DG84" s="178" t="e">
        <f t="shared" si="71"/>
        <v>#DIV/0!</v>
      </c>
      <c r="DH84" s="178" t="e">
        <f t="shared" si="71"/>
        <v>#DIV/0!</v>
      </c>
      <c r="DI84" s="178" t="e">
        <f t="shared" si="71"/>
        <v>#DIV/0!</v>
      </c>
      <c r="DJ84" s="178" t="e">
        <f t="shared" si="71"/>
        <v>#DIV/0!</v>
      </c>
      <c r="DK84" s="178" t="e">
        <f t="shared" si="71"/>
        <v>#DIV/0!</v>
      </c>
      <c r="DL84" s="168" t="e">
        <f t="shared" si="71"/>
        <v>#DIV/0!</v>
      </c>
      <c r="DM84" s="169" t="e">
        <f t="shared" si="98"/>
        <v>#DIV/0!</v>
      </c>
      <c r="DN84" s="171" t="e">
        <f t="shared" si="99"/>
        <v>#DIV/0!</v>
      </c>
      <c r="DO84" s="180" t="e">
        <f t="shared" si="80"/>
        <v>#DIV/0!</v>
      </c>
      <c r="DP84" s="178" t="e">
        <f t="shared" si="72"/>
        <v>#DIV/0!</v>
      </c>
      <c r="DQ84" s="178" t="e">
        <f t="shared" si="72"/>
        <v>#DIV/0!</v>
      </c>
      <c r="DR84" s="178" t="e">
        <f t="shared" si="72"/>
        <v>#DIV/0!</v>
      </c>
      <c r="DS84" s="178" t="e">
        <f t="shared" si="72"/>
        <v>#DIV/0!</v>
      </c>
      <c r="DT84" s="178" t="e">
        <f t="shared" si="72"/>
        <v>#DIV/0!</v>
      </c>
      <c r="DU84" s="178" t="e">
        <f t="shared" si="72"/>
        <v>#DIV/0!</v>
      </c>
      <c r="DV84" s="178" t="e">
        <f t="shared" si="72"/>
        <v>#DIV/0!</v>
      </c>
      <c r="DW84" s="178" t="e">
        <f t="shared" si="72"/>
        <v>#DIV/0!</v>
      </c>
      <c r="DX84" s="178" t="e">
        <f t="shared" si="72"/>
        <v>#DIV/0!</v>
      </c>
      <c r="DY84" s="178" t="e">
        <f t="shared" si="72"/>
        <v>#DIV/0!</v>
      </c>
      <c r="DZ84" s="168" t="e">
        <f t="shared" si="72"/>
        <v>#DIV/0!</v>
      </c>
      <c r="EA84" s="169" t="e">
        <f t="shared" si="100"/>
        <v>#DIV/0!</v>
      </c>
      <c r="EB84" s="171" t="e">
        <f t="shared" si="101"/>
        <v>#DIV/0!</v>
      </c>
    </row>
    <row r="85" spans="1:132" s="177" customFormat="1" ht="15.75">
      <c r="A85" s="163"/>
      <c r="B85" s="164"/>
      <c r="C85" s="165"/>
      <c r="D85" s="182"/>
      <c r="E85" s="167"/>
      <c r="F85" s="168" t="e">
        <f t="shared" si="83"/>
        <v>#DIV/0!</v>
      </c>
      <c r="G85" s="169" t="e">
        <f t="shared" si="82"/>
        <v>#DIV/0!</v>
      </c>
      <c r="H85" s="178" t="e">
        <f t="shared" si="81"/>
        <v>#DIV/0!</v>
      </c>
      <c r="I85" s="178" t="e">
        <f t="shared" si="81"/>
        <v>#DIV/0!</v>
      </c>
      <c r="J85" s="178" t="e">
        <f t="shared" si="81"/>
        <v>#DIV/0!</v>
      </c>
      <c r="K85" s="178" t="e">
        <f t="shared" si="81"/>
        <v>#DIV/0!</v>
      </c>
      <c r="L85" s="178" t="e">
        <f t="shared" si="81"/>
        <v>#DIV/0!</v>
      </c>
      <c r="M85" s="178" t="e">
        <f t="shared" si="81"/>
        <v>#DIV/0!</v>
      </c>
      <c r="N85" s="178" t="e">
        <f t="shared" si="81"/>
        <v>#DIV/0!</v>
      </c>
      <c r="O85" s="178" t="e">
        <f t="shared" si="81"/>
        <v>#DIV/0!</v>
      </c>
      <c r="P85" s="178" t="e">
        <f t="shared" si="81"/>
        <v>#DIV/0!</v>
      </c>
      <c r="Q85" s="178" t="e">
        <f t="shared" si="81"/>
        <v>#DIV/0!</v>
      </c>
      <c r="R85" s="179" t="e">
        <f t="shared" si="81"/>
        <v>#DIV/0!</v>
      </c>
      <c r="S85" s="169" t="e">
        <f t="shared" si="84"/>
        <v>#DIV/0!</v>
      </c>
      <c r="T85" s="179" t="e">
        <f t="shared" si="85"/>
        <v>#DIV/0!</v>
      </c>
      <c r="U85" s="180" t="e">
        <f t="shared" si="73"/>
        <v>#DIV/0!</v>
      </c>
      <c r="V85" s="178" t="e">
        <f t="shared" si="66"/>
        <v>#DIV/0!</v>
      </c>
      <c r="W85" s="178" t="e">
        <f t="shared" si="66"/>
        <v>#DIV/0!</v>
      </c>
      <c r="X85" s="178" t="e">
        <f t="shared" si="66"/>
        <v>#DIV/0!</v>
      </c>
      <c r="Y85" s="178" t="e">
        <f t="shared" si="66"/>
        <v>#DIV/0!</v>
      </c>
      <c r="Z85" s="178" t="e">
        <f t="shared" si="66"/>
        <v>#DIV/0!</v>
      </c>
      <c r="AA85" s="178" t="e">
        <f t="shared" si="66"/>
        <v>#DIV/0!</v>
      </c>
      <c r="AB85" s="178" t="e">
        <f t="shared" si="66"/>
        <v>#DIV/0!</v>
      </c>
      <c r="AC85" s="178" t="e">
        <f t="shared" si="66"/>
        <v>#DIV/0!</v>
      </c>
      <c r="AD85" s="178" t="e">
        <f t="shared" si="66"/>
        <v>#DIV/0!</v>
      </c>
      <c r="AE85" s="178" t="e">
        <f t="shared" si="66"/>
        <v>#DIV/0!</v>
      </c>
      <c r="AF85" s="168" t="e">
        <f t="shared" si="66"/>
        <v>#DIV/0!</v>
      </c>
      <c r="AG85" s="169" t="e">
        <f t="shared" si="86"/>
        <v>#DIV/0!</v>
      </c>
      <c r="AH85" s="179" t="e">
        <f t="shared" si="87"/>
        <v>#DIV/0!</v>
      </c>
      <c r="AI85" s="180" t="e">
        <f t="shared" si="74"/>
        <v>#DIV/0!</v>
      </c>
      <c r="AJ85" s="178" t="e">
        <f t="shared" si="74"/>
        <v>#DIV/0!</v>
      </c>
      <c r="AK85" s="178" t="e">
        <f t="shared" si="74"/>
        <v>#DIV/0!</v>
      </c>
      <c r="AL85" s="178" t="e">
        <f t="shared" si="74"/>
        <v>#DIV/0!</v>
      </c>
      <c r="AM85" s="178" t="e">
        <f t="shared" si="74"/>
        <v>#DIV/0!</v>
      </c>
      <c r="AN85" s="178" t="e">
        <f t="shared" si="74"/>
        <v>#DIV/0!</v>
      </c>
      <c r="AO85" s="178" t="e">
        <f t="shared" si="74"/>
        <v>#DIV/0!</v>
      </c>
      <c r="AP85" s="178" t="e">
        <f t="shared" si="74"/>
        <v>#DIV/0!</v>
      </c>
      <c r="AQ85" s="178" t="e">
        <f t="shared" si="74"/>
        <v>#DIV/0!</v>
      </c>
      <c r="AR85" s="178" t="e">
        <f t="shared" si="74"/>
        <v>#DIV/0!</v>
      </c>
      <c r="AS85" s="178" t="e">
        <f t="shared" si="74"/>
        <v>#DIV/0!</v>
      </c>
      <c r="AT85" s="168" t="e">
        <f t="shared" si="74"/>
        <v>#DIV/0!</v>
      </c>
      <c r="AU85" s="169" t="e">
        <f t="shared" si="88"/>
        <v>#DIV/0!</v>
      </c>
      <c r="AV85" s="179" t="e">
        <f t="shared" si="89"/>
        <v>#DIV/0!</v>
      </c>
      <c r="AW85" s="180" t="e">
        <f t="shared" si="75"/>
        <v>#DIV/0!</v>
      </c>
      <c r="AX85" s="178" t="e">
        <f t="shared" si="67"/>
        <v>#DIV/0!</v>
      </c>
      <c r="AY85" s="178" t="e">
        <f t="shared" si="67"/>
        <v>#DIV/0!</v>
      </c>
      <c r="AZ85" s="178" t="e">
        <f t="shared" si="67"/>
        <v>#DIV/0!</v>
      </c>
      <c r="BA85" s="178" t="e">
        <f t="shared" si="67"/>
        <v>#DIV/0!</v>
      </c>
      <c r="BB85" s="178" t="e">
        <f t="shared" si="67"/>
        <v>#DIV/0!</v>
      </c>
      <c r="BC85" s="178" t="e">
        <f t="shared" si="67"/>
        <v>#DIV/0!</v>
      </c>
      <c r="BD85" s="178" t="e">
        <f t="shared" si="67"/>
        <v>#DIV/0!</v>
      </c>
      <c r="BE85" s="178" t="e">
        <f t="shared" si="67"/>
        <v>#DIV/0!</v>
      </c>
      <c r="BF85" s="178" t="e">
        <f t="shared" si="67"/>
        <v>#DIV/0!</v>
      </c>
      <c r="BG85" s="178" t="e">
        <f t="shared" si="67"/>
        <v>#DIV/0!</v>
      </c>
      <c r="BH85" s="168" t="e">
        <f t="shared" si="67"/>
        <v>#DIV/0!</v>
      </c>
      <c r="BI85" s="169" t="e">
        <f t="shared" si="90"/>
        <v>#DIV/0!</v>
      </c>
      <c r="BJ85" s="179" t="e">
        <f t="shared" si="91"/>
        <v>#DIV/0!</v>
      </c>
      <c r="BK85" s="180" t="e">
        <f t="shared" si="76"/>
        <v>#DIV/0!</v>
      </c>
      <c r="BL85" s="178" t="e">
        <f t="shared" si="68"/>
        <v>#DIV/0!</v>
      </c>
      <c r="BM85" s="178" t="e">
        <f t="shared" si="68"/>
        <v>#DIV/0!</v>
      </c>
      <c r="BN85" s="178" t="e">
        <f t="shared" si="68"/>
        <v>#DIV/0!</v>
      </c>
      <c r="BO85" s="178" t="e">
        <f t="shared" si="68"/>
        <v>#DIV/0!</v>
      </c>
      <c r="BP85" s="178" t="e">
        <f t="shared" si="68"/>
        <v>#DIV/0!</v>
      </c>
      <c r="BQ85" s="178" t="e">
        <f t="shared" si="68"/>
        <v>#DIV/0!</v>
      </c>
      <c r="BR85" s="178" t="e">
        <f t="shared" si="68"/>
        <v>#DIV/0!</v>
      </c>
      <c r="BS85" s="178" t="e">
        <f t="shared" si="68"/>
        <v>#DIV/0!</v>
      </c>
      <c r="BT85" s="178" t="e">
        <f t="shared" si="68"/>
        <v>#DIV/0!</v>
      </c>
      <c r="BU85" s="178" t="e">
        <f t="shared" si="68"/>
        <v>#DIV/0!</v>
      </c>
      <c r="BV85" s="168" t="e">
        <f t="shared" si="68"/>
        <v>#DIV/0!</v>
      </c>
      <c r="BW85" s="169" t="e">
        <f t="shared" si="92"/>
        <v>#DIV/0!</v>
      </c>
      <c r="BX85" s="179" t="e">
        <f t="shared" si="93"/>
        <v>#DIV/0!</v>
      </c>
      <c r="BY85" s="180" t="e">
        <f t="shared" si="77"/>
        <v>#DIV/0!</v>
      </c>
      <c r="BZ85" s="178" t="e">
        <f t="shared" si="69"/>
        <v>#DIV/0!</v>
      </c>
      <c r="CA85" s="178" t="e">
        <f t="shared" si="69"/>
        <v>#DIV/0!</v>
      </c>
      <c r="CB85" s="178" t="e">
        <f t="shared" si="69"/>
        <v>#DIV/0!</v>
      </c>
      <c r="CC85" s="178" t="e">
        <f t="shared" si="69"/>
        <v>#DIV/0!</v>
      </c>
      <c r="CD85" s="178" t="e">
        <f t="shared" si="69"/>
        <v>#DIV/0!</v>
      </c>
      <c r="CE85" s="178" t="e">
        <f t="shared" si="69"/>
        <v>#DIV/0!</v>
      </c>
      <c r="CF85" s="178" t="e">
        <f t="shared" si="69"/>
        <v>#DIV/0!</v>
      </c>
      <c r="CG85" s="178" t="e">
        <f t="shared" si="69"/>
        <v>#DIV/0!</v>
      </c>
      <c r="CH85" s="178" t="e">
        <f t="shared" si="69"/>
        <v>#DIV/0!</v>
      </c>
      <c r="CI85" s="178" t="e">
        <f t="shared" si="69"/>
        <v>#DIV/0!</v>
      </c>
      <c r="CJ85" s="168" t="e">
        <f t="shared" si="69"/>
        <v>#DIV/0!</v>
      </c>
      <c r="CK85" s="169" t="e">
        <f t="shared" si="94"/>
        <v>#DIV/0!</v>
      </c>
      <c r="CL85" s="179" t="e">
        <f t="shared" si="95"/>
        <v>#DIV/0!</v>
      </c>
      <c r="CM85" s="180" t="e">
        <f t="shared" si="78"/>
        <v>#DIV/0!</v>
      </c>
      <c r="CN85" s="178" t="e">
        <f t="shared" si="70"/>
        <v>#DIV/0!</v>
      </c>
      <c r="CO85" s="178" t="e">
        <f t="shared" si="70"/>
        <v>#DIV/0!</v>
      </c>
      <c r="CP85" s="178" t="e">
        <f t="shared" si="70"/>
        <v>#DIV/0!</v>
      </c>
      <c r="CQ85" s="178" t="e">
        <f t="shared" si="70"/>
        <v>#DIV/0!</v>
      </c>
      <c r="CR85" s="178" t="e">
        <f t="shared" si="70"/>
        <v>#DIV/0!</v>
      </c>
      <c r="CS85" s="178" t="e">
        <f t="shared" si="70"/>
        <v>#DIV/0!</v>
      </c>
      <c r="CT85" s="178" t="e">
        <f t="shared" si="70"/>
        <v>#DIV/0!</v>
      </c>
      <c r="CU85" s="178" t="e">
        <f t="shared" si="70"/>
        <v>#DIV/0!</v>
      </c>
      <c r="CV85" s="178" t="e">
        <f t="shared" si="70"/>
        <v>#DIV/0!</v>
      </c>
      <c r="CW85" s="178" t="e">
        <f t="shared" si="70"/>
        <v>#DIV/0!</v>
      </c>
      <c r="CX85" s="168" t="e">
        <f t="shared" si="70"/>
        <v>#DIV/0!</v>
      </c>
      <c r="CY85" s="169" t="e">
        <f t="shared" si="96"/>
        <v>#DIV/0!</v>
      </c>
      <c r="CZ85" s="179" t="e">
        <f t="shared" si="97"/>
        <v>#DIV/0!</v>
      </c>
      <c r="DA85" s="180" t="e">
        <f t="shared" si="79"/>
        <v>#DIV/0!</v>
      </c>
      <c r="DB85" s="178" t="e">
        <f t="shared" si="71"/>
        <v>#DIV/0!</v>
      </c>
      <c r="DC85" s="178" t="e">
        <f t="shared" si="71"/>
        <v>#DIV/0!</v>
      </c>
      <c r="DD85" s="178" t="e">
        <f t="shared" si="71"/>
        <v>#DIV/0!</v>
      </c>
      <c r="DE85" s="178" t="e">
        <f t="shared" si="71"/>
        <v>#DIV/0!</v>
      </c>
      <c r="DF85" s="178" t="e">
        <f t="shared" si="71"/>
        <v>#DIV/0!</v>
      </c>
      <c r="DG85" s="178" t="e">
        <f t="shared" si="71"/>
        <v>#DIV/0!</v>
      </c>
      <c r="DH85" s="178" t="e">
        <f t="shared" si="71"/>
        <v>#DIV/0!</v>
      </c>
      <c r="DI85" s="178" t="e">
        <f t="shared" si="71"/>
        <v>#DIV/0!</v>
      </c>
      <c r="DJ85" s="178" t="e">
        <f t="shared" si="71"/>
        <v>#DIV/0!</v>
      </c>
      <c r="DK85" s="178" t="e">
        <f t="shared" si="71"/>
        <v>#DIV/0!</v>
      </c>
      <c r="DL85" s="168" t="e">
        <f t="shared" si="71"/>
        <v>#DIV/0!</v>
      </c>
      <c r="DM85" s="169" t="e">
        <f t="shared" si="98"/>
        <v>#DIV/0!</v>
      </c>
      <c r="DN85" s="171" t="e">
        <f t="shared" si="99"/>
        <v>#DIV/0!</v>
      </c>
      <c r="DO85" s="180" t="e">
        <f t="shared" si="80"/>
        <v>#DIV/0!</v>
      </c>
      <c r="DP85" s="178" t="e">
        <f t="shared" si="72"/>
        <v>#DIV/0!</v>
      </c>
      <c r="DQ85" s="178" t="e">
        <f t="shared" si="72"/>
        <v>#DIV/0!</v>
      </c>
      <c r="DR85" s="178" t="e">
        <f t="shared" si="72"/>
        <v>#DIV/0!</v>
      </c>
      <c r="DS85" s="178" t="e">
        <f t="shared" si="72"/>
        <v>#DIV/0!</v>
      </c>
      <c r="DT85" s="178" t="e">
        <f t="shared" si="72"/>
        <v>#DIV/0!</v>
      </c>
      <c r="DU85" s="178" t="e">
        <f t="shared" si="72"/>
        <v>#DIV/0!</v>
      </c>
      <c r="DV85" s="178" t="e">
        <f t="shared" si="72"/>
        <v>#DIV/0!</v>
      </c>
      <c r="DW85" s="178" t="e">
        <f t="shared" si="72"/>
        <v>#DIV/0!</v>
      </c>
      <c r="DX85" s="178" t="e">
        <f t="shared" si="72"/>
        <v>#DIV/0!</v>
      </c>
      <c r="DY85" s="178" t="e">
        <f t="shared" si="72"/>
        <v>#DIV/0!</v>
      </c>
      <c r="DZ85" s="168" t="e">
        <f t="shared" si="72"/>
        <v>#DIV/0!</v>
      </c>
      <c r="EA85" s="169" t="e">
        <f t="shared" si="100"/>
        <v>#DIV/0!</v>
      </c>
      <c r="EB85" s="171" t="e">
        <f t="shared" si="101"/>
        <v>#DIV/0!</v>
      </c>
    </row>
    <row r="86" spans="1:132" s="177" customFormat="1" ht="15.75">
      <c r="A86" s="163"/>
      <c r="B86" s="164"/>
      <c r="C86" s="165"/>
      <c r="D86" s="182"/>
      <c r="E86" s="167"/>
      <c r="F86" s="168" t="e">
        <f t="shared" si="83"/>
        <v>#DIV/0!</v>
      </c>
      <c r="G86" s="169" t="e">
        <f t="shared" si="82"/>
        <v>#DIV/0!</v>
      </c>
      <c r="H86" s="178" t="e">
        <f t="shared" si="81"/>
        <v>#DIV/0!</v>
      </c>
      <c r="I86" s="178" t="e">
        <f t="shared" si="81"/>
        <v>#DIV/0!</v>
      </c>
      <c r="J86" s="178" t="e">
        <f t="shared" si="81"/>
        <v>#DIV/0!</v>
      </c>
      <c r="K86" s="178" t="e">
        <f t="shared" si="81"/>
        <v>#DIV/0!</v>
      </c>
      <c r="L86" s="178" t="e">
        <f t="shared" si="81"/>
        <v>#DIV/0!</v>
      </c>
      <c r="M86" s="178" t="e">
        <f t="shared" si="81"/>
        <v>#DIV/0!</v>
      </c>
      <c r="N86" s="178" t="e">
        <f t="shared" si="81"/>
        <v>#DIV/0!</v>
      </c>
      <c r="O86" s="178" t="e">
        <f t="shared" si="81"/>
        <v>#DIV/0!</v>
      </c>
      <c r="P86" s="178" t="e">
        <f t="shared" si="81"/>
        <v>#DIV/0!</v>
      </c>
      <c r="Q86" s="178" t="e">
        <f t="shared" si="81"/>
        <v>#DIV/0!</v>
      </c>
      <c r="R86" s="179" t="e">
        <f t="shared" si="81"/>
        <v>#DIV/0!</v>
      </c>
      <c r="S86" s="169" t="e">
        <f t="shared" si="84"/>
        <v>#DIV/0!</v>
      </c>
      <c r="T86" s="179" t="e">
        <f t="shared" si="85"/>
        <v>#DIV/0!</v>
      </c>
      <c r="U86" s="180" t="e">
        <f t="shared" si="73"/>
        <v>#DIV/0!</v>
      </c>
      <c r="V86" s="178" t="e">
        <f t="shared" si="66"/>
        <v>#DIV/0!</v>
      </c>
      <c r="W86" s="178" t="e">
        <f t="shared" si="66"/>
        <v>#DIV/0!</v>
      </c>
      <c r="X86" s="178" t="e">
        <f t="shared" si="66"/>
        <v>#DIV/0!</v>
      </c>
      <c r="Y86" s="178" t="e">
        <f t="shared" si="66"/>
        <v>#DIV/0!</v>
      </c>
      <c r="Z86" s="178" t="e">
        <f t="shared" si="66"/>
        <v>#DIV/0!</v>
      </c>
      <c r="AA86" s="178" t="e">
        <f t="shared" si="66"/>
        <v>#DIV/0!</v>
      </c>
      <c r="AB86" s="178" t="e">
        <f t="shared" si="66"/>
        <v>#DIV/0!</v>
      </c>
      <c r="AC86" s="178" t="e">
        <f t="shared" si="66"/>
        <v>#DIV/0!</v>
      </c>
      <c r="AD86" s="178" t="e">
        <f t="shared" si="66"/>
        <v>#DIV/0!</v>
      </c>
      <c r="AE86" s="178" t="e">
        <f t="shared" si="66"/>
        <v>#DIV/0!</v>
      </c>
      <c r="AF86" s="168" t="e">
        <f t="shared" si="66"/>
        <v>#DIV/0!</v>
      </c>
      <c r="AG86" s="169" t="e">
        <f t="shared" si="86"/>
        <v>#DIV/0!</v>
      </c>
      <c r="AH86" s="179" t="e">
        <f t="shared" si="87"/>
        <v>#DIV/0!</v>
      </c>
      <c r="AI86" s="180" t="e">
        <f t="shared" si="74"/>
        <v>#DIV/0!</v>
      </c>
      <c r="AJ86" s="178" t="e">
        <f t="shared" si="74"/>
        <v>#DIV/0!</v>
      </c>
      <c r="AK86" s="178" t="e">
        <f t="shared" si="74"/>
        <v>#DIV/0!</v>
      </c>
      <c r="AL86" s="178" t="e">
        <f t="shared" ref="AJ86:AT109" si="102">IF(OR($F86&lt;=0,(AL$9-$A86)&gt;(365*$E86)),0,IF($A86&lt;=AL$9,$F86/12,0))</f>
        <v>#DIV/0!</v>
      </c>
      <c r="AM86" s="178" t="e">
        <f t="shared" si="102"/>
        <v>#DIV/0!</v>
      </c>
      <c r="AN86" s="178" t="e">
        <f t="shared" si="102"/>
        <v>#DIV/0!</v>
      </c>
      <c r="AO86" s="178" t="e">
        <f t="shared" si="102"/>
        <v>#DIV/0!</v>
      </c>
      <c r="AP86" s="178" t="e">
        <f t="shared" si="102"/>
        <v>#DIV/0!</v>
      </c>
      <c r="AQ86" s="178" t="e">
        <f t="shared" si="102"/>
        <v>#DIV/0!</v>
      </c>
      <c r="AR86" s="178" t="e">
        <f t="shared" si="102"/>
        <v>#DIV/0!</v>
      </c>
      <c r="AS86" s="178" t="e">
        <f t="shared" si="102"/>
        <v>#DIV/0!</v>
      </c>
      <c r="AT86" s="168" t="e">
        <f t="shared" si="102"/>
        <v>#DIV/0!</v>
      </c>
      <c r="AU86" s="169" t="e">
        <f t="shared" si="88"/>
        <v>#DIV/0!</v>
      </c>
      <c r="AV86" s="179" t="e">
        <f t="shared" si="89"/>
        <v>#DIV/0!</v>
      </c>
      <c r="AW86" s="180" t="e">
        <f t="shared" si="75"/>
        <v>#DIV/0!</v>
      </c>
      <c r="AX86" s="178" t="e">
        <f t="shared" si="67"/>
        <v>#DIV/0!</v>
      </c>
      <c r="AY86" s="178" t="e">
        <f t="shared" si="67"/>
        <v>#DIV/0!</v>
      </c>
      <c r="AZ86" s="178" t="e">
        <f t="shared" si="67"/>
        <v>#DIV/0!</v>
      </c>
      <c r="BA86" s="178" t="e">
        <f t="shared" si="67"/>
        <v>#DIV/0!</v>
      </c>
      <c r="BB86" s="178" t="e">
        <f t="shared" si="67"/>
        <v>#DIV/0!</v>
      </c>
      <c r="BC86" s="178" t="e">
        <f t="shared" si="67"/>
        <v>#DIV/0!</v>
      </c>
      <c r="BD86" s="178" t="e">
        <f t="shared" si="67"/>
        <v>#DIV/0!</v>
      </c>
      <c r="BE86" s="178" t="e">
        <f t="shared" si="67"/>
        <v>#DIV/0!</v>
      </c>
      <c r="BF86" s="178" t="e">
        <f t="shared" si="67"/>
        <v>#DIV/0!</v>
      </c>
      <c r="BG86" s="178" t="e">
        <f t="shared" si="67"/>
        <v>#DIV/0!</v>
      </c>
      <c r="BH86" s="168" t="e">
        <f t="shared" si="67"/>
        <v>#DIV/0!</v>
      </c>
      <c r="BI86" s="169" t="e">
        <f t="shared" si="90"/>
        <v>#DIV/0!</v>
      </c>
      <c r="BJ86" s="179" t="e">
        <f t="shared" si="91"/>
        <v>#DIV/0!</v>
      </c>
      <c r="BK86" s="180" t="e">
        <f t="shared" si="76"/>
        <v>#DIV/0!</v>
      </c>
      <c r="BL86" s="178" t="e">
        <f t="shared" si="68"/>
        <v>#DIV/0!</v>
      </c>
      <c r="BM86" s="178" t="e">
        <f t="shared" si="68"/>
        <v>#DIV/0!</v>
      </c>
      <c r="BN86" s="178" t="e">
        <f t="shared" si="68"/>
        <v>#DIV/0!</v>
      </c>
      <c r="BO86" s="178" t="e">
        <f t="shared" si="68"/>
        <v>#DIV/0!</v>
      </c>
      <c r="BP86" s="178" t="e">
        <f t="shared" si="68"/>
        <v>#DIV/0!</v>
      </c>
      <c r="BQ86" s="178" t="e">
        <f t="shared" si="68"/>
        <v>#DIV/0!</v>
      </c>
      <c r="BR86" s="178" t="e">
        <f t="shared" si="68"/>
        <v>#DIV/0!</v>
      </c>
      <c r="BS86" s="178" t="e">
        <f t="shared" si="68"/>
        <v>#DIV/0!</v>
      </c>
      <c r="BT86" s="178" t="e">
        <f t="shared" si="68"/>
        <v>#DIV/0!</v>
      </c>
      <c r="BU86" s="178" t="e">
        <f t="shared" si="68"/>
        <v>#DIV/0!</v>
      </c>
      <c r="BV86" s="168" t="e">
        <f t="shared" si="68"/>
        <v>#DIV/0!</v>
      </c>
      <c r="BW86" s="169" t="e">
        <f t="shared" si="92"/>
        <v>#DIV/0!</v>
      </c>
      <c r="BX86" s="179" t="e">
        <f t="shared" si="93"/>
        <v>#DIV/0!</v>
      </c>
      <c r="BY86" s="180" t="e">
        <f t="shared" si="77"/>
        <v>#DIV/0!</v>
      </c>
      <c r="BZ86" s="178" t="e">
        <f t="shared" si="69"/>
        <v>#DIV/0!</v>
      </c>
      <c r="CA86" s="178" t="e">
        <f t="shared" si="69"/>
        <v>#DIV/0!</v>
      </c>
      <c r="CB86" s="178" t="e">
        <f t="shared" si="69"/>
        <v>#DIV/0!</v>
      </c>
      <c r="CC86" s="178" t="e">
        <f t="shared" si="69"/>
        <v>#DIV/0!</v>
      </c>
      <c r="CD86" s="178" t="e">
        <f t="shared" si="69"/>
        <v>#DIV/0!</v>
      </c>
      <c r="CE86" s="178" t="e">
        <f t="shared" si="69"/>
        <v>#DIV/0!</v>
      </c>
      <c r="CF86" s="178" t="e">
        <f t="shared" si="69"/>
        <v>#DIV/0!</v>
      </c>
      <c r="CG86" s="178" t="e">
        <f t="shared" si="69"/>
        <v>#DIV/0!</v>
      </c>
      <c r="CH86" s="178" t="e">
        <f t="shared" si="69"/>
        <v>#DIV/0!</v>
      </c>
      <c r="CI86" s="178" t="e">
        <f t="shared" si="69"/>
        <v>#DIV/0!</v>
      </c>
      <c r="CJ86" s="168" t="e">
        <f t="shared" si="69"/>
        <v>#DIV/0!</v>
      </c>
      <c r="CK86" s="169" t="e">
        <f t="shared" si="94"/>
        <v>#DIV/0!</v>
      </c>
      <c r="CL86" s="179" t="e">
        <f t="shared" si="95"/>
        <v>#DIV/0!</v>
      </c>
      <c r="CM86" s="180" t="e">
        <f t="shared" si="78"/>
        <v>#DIV/0!</v>
      </c>
      <c r="CN86" s="178" t="e">
        <f t="shared" si="70"/>
        <v>#DIV/0!</v>
      </c>
      <c r="CO86" s="178" t="e">
        <f t="shared" si="70"/>
        <v>#DIV/0!</v>
      </c>
      <c r="CP86" s="178" t="e">
        <f t="shared" si="70"/>
        <v>#DIV/0!</v>
      </c>
      <c r="CQ86" s="178" t="e">
        <f t="shared" si="70"/>
        <v>#DIV/0!</v>
      </c>
      <c r="CR86" s="178" t="e">
        <f t="shared" si="70"/>
        <v>#DIV/0!</v>
      </c>
      <c r="CS86" s="178" t="e">
        <f t="shared" si="70"/>
        <v>#DIV/0!</v>
      </c>
      <c r="CT86" s="178" t="e">
        <f t="shared" si="70"/>
        <v>#DIV/0!</v>
      </c>
      <c r="CU86" s="178" t="e">
        <f t="shared" si="70"/>
        <v>#DIV/0!</v>
      </c>
      <c r="CV86" s="178" t="e">
        <f t="shared" si="70"/>
        <v>#DIV/0!</v>
      </c>
      <c r="CW86" s="178" t="e">
        <f t="shared" si="70"/>
        <v>#DIV/0!</v>
      </c>
      <c r="CX86" s="168" t="e">
        <f t="shared" si="70"/>
        <v>#DIV/0!</v>
      </c>
      <c r="CY86" s="169" t="e">
        <f t="shared" si="96"/>
        <v>#DIV/0!</v>
      </c>
      <c r="CZ86" s="179" t="e">
        <f t="shared" si="97"/>
        <v>#DIV/0!</v>
      </c>
      <c r="DA86" s="180" t="e">
        <f t="shared" si="79"/>
        <v>#DIV/0!</v>
      </c>
      <c r="DB86" s="178" t="e">
        <f t="shared" si="71"/>
        <v>#DIV/0!</v>
      </c>
      <c r="DC86" s="178" t="e">
        <f t="shared" si="71"/>
        <v>#DIV/0!</v>
      </c>
      <c r="DD86" s="178" t="e">
        <f t="shared" si="71"/>
        <v>#DIV/0!</v>
      </c>
      <c r="DE86" s="178" t="e">
        <f t="shared" si="71"/>
        <v>#DIV/0!</v>
      </c>
      <c r="DF86" s="178" t="e">
        <f t="shared" si="71"/>
        <v>#DIV/0!</v>
      </c>
      <c r="DG86" s="178" t="e">
        <f t="shared" si="71"/>
        <v>#DIV/0!</v>
      </c>
      <c r="DH86" s="178" t="e">
        <f t="shared" si="71"/>
        <v>#DIV/0!</v>
      </c>
      <c r="DI86" s="178" t="e">
        <f t="shared" si="71"/>
        <v>#DIV/0!</v>
      </c>
      <c r="DJ86" s="178" t="e">
        <f t="shared" si="71"/>
        <v>#DIV/0!</v>
      </c>
      <c r="DK86" s="178" t="e">
        <f t="shared" si="71"/>
        <v>#DIV/0!</v>
      </c>
      <c r="DL86" s="168" t="e">
        <f t="shared" si="71"/>
        <v>#DIV/0!</v>
      </c>
      <c r="DM86" s="169" t="e">
        <f t="shared" si="98"/>
        <v>#DIV/0!</v>
      </c>
      <c r="DN86" s="171" t="e">
        <f t="shared" si="99"/>
        <v>#DIV/0!</v>
      </c>
      <c r="DO86" s="180" t="e">
        <f t="shared" si="80"/>
        <v>#DIV/0!</v>
      </c>
      <c r="DP86" s="178" t="e">
        <f t="shared" si="72"/>
        <v>#DIV/0!</v>
      </c>
      <c r="DQ86" s="178" t="e">
        <f t="shared" si="72"/>
        <v>#DIV/0!</v>
      </c>
      <c r="DR86" s="178" t="e">
        <f t="shared" si="72"/>
        <v>#DIV/0!</v>
      </c>
      <c r="DS86" s="178" t="e">
        <f t="shared" si="72"/>
        <v>#DIV/0!</v>
      </c>
      <c r="DT86" s="178" t="e">
        <f t="shared" si="72"/>
        <v>#DIV/0!</v>
      </c>
      <c r="DU86" s="178" t="e">
        <f t="shared" si="72"/>
        <v>#DIV/0!</v>
      </c>
      <c r="DV86" s="178" t="e">
        <f t="shared" si="72"/>
        <v>#DIV/0!</v>
      </c>
      <c r="DW86" s="178" t="e">
        <f t="shared" si="72"/>
        <v>#DIV/0!</v>
      </c>
      <c r="DX86" s="178" t="e">
        <f t="shared" si="72"/>
        <v>#DIV/0!</v>
      </c>
      <c r="DY86" s="178" t="e">
        <f t="shared" si="72"/>
        <v>#DIV/0!</v>
      </c>
      <c r="DZ86" s="168" t="e">
        <f t="shared" si="72"/>
        <v>#DIV/0!</v>
      </c>
      <c r="EA86" s="169" t="e">
        <f t="shared" si="100"/>
        <v>#DIV/0!</v>
      </c>
      <c r="EB86" s="171" t="e">
        <f t="shared" si="101"/>
        <v>#DIV/0!</v>
      </c>
    </row>
    <row r="87" spans="1:132" s="177" customFormat="1" ht="15.75">
      <c r="A87" s="163"/>
      <c r="B87" s="164"/>
      <c r="C87" s="165"/>
      <c r="D87" s="182"/>
      <c r="E87" s="167"/>
      <c r="F87" s="168" t="e">
        <f t="shared" si="83"/>
        <v>#DIV/0!</v>
      </c>
      <c r="G87" s="169" t="e">
        <f t="shared" si="82"/>
        <v>#DIV/0!</v>
      </c>
      <c r="H87" s="178" t="e">
        <f t="shared" si="81"/>
        <v>#DIV/0!</v>
      </c>
      <c r="I87" s="178" t="e">
        <f t="shared" si="81"/>
        <v>#DIV/0!</v>
      </c>
      <c r="J87" s="178" t="e">
        <f t="shared" si="81"/>
        <v>#DIV/0!</v>
      </c>
      <c r="K87" s="178" t="e">
        <f t="shared" si="81"/>
        <v>#DIV/0!</v>
      </c>
      <c r="L87" s="178" t="e">
        <f t="shared" si="81"/>
        <v>#DIV/0!</v>
      </c>
      <c r="M87" s="178" t="e">
        <f t="shared" si="81"/>
        <v>#DIV/0!</v>
      </c>
      <c r="N87" s="178" t="e">
        <f t="shared" si="81"/>
        <v>#DIV/0!</v>
      </c>
      <c r="O87" s="178" t="e">
        <f t="shared" si="81"/>
        <v>#DIV/0!</v>
      </c>
      <c r="P87" s="178" t="e">
        <f t="shared" si="81"/>
        <v>#DIV/0!</v>
      </c>
      <c r="Q87" s="178" t="e">
        <f t="shared" si="81"/>
        <v>#DIV/0!</v>
      </c>
      <c r="R87" s="179" t="e">
        <f t="shared" si="81"/>
        <v>#DIV/0!</v>
      </c>
      <c r="S87" s="169" t="e">
        <f t="shared" si="84"/>
        <v>#DIV/0!</v>
      </c>
      <c r="T87" s="179" t="e">
        <f t="shared" si="85"/>
        <v>#DIV/0!</v>
      </c>
      <c r="U87" s="180" t="e">
        <f t="shared" si="73"/>
        <v>#DIV/0!</v>
      </c>
      <c r="V87" s="178" t="e">
        <f t="shared" si="66"/>
        <v>#DIV/0!</v>
      </c>
      <c r="W87" s="178" t="e">
        <f t="shared" si="66"/>
        <v>#DIV/0!</v>
      </c>
      <c r="X87" s="178" t="e">
        <f t="shared" si="66"/>
        <v>#DIV/0!</v>
      </c>
      <c r="Y87" s="178" t="e">
        <f t="shared" si="66"/>
        <v>#DIV/0!</v>
      </c>
      <c r="Z87" s="178" t="e">
        <f t="shared" ref="Z87:AF87" si="103">IF(OR($F87&lt;=0,(Z$9-$A87)&gt;(365*$E87)),0,IF($A87&lt;=Z$9,$F87/12,0))</f>
        <v>#DIV/0!</v>
      </c>
      <c r="AA87" s="178" t="e">
        <f t="shared" si="103"/>
        <v>#DIV/0!</v>
      </c>
      <c r="AB87" s="178" t="e">
        <f t="shared" si="103"/>
        <v>#DIV/0!</v>
      </c>
      <c r="AC87" s="178" t="e">
        <f t="shared" si="103"/>
        <v>#DIV/0!</v>
      </c>
      <c r="AD87" s="178" t="e">
        <f t="shared" si="103"/>
        <v>#DIV/0!</v>
      </c>
      <c r="AE87" s="178" t="e">
        <f t="shared" si="103"/>
        <v>#DIV/0!</v>
      </c>
      <c r="AF87" s="168" t="e">
        <f t="shared" si="103"/>
        <v>#DIV/0!</v>
      </c>
      <c r="AG87" s="169" t="e">
        <f t="shared" si="86"/>
        <v>#DIV/0!</v>
      </c>
      <c r="AH87" s="179" t="e">
        <f t="shared" si="87"/>
        <v>#DIV/0!</v>
      </c>
      <c r="AI87" s="180" t="e">
        <f t="shared" ref="AI87:AT129" si="104">IF(OR($F87&lt;=0,(AI$9-$A87)&gt;(365*$E87)),0,IF($A87&lt;=AI$9,$F87/12,0))</f>
        <v>#DIV/0!</v>
      </c>
      <c r="AJ87" s="178" t="e">
        <f t="shared" si="102"/>
        <v>#DIV/0!</v>
      </c>
      <c r="AK87" s="178" t="e">
        <f t="shared" si="102"/>
        <v>#DIV/0!</v>
      </c>
      <c r="AL87" s="178" t="e">
        <f t="shared" si="102"/>
        <v>#DIV/0!</v>
      </c>
      <c r="AM87" s="178" t="e">
        <f t="shared" si="102"/>
        <v>#DIV/0!</v>
      </c>
      <c r="AN87" s="178" t="e">
        <f t="shared" si="102"/>
        <v>#DIV/0!</v>
      </c>
      <c r="AO87" s="178" t="e">
        <f t="shared" si="102"/>
        <v>#DIV/0!</v>
      </c>
      <c r="AP87" s="178" t="e">
        <f t="shared" si="102"/>
        <v>#DIV/0!</v>
      </c>
      <c r="AQ87" s="178" t="e">
        <f t="shared" si="102"/>
        <v>#DIV/0!</v>
      </c>
      <c r="AR87" s="178" t="e">
        <f t="shared" si="102"/>
        <v>#DIV/0!</v>
      </c>
      <c r="AS87" s="178" t="e">
        <f t="shared" si="102"/>
        <v>#DIV/0!</v>
      </c>
      <c r="AT87" s="168" t="e">
        <f t="shared" si="102"/>
        <v>#DIV/0!</v>
      </c>
      <c r="AU87" s="169" t="e">
        <f t="shared" si="88"/>
        <v>#DIV/0!</v>
      </c>
      <c r="AV87" s="179" t="e">
        <f t="shared" si="89"/>
        <v>#DIV/0!</v>
      </c>
      <c r="AW87" s="180" t="e">
        <f t="shared" si="75"/>
        <v>#DIV/0!</v>
      </c>
      <c r="AX87" s="178" t="e">
        <f t="shared" si="67"/>
        <v>#DIV/0!</v>
      </c>
      <c r="AY87" s="178" t="e">
        <f t="shared" si="67"/>
        <v>#DIV/0!</v>
      </c>
      <c r="AZ87" s="178" t="e">
        <f t="shared" si="67"/>
        <v>#DIV/0!</v>
      </c>
      <c r="BA87" s="178" t="e">
        <f t="shared" si="67"/>
        <v>#DIV/0!</v>
      </c>
      <c r="BB87" s="178" t="e">
        <f t="shared" ref="BB87:BH87" si="105">IF(OR($F87&lt;=0,(BB$9-$A87)&gt;(365*$E87)),0,IF($A87&lt;=BB$9,$F87/12,0))</f>
        <v>#DIV/0!</v>
      </c>
      <c r="BC87" s="178" t="e">
        <f t="shared" si="105"/>
        <v>#DIV/0!</v>
      </c>
      <c r="BD87" s="178" t="e">
        <f t="shared" si="105"/>
        <v>#DIV/0!</v>
      </c>
      <c r="BE87" s="178" t="e">
        <f t="shared" si="105"/>
        <v>#DIV/0!</v>
      </c>
      <c r="BF87" s="178" t="e">
        <f t="shared" si="105"/>
        <v>#DIV/0!</v>
      </c>
      <c r="BG87" s="178" t="e">
        <f t="shared" si="105"/>
        <v>#DIV/0!</v>
      </c>
      <c r="BH87" s="168" t="e">
        <f t="shared" si="105"/>
        <v>#DIV/0!</v>
      </c>
      <c r="BI87" s="169" t="e">
        <f t="shared" si="90"/>
        <v>#DIV/0!</v>
      </c>
      <c r="BJ87" s="179" t="e">
        <f t="shared" si="91"/>
        <v>#DIV/0!</v>
      </c>
      <c r="BK87" s="180" t="e">
        <f t="shared" si="76"/>
        <v>#DIV/0!</v>
      </c>
      <c r="BL87" s="178" t="e">
        <f t="shared" si="68"/>
        <v>#DIV/0!</v>
      </c>
      <c r="BM87" s="178" t="e">
        <f t="shared" si="68"/>
        <v>#DIV/0!</v>
      </c>
      <c r="BN87" s="178" t="e">
        <f t="shared" si="68"/>
        <v>#DIV/0!</v>
      </c>
      <c r="BO87" s="178" t="e">
        <f t="shared" si="68"/>
        <v>#DIV/0!</v>
      </c>
      <c r="BP87" s="178" t="e">
        <f t="shared" ref="BP87:BV87" si="106">IF(OR($BJ87&lt;=0,(BP$9-$A87)&gt;($E87*365)),0,IF($A87&lt;=BP$9,$F87/12))</f>
        <v>#DIV/0!</v>
      </c>
      <c r="BQ87" s="178" t="e">
        <f t="shared" si="106"/>
        <v>#DIV/0!</v>
      </c>
      <c r="BR87" s="178" t="e">
        <f t="shared" si="106"/>
        <v>#DIV/0!</v>
      </c>
      <c r="BS87" s="178" t="e">
        <f t="shared" si="106"/>
        <v>#DIV/0!</v>
      </c>
      <c r="BT87" s="178" t="e">
        <f t="shared" si="106"/>
        <v>#DIV/0!</v>
      </c>
      <c r="BU87" s="178" t="e">
        <f t="shared" si="106"/>
        <v>#DIV/0!</v>
      </c>
      <c r="BV87" s="168" t="e">
        <f t="shared" si="106"/>
        <v>#DIV/0!</v>
      </c>
      <c r="BW87" s="169" t="e">
        <f t="shared" si="92"/>
        <v>#DIV/0!</v>
      </c>
      <c r="BX87" s="179" t="e">
        <f t="shared" si="93"/>
        <v>#DIV/0!</v>
      </c>
      <c r="BY87" s="180" t="e">
        <f t="shared" si="77"/>
        <v>#DIV/0!</v>
      </c>
      <c r="BZ87" s="178" t="e">
        <f t="shared" si="69"/>
        <v>#DIV/0!</v>
      </c>
      <c r="CA87" s="178" t="e">
        <f t="shared" si="69"/>
        <v>#DIV/0!</v>
      </c>
      <c r="CB87" s="178" t="e">
        <f t="shared" si="69"/>
        <v>#DIV/0!</v>
      </c>
      <c r="CC87" s="178" t="e">
        <f t="shared" si="69"/>
        <v>#DIV/0!</v>
      </c>
      <c r="CD87" s="178" t="e">
        <f t="shared" ref="CD87:CJ87" si="107">IF(OR($BX87&lt;=0,(CD$9-$A87)&gt;($E87*365)),0,IF($A87&lt;=CD$9,$F87/12))</f>
        <v>#DIV/0!</v>
      </c>
      <c r="CE87" s="178" t="e">
        <f t="shared" si="107"/>
        <v>#DIV/0!</v>
      </c>
      <c r="CF87" s="178" t="e">
        <f t="shared" si="107"/>
        <v>#DIV/0!</v>
      </c>
      <c r="CG87" s="178" t="e">
        <f t="shared" si="107"/>
        <v>#DIV/0!</v>
      </c>
      <c r="CH87" s="178" t="e">
        <f t="shared" si="107"/>
        <v>#DIV/0!</v>
      </c>
      <c r="CI87" s="178" t="e">
        <f t="shared" si="107"/>
        <v>#DIV/0!</v>
      </c>
      <c r="CJ87" s="168" t="e">
        <f t="shared" si="107"/>
        <v>#DIV/0!</v>
      </c>
      <c r="CK87" s="169" t="e">
        <f t="shared" si="94"/>
        <v>#DIV/0!</v>
      </c>
      <c r="CL87" s="179" t="e">
        <f t="shared" si="95"/>
        <v>#DIV/0!</v>
      </c>
      <c r="CM87" s="180" t="e">
        <f t="shared" si="78"/>
        <v>#DIV/0!</v>
      </c>
      <c r="CN87" s="178" t="e">
        <f t="shared" si="70"/>
        <v>#DIV/0!</v>
      </c>
      <c r="CO87" s="178" t="e">
        <f t="shared" si="70"/>
        <v>#DIV/0!</v>
      </c>
      <c r="CP87" s="178" t="e">
        <f t="shared" si="70"/>
        <v>#DIV/0!</v>
      </c>
      <c r="CQ87" s="178" t="e">
        <f t="shared" si="70"/>
        <v>#DIV/0!</v>
      </c>
      <c r="CR87" s="178" t="e">
        <f t="shared" ref="CR87:CX87" si="108">IF(OR($CL87&lt;=0,(CR$9-$A87)&gt;($E87*365)),0,IF($A87&lt;=CR$9,$F87/12))</f>
        <v>#DIV/0!</v>
      </c>
      <c r="CS87" s="178" t="e">
        <f t="shared" si="108"/>
        <v>#DIV/0!</v>
      </c>
      <c r="CT87" s="178" t="e">
        <f t="shared" si="108"/>
        <v>#DIV/0!</v>
      </c>
      <c r="CU87" s="178" t="e">
        <f t="shared" si="108"/>
        <v>#DIV/0!</v>
      </c>
      <c r="CV87" s="178" t="e">
        <f t="shared" si="108"/>
        <v>#DIV/0!</v>
      </c>
      <c r="CW87" s="178" t="e">
        <f t="shared" si="108"/>
        <v>#DIV/0!</v>
      </c>
      <c r="CX87" s="168" t="e">
        <f t="shared" si="108"/>
        <v>#DIV/0!</v>
      </c>
      <c r="CY87" s="169" t="e">
        <f t="shared" si="96"/>
        <v>#DIV/0!</v>
      </c>
      <c r="CZ87" s="179" t="e">
        <f t="shared" si="97"/>
        <v>#DIV/0!</v>
      </c>
      <c r="DA87" s="180" t="e">
        <f t="shared" si="79"/>
        <v>#DIV/0!</v>
      </c>
      <c r="DB87" s="178" t="e">
        <f t="shared" si="71"/>
        <v>#DIV/0!</v>
      </c>
      <c r="DC87" s="178" t="e">
        <f t="shared" si="71"/>
        <v>#DIV/0!</v>
      </c>
      <c r="DD87" s="178" t="e">
        <f t="shared" si="71"/>
        <v>#DIV/0!</v>
      </c>
      <c r="DE87" s="178" t="e">
        <f t="shared" si="71"/>
        <v>#DIV/0!</v>
      </c>
      <c r="DF87" s="178" t="e">
        <f t="shared" ref="DF87:DL87" si="109">IF(OR($CZ87&lt;=0,(DF$9-$A87)&gt;($E87*365)),0,IF($A87&lt;=DF$9,$F87/12))</f>
        <v>#DIV/0!</v>
      </c>
      <c r="DG87" s="178" t="e">
        <f t="shared" si="109"/>
        <v>#DIV/0!</v>
      </c>
      <c r="DH87" s="178" t="e">
        <f t="shared" si="109"/>
        <v>#DIV/0!</v>
      </c>
      <c r="DI87" s="178" t="e">
        <f t="shared" si="109"/>
        <v>#DIV/0!</v>
      </c>
      <c r="DJ87" s="178" t="e">
        <f t="shared" si="109"/>
        <v>#DIV/0!</v>
      </c>
      <c r="DK87" s="178" t="e">
        <f t="shared" si="109"/>
        <v>#DIV/0!</v>
      </c>
      <c r="DL87" s="168" t="e">
        <f t="shared" si="109"/>
        <v>#DIV/0!</v>
      </c>
      <c r="DM87" s="169" t="e">
        <f t="shared" si="98"/>
        <v>#DIV/0!</v>
      </c>
      <c r="DN87" s="171" t="e">
        <f t="shared" si="99"/>
        <v>#DIV/0!</v>
      </c>
      <c r="DO87" s="180" t="e">
        <f t="shared" si="80"/>
        <v>#DIV/0!</v>
      </c>
      <c r="DP87" s="178" t="e">
        <f t="shared" si="72"/>
        <v>#DIV/0!</v>
      </c>
      <c r="DQ87" s="178" t="e">
        <f t="shared" si="72"/>
        <v>#DIV/0!</v>
      </c>
      <c r="DR87" s="178" t="e">
        <f t="shared" si="72"/>
        <v>#DIV/0!</v>
      </c>
      <c r="DS87" s="178" t="e">
        <f t="shared" si="72"/>
        <v>#DIV/0!</v>
      </c>
      <c r="DT87" s="178" t="e">
        <f t="shared" ref="DT87:DZ87" si="110">IF(OR($DN87&lt;=0,(DT$9-$A87)&gt;($E87*365)),0,IF($A87&lt;=DT$9,$F87/12))</f>
        <v>#DIV/0!</v>
      </c>
      <c r="DU87" s="178" t="e">
        <f t="shared" si="110"/>
        <v>#DIV/0!</v>
      </c>
      <c r="DV87" s="178" t="e">
        <f t="shared" si="110"/>
        <v>#DIV/0!</v>
      </c>
      <c r="DW87" s="178" t="e">
        <f t="shared" si="110"/>
        <v>#DIV/0!</v>
      </c>
      <c r="DX87" s="178" t="e">
        <f t="shared" si="110"/>
        <v>#DIV/0!</v>
      </c>
      <c r="DY87" s="178" t="e">
        <f t="shared" si="110"/>
        <v>#DIV/0!</v>
      </c>
      <c r="DZ87" s="168" t="e">
        <f t="shared" si="110"/>
        <v>#DIV/0!</v>
      </c>
      <c r="EA87" s="169" t="e">
        <f t="shared" si="100"/>
        <v>#DIV/0!</v>
      </c>
      <c r="EB87" s="171" t="e">
        <f t="shared" si="101"/>
        <v>#DIV/0!</v>
      </c>
    </row>
    <row r="88" spans="1:132" s="177" customFormat="1" ht="15.75">
      <c r="A88" s="163"/>
      <c r="B88" s="164"/>
      <c r="C88" s="165"/>
      <c r="D88" s="182"/>
      <c r="E88" s="167"/>
      <c r="F88" s="168" t="e">
        <f t="shared" si="83"/>
        <v>#DIV/0!</v>
      </c>
      <c r="G88" s="169" t="e">
        <f t="shared" si="82"/>
        <v>#DIV/0!</v>
      </c>
      <c r="H88" s="178" t="e">
        <f t="shared" si="81"/>
        <v>#DIV/0!</v>
      </c>
      <c r="I88" s="178" t="e">
        <f t="shared" si="81"/>
        <v>#DIV/0!</v>
      </c>
      <c r="J88" s="178" t="e">
        <f t="shared" si="81"/>
        <v>#DIV/0!</v>
      </c>
      <c r="K88" s="178" t="e">
        <f t="shared" si="81"/>
        <v>#DIV/0!</v>
      </c>
      <c r="L88" s="178" t="e">
        <f t="shared" si="81"/>
        <v>#DIV/0!</v>
      </c>
      <c r="M88" s="178" t="e">
        <f t="shared" si="81"/>
        <v>#DIV/0!</v>
      </c>
      <c r="N88" s="178" t="e">
        <f t="shared" si="81"/>
        <v>#DIV/0!</v>
      </c>
      <c r="O88" s="178" t="e">
        <f t="shared" si="81"/>
        <v>#DIV/0!</v>
      </c>
      <c r="P88" s="178" t="e">
        <f t="shared" si="81"/>
        <v>#DIV/0!</v>
      </c>
      <c r="Q88" s="178" t="e">
        <f t="shared" si="81"/>
        <v>#DIV/0!</v>
      </c>
      <c r="R88" s="179" t="e">
        <f t="shared" si="81"/>
        <v>#DIV/0!</v>
      </c>
      <c r="S88" s="169" t="e">
        <f t="shared" si="84"/>
        <v>#DIV/0!</v>
      </c>
      <c r="T88" s="179" t="e">
        <f t="shared" si="85"/>
        <v>#DIV/0!</v>
      </c>
      <c r="U88" s="180" t="e">
        <f t="shared" si="73"/>
        <v>#DIV/0!</v>
      </c>
      <c r="V88" s="178" t="e">
        <f t="shared" si="73"/>
        <v>#DIV/0!</v>
      </c>
      <c r="W88" s="178" t="e">
        <f t="shared" si="73"/>
        <v>#DIV/0!</v>
      </c>
      <c r="X88" s="178" t="e">
        <f t="shared" si="73"/>
        <v>#DIV/0!</v>
      </c>
      <c r="Y88" s="178" t="e">
        <f t="shared" si="73"/>
        <v>#DIV/0!</v>
      </c>
      <c r="Z88" s="178" t="e">
        <f t="shared" si="73"/>
        <v>#DIV/0!</v>
      </c>
      <c r="AA88" s="178" t="e">
        <f t="shared" si="73"/>
        <v>#DIV/0!</v>
      </c>
      <c r="AB88" s="178" t="e">
        <f t="shared" si="73"/>
        <v>#DIV/0!</v>
      </c>
      <c r="AC88" s="178" t="e">
        <f t="shared" si="73"/>
        <v>#DIV/0!</v>
      </c>
      <c r="AD88" s="178" t="e">
        <f t="shared" si="73"/>
        <v>#DIV/0!</v>
      </c>
      <c r="AE88" s="178" t="e">
        <f t="shared" si="73"/>
        <v>#DIV/0!</v>
      </c>
      <c r="AF88" s="168" t="e">
        <f t="shared" si="73"/>
        <v>#DIV/0!</v>
      </c>
      <c r="AG88" s="169" t="e">
        <f t="shared" si="86"/>
        <v>#DIV/0!</v>
      </c>
      <c r="AH88" s="179" t="e">
        <f t="shared" si="87"/>
        <v>#DIV/0!</v>
      </c>
      <c r="AI88" s="180" t="e">
        <f t="shared" si="104"/>
        <v>#DIV/0!</v>
      </c>
      <c r="AJ88" s="178" t="e">
        <f t="shared" si="102"/>
        <v>#DIV/0!</v>
      </c>
      <c r="AK88" s="178" t="e">
        <f t="shared" si="102"/>
        <v>#DIV/0!</v>
      </c>
      <c r="AL88" s="178" t="e">
        <f t="shared" si="102"/>
        <v>#DIV/0!</v>
      </c>
      <c r="AM88" s="178" t="e">
        <f t="shared" si="102"/>
        <v>#DIV/0!</v>
      </c>
      <c r="AN88" s="178" t="e">
        <f t="shared" si="102"/>
        <v>#DIV/0!</v>
      </c>
      <c r="AO88" s="178" t="e">
        <f t="shared" si="102"/>
        <v>#DIV/0!</v>
      </c>
      <c r="AP88" s="178" t="e">
        <f t="shared" si="102"/>
        <v>#DIV/0!</v>
      </c>
      <c r="AQ88" s="178" t="e">
        <f t="shared" si="102"/>
        <v>#DIV/0!</v>
      </c>
      <c r="AR88" s="178" t="e">
        <f t="shared" si="102"/>
        <v>#DIV/0!</v>
      </c>
      <c r="AS88" s="178" t="e">
        <f t="shared" si="102"/>
        <v>#DIV/0!</v>
      </c>
      <c r="AT88" s="168" t="e">
        <f t="shared" si="102"/>
        <v>#DIV/0!</v>
      </c>
      <c r="AU88" s="169" t="e">
        <f t="shared" si="88"/>
        <v>#DIV/0!</v>
      </c>
      <c r="AV88" s="179" t="e">
        <f t="shared" si="89"/>
        <v>#DIV/0!</v>
      </c>
      <c r="AW88" s="180" t="e">
        <f t="shared" si="75"/>
        <v>#DIV/0!</v>
      </c>
      <c r="AX88" s="178" t="e">
        <f t="shared" si="75"/>
        <v>#DIV/0!</v>
      </c>
      <c r="AY88" s="178" t="e">
        <f t="shared" si="75"/>
        <v>#DIV/0!</v>
      </c>
      <c r="AZ88" s="178" t="e">
        <f t="shared" si="75"/>
        <v>#DIV/0!</v>
      </c>
      <c r="BA88" s="178" t="e">
        <f t="shared" si="75"/>
        <v>#DIV/0!</v>
      </c>
      <c r="BB88" s="178" t="e">
        <f t="shared" si="75"/>
        <v>#DIV/0!</v>
      </c>
      <c r="BC88" s="178" t="e">
        <f t="shared" si="75"/>
        <v>#DIV/0!</v>
      </c>
      <c r="BD88" s="178" t="e">
        <f t="shared" si="75"/>
        <v>#DIV/0!</v>
      </c>
      <c r="BE88" s="178" t="e">
        <f t="shared" si="75"/>
        <v>#DIV/0!</v>
      </c>
      <c r="BF88" s="178" t="e">
        <f t="shared" si="75"/>
        <v>#DIV/0!</v>
      </c>
      <c r="BG88" s="178" t="e">
        <f t="shared" si="75"/>
        <v>#DIV/0!</v>
      </c>
      <c r="BH88" s="168" t="e">
        <f t="shared" si="75"/>
        <v>#DIV/0!</v>
      </c>
      <c r="BI88" s="169" t="e">
        <f t="shared" si="90"/>
        <v>#DIV/0!</v>
      </c>
      <c r="BJ88" s="179" t="e">
        <f t="shared" si="91"/>
        <v>#DIV/0!</v>
      </c>
      <c r="BK88" s="180" t="e">
        <f t="shared" si="76"/>
        <v>#DIV/0!</v>
      </c>
      <c r="BL88" s="178" t="e">
        <f t="shared" si="76"/>
        <v>#DIV/0!</v>
      </c>
      <c r="BM88" s="178" t="e">
        <f t="shared" si="76"/>
        <v>#DIV/0!</v>
      </c>
      <c r="BN88" s="178" t="e">
        <f t="shared" si="76"/>
        <v>#DIV/0!</v>
      </c>
      <c r="BO88" s="178" t="e">
        <f t="shared" si="76"/>
        <v>#DIV/0!</v>
      </c>
      <c r="BP88" s="178" t="e">
        <f t="shared" si="76"/>
        <v>#DIV/0!</v>
      </c>
      <c r="BQ88" s="178" t="e">
        <f t="shared" si="76"/>
        <v>#DIV/0!</v>
      </c>
      <c r="BR88" s="178" t="e">
        <f t="shared" si="76"/>
        <v>#DIV/0!</v>
      </c>
      <c r="BS88" s="178" t="e">
        <f t="shared" si="76"/>
        <v>#DIV/0!</v>
      </c>
      <c r="BT88" s="178" t="e">
        <f t="shared" si="76"/>
        <v>#DIV/0!</v>
      </c>
      <c r="BU88" s="178" t="e">
        <f t="shared" si="76"/>
        <v>#DIV/0!</v>
      </c>
      <c r="BV88" s="168" t="e">
        <f t="shared" si="76"/>
        <v>#DIV/0!</v>
      </c>
      <c r="BW88" s="169" t="e">
        <f t="shared" si="92"/>
        <v>#DIV/0!</v>
      </c>
      <c r="BX88" s="179" t="e">
        <f t="shared" si="93"/>
        <v>#DIV/0!</v>
      </c>
      <c r="BY88" s="180" t="e">
        <f t="shared" si="77"/>
        <v>#DIV/0!</v>
      </c>
      <c r="BZ88" s="178" t="e">
        <f t="shared" si="77"/>
        <v>#DIV/0!</v>
      </c>
      <c r="CA88" s="178" t="e">
        <f t="shared" si="77"/>
        <v>#DIV/0!</v>
      </c>
      <c r="CB88" s="178" t="e">
        <f t="shared" si="77"/>
        <v>#DIV/0!</v>
      </c>
      <c r="CC88" s="178" t="e">
        <f t="shared" si="77"/>
        <v>#DIV/0!</v>
      </c>
      <c r="CD88" s="178" t="e">
        <f t="shared" si="77"/>
        <v>#DIV/0!</v>
      </c>
      <c r="CE88" s="178" t="e">
        <f t="shared" si="77"/>
        <v>#DIV/0!</v>
      </c>
      <c r="CF88" s="178" t="e">
        <f t="shared" si="77"/>
        <v>#DIV/0!</v>
      </c>
      <c r="CG88" s="178" t="e">
        <f t="shared" si="77"/>
        <v>#DIV/0!</v>
      </c>
      <c r="CH88" s="178" t="e">
        <f t="shared" si="77"/>
        <v>#DIV/0!</v>
      </c>
      <c r="CI88" s="178" t="e">
        <f t="shared" si="77"/>
        <v>#DIV/0!</v>
      </c>
      <c r="CJ88" s="168" t="e">
        <f t="shared" si="77"/>
        <v>#DIV/0!</v>
      </c>
      <c r="CK88" s="169" t="e">
        <f t="shared" si="94"/>
        <v>#DIV/0!</v>
      </c>
      <c r="CL88" s="179" t="e">
        <f t="shared" si="95"/>
        <v>#DIV/0!</v>
      </c>
      <c r="CM88" s="180" t="e">
        <f t="shared" si="78"/>
        <v>#DIV/0!</v>
      </c>
      <c r="CN88" s="178" t="e">
        <f t="shared" si="78"/>
        <v>#DIV/0!</v>
      </c>
      <c r="CO88" s="178" t="e">
        <f t="shared" si="78"/>
        <v>#DIV/0!</v>
      </c>
      <c r="CP88" s="178" t="e">
        <f t="shared" si="78"/>
        <v>#DIV/0!</v>
      </c>
      <c r="CQ88" s="178" t="e">
        <f t="shared" si="78"/>
        <v>#DIV/0!</v>
      </c>
      <c r="CR88" s="178" t="e">
        <f t="shared" si="78"/>
        <v>#DIV/0!</v>
      </c>
      <c r="CS88" s="178" t="e">
        <f t="shared" si="78"/>
        <v>#DIV/0!</v>
      </c>
      <c r="CT88" s="178" t="e">
        <f t="shared" si="78"/>
        <v>#DIV/0!</v>
      </c>
      <c r="CU88" s="178" t="e">
        <f t="shared" si="78"/>
        <v>#DIV/0!</v>
      </c>
      <c r="CV88" s="178" t="e">
        <f t="shared" si="78"/>
        <v>#DIV/0!</v>
      </c>
      <c r="CW88" s="178" t="e">
        <f t="shared" si="78"/>
        <v>#DIV/0!</v>
      </c>
      <c r="CX88" s="168" t="e">
        <f t="shared" si="78"/>
        <v>#DIV/0!</v>
      </c>
      <c r="CY88" s="169" t="e">
        <f t="shared" si="96"/>
        <v>#DIV/0!</v>
      </c>
      <c r="CZ88" s="179" t="e">
        <f t="shared" si="97"/>
        <v>#DIV/0!</v>
      </c>
      <c r="DA88" s="180" t="e">
        <f t="shared" si="79"/>
        <v>#DIV/0!</v>
      </c>
      <c r="DB88" s="178" t="e">
        <f t="shared" si="79"/>
        <v>#DIV/0!</v>
      </c>
      <c r="DC88" s="178" t="e">
        <f t="shared" si="79"/>
        <v>#DIV/0!</v>
      </c>
      <c r="DD88" s="178" t="e">
        <f t="shared" si="79"/>
        <v>#DIV/0!</v>
      </c>
      <c r="DE88" s="178" t="e">
        <f t="shared" si="79"/>
        <v>#DIV/0!</v>
      </c>
      <c r="DF88" s="178" t="e">
        <f t="shared" si="79"/>
        <v>#DIV/0!</v>
      </c>
      <c r="DG88" s="178" t="e">
        <f t="shared" si="79"/>
        <v>#DIV/0!</v>
      </c>
      <c r="DH88" s="178" t="e">
        <f t="shared" si="79"/>
        <v>#DIV/0!</v>
      </c>
      <c r="DI88" s="178" t="e">
        <f t="shared" si="79"/>
        <v>#DIV/0!</v>
      </c>
      <c r="DJ88" s="178" t="e">
        <f t="shared" si="79"/>
        <v>#DIV/0!</v>
      </c>
      <c r="DK88" s="178" t="e">
        <f t="shared" si="79"/>
        <v>#DIV/0!</v>
      </c>
      <c r="DL88" s="168" t="e">
        <f t="shared" si="79"/>
        <v>#DIV/0!</v>
      </c>
      <c r="DM88" s="169" t="e">
        <f t="shared" si="98"/>
        <v>#DIV/0!</v>
      </c>
      <c r="DN88" s="171" t="e">
        <f t="shared" si="99"/>
        <v>#DIV/0!</v>
      </c>
      <c r="DO88" s="180" t="e">
        <f t="shared" si="80"/>
        <v>#DIV/0!</v>
      </c>
      <c r="DP88" s="178" t="e">
        <f t="shared" si="80"/>
        <v>#DIV/0!</v>
      </c>
      <c r="DQ88" s="178" t="e">
        <f t="shared" si="80"/>
        <v>#DIV/0!</v>
      </c>
      <c r="DR88" s="178" t="e">
        <f t="shared" si="80"/>
        <v>#DIV/0!</v>
      </c>
      <c r="DS88" s="178" t="e">
        <f t="shared" si="80"/>
        <v>#DIV/0!</v>
      </c>
      <c r="DT88" s="178" t="e">
        <f t="shared" si="80"/>
        <v>#DIV/0!</v>
      </c>
      <c r="DU88" s="178" t="e">
        <f t="shared" si="80"/>
        <v>#DIV/0!</v>
      </c>
      <c r="DV88" s="178" t="e">
        <f t="shared" si="80"/>
        <v>#DIV/0!</v>
      </c>
      <c r="DW88" s="178" t="e">
        <f t="shared" si="80"/>
        <v>#DIV/0!</v>
      </c>
      <c r="DX88" s="178" t="e">
        <f t="shared" si="80"/>
        <v>#DIV/0!</v>
      </c>
      <c r="DY88" s="178" t="e">
        <f t="shared" si="80"/>
        <v>#DIV/0!</v>
      </c>
      <c r="DZ88" s="168" t="e">
        <f t="shared" si="80"/>
        <v>#DIV/0!</v>
      </c>
      <c r="EA88" s="169" t="e">
        <f t="shared" si="100"/>
        <v>#DIV/0!</v>
      </c>
      <c r="EB88" s="171" t="e">
        <f t="shared" si="101"/>
        <v>#DIV/0!</v>
      </c>
    </row>
    <row r="89" spans="1:132" s="177" customFormat="1" ht="15.75">
      <c r="A89" s="163"/>
      <c r="B89" s="164"/>
      <c r="C89" s="165"/>
      <c r="D89" s="182"/>
      <c r="E89" s="167"/>
      <c r="F89" s="168" t="e">
        <f t="shared" si="83"/>
        <v>#DIV/0!</v>
      </c>
      <c r="G89" s="169" t="e">
        <f t="shared" si="82"/>
        <v>#DIV/0!</v>
      </c>
      <c r="H89" s="178" t="e">
        <f t="shared" si="81"/>
        <v>#DIV/0!</v>
      </c>
      <c r="I89" s="178" t="e">
        <f t="shared" si="81"/>
        <v>#DIV/0!</v>
      </c>
      <c r="J89" s="178" t="e">
        <f t="shared" si="81"/>
        <v>#DIV/0!</v>
      </c>
      <c r="K89" s="178" t="e">
        <f t="shared" si="81"/>
        <v>#DIV/0!</v>
      </c>
      <c r="L89" s="178" t="e">
        <f t="shared" si="81"/>
        <v>#DIV/0!</v>
      </c>
      <c r="M89" s="178" t="e">
        <f t="shared" si="81"/>
        <v>#DIV/0!</v>
      </c>
      <c r="N89" s="178" t="e">
        <f t="shared" si="81"/>
        <v>#DIV/0!</v>
      </c>
      <c r="O89" s="178" t="e">
        <f t="shared" si="81"/>
        <v>#DIV/0!</v>
      </c>
      <c r="P89" s="178" t="e">
        <f t="shared" si="81"/>
        <v>#DIV/0!</v>
      </c>
      <c r="Q89" s="178" t="e">
        <f t="shared" si="81"/>
        <v>#DIV/0!</v>
      </c>
      <c r="R89" s="179" t="e">
        <f t="shared" si="81"/>
        <v>#DIV/0!</v>
      </c>
      <c r="S89" s="169" t="e">
        <f t="shared" si="84"/>
        <v>#DIV/0!</v>
      </c>
      <c r="T89" s="179" t="e">
        <f t="shared" si="85"/>
        <v>#DIV/0!</v>
      </c>
      <c r="U89" s="180" t="e">
        <f t="shared" si="73"/>
        <v>#DIV/0!</v>
      </c>
      <c r="V89" s="178" t="e">
        <f t="shared" si="73"/>
        <v>#DIV/0!</v>
      </c>
      <c r="W89" s="178" t="e">
        <f t="shared" si="73"/>
        <v>#DIV/0!</v>
      </c>
      <c r="X89" s="178" t="e">
        <f t="shared" si="73"/>
        <v>#DIV/0!</v>
      </c>
      <c r="Y89" s="178" t="e">
        <f t="shared" si="73"/>
        <v>#DIV/0!</v>
      </c>
      <c r="Z89" s="178" t="e">
        <f t="shared" si="73"/>
        <v>#DIV/0!</v>
      </c>
      <c r="AA89" s="178" t="e">
        <f t="shared" si="73"/>
        <v>#DIV/0!</v>
      </c>
      <c r="AB89" s="178" t="e">
        <f t="shared" si="73"/>
        <v>#DIV/0!</v>
      </c>
      <c r="AC89" s="178" t="e">
        <f t="shared" si="73"/>
        <v>#DIV/0!</v>
      </c>
      <c r="AD89" s="178" t="e">
        <f t="shared" si="73"/>
        <v>#DIV/0!</v>
      </c>
      <c r="AE89" s="178" t="e">
        <f t="shared" si="73"/>
        <v>#DIV/0!</v>
      </c>
      <c r="AF89" s="168" t="e">
        <f t="shared" si="73"/>
        <v>#DIV/0!</v>
      </c>
      <c r="AG89" s="169" t="e">
        <f t="shared" si="86"/>
        <v>#DIV/0!</v>
      </c>
      <c r="AH89" s="179" t="e">
        <f t="shared" si="87"/>
        <v>#DIV/0!</v>
      </c>
      <c r="AI89" s="180" t="e">
        <f t="shared" si="104"/>
        <v>#DIV/0!</v>
      </c>
      <c r="AJ89" s="178" t="e">
        <f t="shared" si="102"/>
        <v>#DIV/0!</v>
      </c>
      <c r="AK89" s="178" t="e">
        <f t="shared" si="102"/>
        <v>#DIV/0!</v>
      </c>
      <c r="AL89" s="178" t="e">
        <f t="shared" si="102"/>
        <v>#DIV/0!</v>
      </c>
      <c r="AM89" s="178" t="e">
        <f t="shared" si="102"/>
        <v>#DIV/0!</v>
      </c>
      <c r="AN89" s="178" t="e">
        <f t="shared" si="102"/>
        <v>#DIV/0!</v>
      </c>
      <c r="AO89" s="178" t="e">
        <f t="shared" si="102"/>
        <v>#DIV/0!</v>
      </c>
      <c r="AP89" s="178" t="e">
        <f t="shared" si="102"/>
        <v>#DIV/0!</v>
      </c>
      <c r="AQ89" s="178" t="e">
        <f t="shared" si="102"/>
        <v>#DIV/0!</v>
      </c>
      <c r="AR89" s="178" t="e">
        <f t="shared" si="102"/>
        <v>#DIV/0!</v>
      </c>
      <c r="AS89" s="178" t="e">
        <f t="shared" si="102"/>
        <v>#DIV/0!</v>
      </c>
      <c r="AT89" s="168" t="e">
        <f t="shared" si="102"/>
        <v>#DIV/0!</v>
      </c>
      <c r="AU89" s="169" t="e">
        <f t="shared" si="88"/>
        <v>#DIV/0!</v>
      </c>
      <c r="AV89" s="179" t="e">
        <f t="shared" si="89"/>
        <v>#DIV/0!</v>
      </c>
      <c r="AW89" s="180" t="e">
        <f t="shared" si="75"/>
        <v>#DIV/0!</v>
      </c>
      <c r="AX89" s="178" t="e">
        <f t="shared" si="75"/>
        <v>#DIV/0!</v>
      </c>
      <c r="AY89" s="178" t="e">
        <f t="shared" si="75"/>
        <v>#DIV/0!</v>
      </c>
      <c r="AZ89" s="178" t="e">
        <f t="shared" si="75"/>
        <v>#DIV/0!</v>
      </c>
      <c r="BA89" s="178" t="e">
        <f t="shared" si="75"/>
        <v>#DIV/0!</v>
      </c>
      <c r="BB89" s="178" t="e">
        <f t="shared" si="75"/>
        <v>#DIV/0!</v>
      </c>
      <c r="BC89" s="178" t="e">
        <f t="shared" si="75"/>
        <v>#DIV/0!</v>
      </c>
      <c r="BD89" s="178" t="e">
        <f t="shared" si="75"/>
        <v>#DIV/0!</v>
      </c>
      <c r="BE89" s="178" t="e">
        <f t="shared" si="75"/>
        <v>#DIV/0!</v>
      </c>
      <c r="BF89" s="178" t="e">
        <f t="shared" si="75"/>
        <v>#DIV/0!</v>
      </c>
      <c r="BG89" s="178" t="e">
        <f t="shared" si="75"/>
        <v>#DIV/0!</v>
      </c>
      <c r="BH89" s="168" t="e">
        <f t="shared" si="75"/>
        <v>#DIV/0!</v>
      </c>
      <c r="BI89" s="169" t="e">
        <f t="shared" si="90"/>
        <v>#DIV/0!</v>
      </c>
      <c r="BJ89" s="179" t="e">
        <f t="shared" si="91"/>
        <v>#DIV/0!</v>
      </c>
      <c r="BK89" s="180" t="e">
        <f t="shared" si="76"/>
        <v>#DIV/0!</v>
      </c>
      <c r="BL89" s="178" t="e">
        <f t="shared" si="76"/>
        <v>#DIV/0!</v>
      </c>
      <c r="BM89" s="178" t="e">
        <f t="shared" si="76"/>
        <v>#DIV/0!</v>
      </c>
      <c r="BN89" s="178" t="e">
        <f t="shared" si="76"/>
        <v>#DIV/0!</v>
      </c>
      <c r="BO89" s="178" t="e">
        <f t="shared" si="76"/>
        <v>#DIV/0!</v>
      </c>
      <c r="BP89" s="178" t="e">
        <f t="shared" si="76"/>
        <v>#DIV/0!</v>
      </c>
      <c r="BQ89" s="178" t="e">
        <f t="shared" si="76"/>
        <v>#DIV/0!</v>
      </c>
      <c r="BR89" s="178" t="e">
        <f t="shared" si="76"/>
        <v>#DIV/0!</v>
      </c>
      <c r="BS89" s="178" t="e">
        <f t="shared" si="76"/>
        <v>#DIV/0!</v>
      </c>
      <c r="BT89" s="178" t="e">
        <f t="shared" si="76"/>
        <v>#DIV/0!</v>
      </c>
      <c r="BU89" s="178" t="e">
        <f t="shared" si="76"/>
        <v>#DIV/0!</v>
      </c>
      <c r="BV89" s="168" t="e">
        <f t="shared" si="76"/>
        <v>#DIV/0!</v>
      </c>
      <c r="BW89" s="169" t="e">
        <f t="shared" si="92"/>
        <v>#DIV/0!</v>
      </c>
      <c r="BX89" s="179" t="e">
        <f t="shared" si="93"/>
        <v>#DIV/0!</v>
      </c>
      <c r="BY89" s="180" t="e">
        <f t="shared" si="77"/>
        <v>#DIV/0!</v>
      </c>
      <c r="BZ89" s="178" t="e">
        <f t="shared" si="77"/>
        <v>#DIV/0!</v>
      </c>
      <c r="CA89" s="178" t="e">
        <f t="shared" si="77"/>
        <v>#DIV/0!</v>
      </c>
      <c r="CB89" s="178" t="e">
        <f t="shared" si="77"/>
        <v>#DIV/0!</v>
      </c>
      <c r="CC89" s="178" t="e">
        <f t="shared" si="77"/>
        <v>#DIV/0!</v>
      </c>
      <c r="CD89" s="178" t="e">
        <f t="shared" si="77"/>
        <v>#DIV/0!</v>
      </c>
      <c r="CE89" s="178" t="e">
        <f t="shared" si="77"/>
        <v>#DIV/0!</v>
      </c>
      <c r="CF89" s="178" t="e">
        <f t="shared" si="77"/>
        <v>#DIV/0!</v>
      </c>
      <c r="CG89" s="178" t="e">
        <f t="shared" si="77"/>
        <v>#DIV/0!</v>
      </c>
      <c r="CH89" s="178" t="e">
        <f t="shared" si="77"/>
        <v>#DIV/0!</v>
      </c>
      <c r="CI89" s="178" t="e">
        <f t="shared" si="77"/>
        <v>#DIV/0!</v>
      </c>
      <c r="CJ89" s="168" t="e">
        <f t="shared" si="77"/>
        <v>#DIV/0!</v>
      </c>
      <c r="CK89" s="169" t="e">
        <f t="shared" si="94"/>
        <v>#DIV/0!</v>
      </c>
      <c r="CL89" s="179" t="e">
        <f t="shared" si="95"/>
        <v>#DIV/0!</v>
      </c>
      <c r="CM89" s="180" t="e">
        <f t="shared" si="78"/>
        <v>#DIV/0!</v>
      </c>
      <c r="CN89" s="178" t="e">
        <f t="shared" si="78"/>
        <v>#DIV/0!</v>
      </c>
      <c r="CO89" s="178" t="e">
        <f t="shared" si="78"/>
        <v>#DIV/0!</v>
      </c>
      <c r="CP89" s="178" t="e">
        <f t="shared" si="78"/>
        <v>#DIV/0!</v>
      </c>
      <c r="CQ89" s="178" t="e">
        <f t="shared" si="78"/>
        <v>#DIV/0!</v>
      </c>
      <c r="CR89" s="178" t="e">
        <f t="shared" si="78"/>
        <v>#DIV/0!</v>
      </c>
      <c r="CS89" s="178" t="e">
        <f t="shared" si="78"/>
        <v>#DIV/0!</v>
      </c>
      <c r="CT89" s="178" t="e">
        <f t="shared" si="78"/>
        <v>#DIV/0!</v>
      </c>
      <c r="CU89" s="178" t="e">
        <f t="shared" si="78"/>
        <v>#DIV/0!</v>
      </c>
      <c r="CV89" s="178" t="e">
        <f t="shared" si="78"/>
        <v>#DIV/0!</v>
      </c>
      <c r="CW89" s="178" t="e">
        <f t="shared" si="78"/>
        <v>#DIV/0!</v>
      </c>
      <c r="CX89" s="168" t="e">
        <f t="shared" si="78"/>
        <v>#DIV/0!</v>
      </c>
      <c r="CY89" s="169" t="e">
        <f t="shared" si="96"/>
        <v>#DIV/0!</v>
      </c>
      <c r="CZ89" s="179" t="e">
        <f t="shared" si="97"/>
        <v>#DIV/0!</v>
      </c>
      <c r="DA89" s="180" t="e">
        <f t="shared" si="79"/>
        <v>#DIV/0!</v>
      </c>
      <c r="DB89" s="178" t="e">
        <f t="shared" si="79"/>
        <v>#DIV/0!</v>
      </c>
      <c r="DC89" s="178" t="e">
        <f t="shared" si="79"/>
        <v>#DIV/0!</v>
      </c>
      <c r="DD89" s="178" t="e">
        <f t="shared" si="79"/>
        <v>#DIV/0!</v>
      </c>
      <c r="DE89" s="178" t="e">
        <f t="shared" si="79"/>
        <v>#DIV/0!</v>
      </c>
      <c r="DF89" s="178" t="e">
        <f t="shared" si="79"/>
        <v>#DIV/0!</v>
      </c>
      <c r="DG89" s="178" t="e">
        <f t="shared" si="79"/>
        <v>#DIV/0!</v>
      </c>
      <c r="DH89" s="178" t="e">
        <f t="shared" si="79"/>
        <v>#DIV/0!</v>
      </c>
      <c r="DI89" s="178" t="e">
        <f t="shared" si="79"/>
        <v>#DIV/0!</v>
      </c>
      <c r="DJ89" s="178" t="e">
        <f t="shared" si="79"/>
        <v>#DIV/0!</v>
      </c>
      <c r="DK89" s="178" t="e">
        <f t="shared" si="79"/>
        <v>#DIV/0!</v>
      </c>
      <c r="DL89" s="168" t="e">
        <f t="shared" si="79"/>
        <v>#DIV/0!</v>
      </c>
      <c r="DM89" s="169" t="e">
        <f t="shared" si="98"/>
        <v>#DIV/0!</v>
      </c>
      <c r="DN89" s="171" t="e">
        <f t="shared" si="99"/>
        <v>#DIV/0!</v>
      </c>
      <c r="DO89" s="180" t="e">
        <f t="shared" si="80"/>
        <v>#DIV/0!</v>
      </c>
      <c r="DP89" s="178" t="e">
        <f t="shared" si="80"/>
        <v>#DIV/0!</v>
      </c>
      <c r="DQ89" s="178" t="e">
        <f t="shared" si="80"/>
        <v>#DIV/0!</v>
      </c>
      <c r="DR89" s="178" t="e">
        <f t="shared" si="80"/>
        <v>#DIV/0!</v>
      </c>
      <c r="DS89" s="178" t="e">
        <f t="shared" si="80"/>
        <v>#DIV/0!</v>
      </c>
      <c r="DT89" s="178" t="e">
        <f t="shared" si="80"/>
        <v>#DIV/0!</v>
      </c>
      <c r="DU89" s="178" t="e">
        <f t="shared" si="80"/>
        <v>#DIV/0!</v>
      </c>
      <c r="DV89" s="178" t="e">
        <f t="shared" si="80"/>
        <v>#DIV/0!</v>
      </c>
      <c r="DW89" s="178" t="e">
        <f t="shared" si="80"/>
        <v>#DIV/0!</v>
      </c>
      <c r="DX89" s="178" t="e">
        <f t="shared" si="80"/>
        <v>#DIV/0!</v>
      </c>
      <c r="DY89" s="178" t="e">
        <f t="shared" si="80"/>
        <v>#DIV/0!</v>
      </c>
      <c r="DZ89" s="168" t="e">
        <f t="shared" si="80"/>
        <v>#DIV/0!</v>
      </c>
      <c r="EA89" s="169" t="e">
        <f t="shared" si="100"/>
        <v>#DIV/0!</v>
      </c>
      <c r="EB89" s="171" t="e">
        <f t="shared" si="101"/>
        <v>#DIV/0!</v>
      </c>
    </row>
    <row r="90" spans="1:132" s="177" customFormat="1" ht="15.75">
      <c r="A90" s="163"/>
      <c r="B90" s="164"/>
      <c r="C90" s="165"/>
      <c r="D90" s="182"/>
      <c r="E90" s="167"/>
      <c r="F90" s="168" t="e">
        <f t="shared" si="83"/>
        <v>#DIV/0!</v>
      </c>
      <c r="G90" s="169" t="e">
        <f t="shared" si="82"/>
        <v>#DIV/0!</v>
      </c>
      <c r="H90" s="178" t="e">
        <f t="shared" si="81"/>
        <v>#DIV/0!</v>
      </c>
      <c r="I90" s="178" t="e">
        <f t="shared" si="81"/>
        <v>#DIV/0!</v>
      </c>
      <c r="J90" s="178" t="e">
        <f t="shared" si="81"/>
        <v>#DIV/0!</v>
      </c>
      <c r="K90" s="178" t="e">
        <f t="shared" si="81"/>
        <v>#DIV/0!</v>
      </c>
      <c r="L90" s="178" t="e">
        <f t="shared" ref="L90:R90" si="111">IF(OR($F90&lt;=0,(L$9-$A90)&gt;(365*$E90)),0,IF($A90&lt;=L$9,$F90/12,0))</f>
        <v>#DIV/0!</v>
      </c>
      <c r="M90" s="178" t="e">
        <f t="shared" si="111"/>
        <v>#DIV/0!</v>
      </c>
      <c r="N90" s="178" t="e">
        <f t="shared" si="111"/>
        <v>#DIV/0!</v>
      </c>
      <c r="O90" s="178" t="e">
        <f t="shared" si="111"/>
        <v>#DIV/0!</v>
      </c>
      <c r="P90" s="178" t="e">
        <f t="shared" si="111"/>
        <v>#DIV/0!</v>
      </c>
      <c r="Q90" s="178" t="e">
        <f t="shared" si="111"/>
        <v>#DIV/0!</v>
      </c>
      <c r="R90" s="179" t="e">
        <f t="shared" si="111"/>
        <v>#DIV/0!</v>
      </c>
      <c r="S90" s="169" t="e">
        <f t="shared" si="84"/>
        <v>#DIV/0!</v>
      </c>
      <c r="T90" s="179" t="e">
        <f t="shared" si="85"/>
        <v>#DIV/0!</v>
      </c>
      <c r="U90" s="180" t="e">
        <f t="shared" si="73"/>
        <v>#DIV/0!</v>
      </c>
      <c r="V90" s="178" t="e">
        <f t="shared" si="73"/>
        <v>#DIV/0!</v>
      </c>
      <c r="W90" s="178" t="e">
        <f t="shared" si="73"/>
        <v>#DIV/0!</v>
      </c>
      <c r="X90" s="178" t="e">
        <f t="shared" si="73"/>
        <v>#DIV/0!</v>
      </c>
      <c r="Y90" s="178" t="e">
        <f t="shared" si="73"/>
        <v>#DIV/0!</v>
      </c>
      <c r="Z90" s="178" t="e">
        <f t="shared" si="73"/>
        <v>#DIV/0!</v>
      </c>
      <c r="AA90" s="178" t="e">
        <f t="shared" si="73"/>
        <v>#DIV/0!</v>
      </c>
      <c r="AB90" s="178" t="e">
        <f t="shared" si="73"/>
        <v>#DIV/0!</v>
      </c>
      <c r="AC90" s="178" t="e">
        <f t="shared" si="73"/>
        <v>#DIV/0!</v>
      </c>
      <c r="AD90" s="178" t="e">
        <f t="shared" si="73"/>
        <v>#DIV/0!</v>
      </c>
      <c r="AE90" s="178" t="e">
        <f t="shared" si="73"/>
        <v>#DIV/0!</v>
      </c>
      <c r="AF90" s="168" t="e">
        <f t="shared" si="73"/>
        <v>#DIV/0!</v>
      </c>
      <c r="AG90" s="169" t="e">
        <f t="shared" si="86"/>
        <v>#DIV/0!</v>
      </c>
      <c r="AH90" s="179" t="e">
        <f t="shared" si="87"/>
        <v>#DIV/0!</v>
      </c>
      <c r="AI90" s="180" t="e">
        <f t="shared" si="104"/>
        <v>#DIV/0!</v>
      </c>
      <c r="AJ90" s="178" t="e">
        <f t="shared" si="102"/>
        <v>#DIV/0!</v>
      </c>
      <c r="AK90" s="178" t="e">
        <f t="shared" si="102"/>
        <v>#DIV/0!</v>
      </c>
      <c r="AL90" s="178" t="e">
        <f t="shared" si="102"/>
        <v>#DIV/0!</v>
      </c>
      <c r="AM90" s="178" t="e">
        <f t="shared" si="102"/>
        <v>#DIV/0!</v>
      </c>
      <c r="AN90" s="178" t="e">
        <f t="shared" si="102"/>
        <v>#DIV/0!</v>
      </c>
      <c r="AO90" s="178" t="e">
        <f t="shared" si="102"/>
        <v>#DIV/0!</v>
      </c>
      <c r="AP90" s="178" t="e">
        <f t="shared" si="102"/>
        <v>#DIV/0!</v>
      </c>
      <c r="AQ90" s="178" t="e">
        <f t="shared" si="102"/>
        <v>#DIV/0!</v>
      </c>
      <c r="AR90" s="178" t="e">
        <f t="shared" si="102"/>
        <v>#DIV/0!</v>
      </c>
      <c r="AS90" s="178" t="e">
        <f t="shared" si="102"/>
        <v>#DIV/0!</v>
      </c>
      <c r="AT90" s="168" t="e">
        <f t="shared" si="102"/>
        <v>#DIV/0!</v>
      </c>
      <c r="AU90" s="169" t="e">
        <f t="shared" si="88"/>
        <v>#DIV/0!</v>
      </c>
      <c r="AV90" s="179" t="e">
        <f t="shared" si="89"/>
        <v>#DIV/0!</v>
      </c>
      <c r="AW90" s="180" t="e">
        <f t="shared" si="75"/>
        <v>#DIV/0!</v>
      </c>
      <c r="AX90" s="178" t="e">
        <f t="shared" si="75"/>
        <v>#DIV/0!</v>
      </c>
      <c r="AY90" s="178" t="e">
        <f t="shared" si="75"/>
        <v>#DIV/0!</v>
      </c>
      <c r="AZ90" s="178" t="e">
        <f t="shared" si="75"/>
        <v>#DIV/0!</v>
      </c>
      <c r="BA90" s="178" t="e">
        <f t="shared" si="75"/>
        <v>#DIV/0!</v>
      </c>
      <c r="BB90" s="178" t="e">
        <f t="shared" si="75"/>
        <v>#DIV/0!</v>
      </c>
      <c r="BC90" s="178" t="e">
        <f t="shared" si="75"/>
        <v>#DIV/0!</v>
      </c>
      <c r="BD90" s="178" t="e">
        <f t="shared" si="75"/>
        <v>#DIV/0!</v>
      </c>
      <c r="BE90" s="178" t="e">
        <f t="shared" si="75"/>
        <v>#DIV/0!</v>
      </c>
      <c r="BF90" s="178" t="e">
        <f t="shared" si="75"/>
        <v>#DIV/0!</v>
      </c>
      <c r="BG90" s="178" t="e">
        <f t="shared" si="75"/>
        <v>#DIV/0!</v>
      </c>
      <c r="BH90" s="168" t="e">
        <f t="shared" si="75"/>
        <v>#DIV/0!</v>
      </c>
      <c r="BI90" s="169" t="e">
        <f t="shared" si="90"/>
        <v>#DIV/0!</v>
      </c>
      <c r="BJ90" s="179" t="e">
        <f t="shared" si="91"/>
        <v>#DIV/0!</v>
      </c>
      <c r="BK90" s="180" t="e">
        <f t="shared" si="76"/>
        <v>#DIV/0!</v>
      </c>
      <c r="BL90" s="178" t="e">
        <f t="shared" si="76"/>
        <v>#DIV/0!</v>
      </c>
      <c r="BM90" s="178" t="e">
        <f t="shared" si="76"/>
        <v>#DIV/0!</v>
      </c>
      <c r="BN90" s="178" t="e">
        <f t="shared" si="76"/>
        <v>#DIV/0!</v>
      </c>
      <c r="BO90" s="178" t="e">
        <f t="shared" si="76"/>
        <v>#DIV/0!</v>
      </c>
      <c r="BP90" s="178" t="e">
        <f t="shared" si="76"/>
        <v>#DIV/0!</v>
      </c>
      <c r="BQ90" s="178" t="e">
        <f t="shared" si="76"/>
        <v>#DIV/0!</v>
      </c>
      <c r="BR90" s="178" t="e">
        <f t="shared" si="76"/>
        <v>#DIV/0!</v>
      </c>
      <c r="BS90" s="178" t="e">
        <f t="shared" si="76"/>
        <v>#DIV/0!</v>
      </c>
      <c r="BT90" s="178" t="e">
        <f t="shared" si="76"/>
        <v>#DIV/0!</v>
      </c>
      <c r="BU90" s="178" t="e">
        <f t="shared" si="76"/>
        <v>#DIV/0!</v>
      </c>
      <c r="BV90" s="168" t="e">
        <f t="shared" si="76"/>
        <v>#DIV/0!</v>
      </c>
      <c r="BW90" s="169" t="e">
        <f t="shared" si="92"/>
        <v>#DIV/0!</v>
      </c>
      <c r="BX90" s="179" t="e">
        <f t="shared" si="93"/>
        <v>#DIV/0!</v>
      </c>
      <c r="BY90" s="180" t="e">
        <f t="shared" si="77"/>
        <v>#DIV/0!</v>
      </c>
      <c r="BZ90" s="178" t="e">
        <f t="shared" si="77"/>
        <v>#DIV/0!</v>
      </c>
      <c r="CA90" s="178" t="e">
        <f t="shared" si="77"/>
        <v>#DIV/0!</v>
      </c>
      <c r="CB90" s="178" t="e">
        <f t="shared" si="77"/>
        <v>#DIV/0!</v>
      </c>
      <c r="CC90" s="178" t="e">
        <f t="shared" si="77"/>
        <v>#DIV/0!</v>
      </c>
      <c r="CD90" s="178" t="e">
        <f t="shared" si="77"/>
        <v>#DIV/0!</v>
      </c>
      <c r="CE90" s="178" t="e">
        <f t="shared" si="77"/>
        <v>#DIV/0!</v>
      </c>
      <c r="CF90" s="178" t="e">
        <f t="shared" si="77"/>
        <v>#DIV/0!</v>
      </c>
      <c r="CG90" s="178" t="e">
        <f t="shared" si="77"/>
        <v>#DIV/0!</v>
      </c>
      <c r="CH90" s="178" t="e">
        <f t="shared" si="77"/>
        <v>#DIV/0!</v>
      </c>
      <c r="CI90" s="178" t="e">
        <f t="shared" si="77"/>
        <v>#DIV/0!</v>
      </c>
      <c r="CJ90" s="168" t="e">
        <f t="shared" si="77"/>
        <v>#DIV/0!</v>
      </c>
      <c r="CK90" s="169" t="e">
        <f t="shared" si="94"/>
        <v>#DIV/0!</v>
      </c>
      <c r="CL90" s="179" t="e">
        <f t="shared" si="95"/>
        <v>#DIV/0!</v>
      </c>
      <c r="CM90" s="180" t="e">
        <f t="shared" si="78"/>
        <v>#DIV/0!</v>
      </c>
      <c r="CN90" s="178" t="e">
        <f t="shared" si="78"/>
        <v>#DIV/0!</v>
      </c>
      <c r="CO90" s="178" t="e">
        <f t="shared" si="78"/>
        <v>#DIV/0!</v>
      </c>
      <c r="CP90" s="178" t="e">
        <f t="shared" si="78"/>
        <v>#DIV/0!</v>
      </c>
      <c r="CQ90" s="178" t="e">
        <f t="shared" si="78"/>
        <v>#DIV/0!</v>
      </c>
      <c r="CR90" s="178" t="e">
        <f t="shared" si="78"/>
        <v>#DIV/0!</v>
      </c>
      <c r="CS90" s="178" t="e">
        <f t="shared" si="78"/>
        <v>#DIV/0!</v>
      </c>
      <c r="CT90" s="178" t="e">
        <f t="shared" si="78"/>
        <v>#DIV/0!</v>
      </c>
      <c r="CU90" s="178" t="e">
        <f t="shared" si="78"/>
        <v>#DIV/0!</v>
      </c>
      <c r="CV90" s="178" t="e">
        <f t="shared" si="78"/>
        <v>#DIV/0!</v>
      </c>
      <c r="CW90" s="178" t="e">
        <f t="shared" si="78"/>
        <v>#DIV/0!</v>
      </c>
      <c r="CX90" s="168" t="e">
        <f t="shared" si="78"/>
        <v>#DIV/0!</v>
      </c>
      <c r="CY90" s="169" t="e">
        <f t="shared" si="96"/>
        <v>#DIV/0!</v>
      </c>
      <c r="CZ90" s="179" t="e">
        <f t="shared" si="97"/>
        <v>#DIV/0!</v>
      </c>
      <c r="DA90" s="180" t="e">
        <f t="shared" si="79"/>
        <v>#DIV/0!</v>
      </c>
      <c r="DB90" s="178" t="e">
        <f t="shared" si="79"/>
        <v>#DIV/0!</v>
      </c>
      <c r="DC90" s="178" t="e">
        <f t="shared" si="79"/>
        <v>#DIV/0!</v>
      </c>
      <c r="DD90" s="178" t="e">
        <f t="shared" si="79"/>
        <v>#DIV/0!</v>
      </c>
      <c r="DE90" s="178" t="e">
        <f t="shared" si="79"/>
        <v>#DIV/0!</v>
      </c>
      <c r="DF90" s="178" t="e">
        <f t="shared" si="79"/>
        <v>#DIV/0!</v>
      </c>
      <c r="DG90" s="178" t="e">
        <f t="shared" si="79"/>
        <v>#DIV/0!</v>
      </c>
      <c r="DH90" s="178" t="e">
        <f t="shared" si="79"/>
        <v>#DIV/0!</v>
      </c>
      <c r="DI90" s="178" t="e">
        <f t="shared" si="79"/>
        <v>#DIV/0!</v>
      </c>
      <c r="DJ90" s="178" t="e">
        <f t="shared" si="79"/>
        <v>#DIV/0!</v>
      </c>
      <c r="DK90" s="178" t="e">
        <f t="shared" si="79"/>
        <v>#DIV/0!</v>
      </c>
      <c r="DL90" s="168" t="e">
        <f t="shared" si="79"/>
        <v>#DIV/0!</v>
      </c>
      <c r="DM90" s="169" t="e">
        <f t="shared" si="98"/>
        <v>#DIV/0!</v>
      </c>
      <c r="DN90" s="171" t="e">
        <f t="shared" si="99"/>
        <v>#DIV/0!</v>
      </c>
      <c r="DO90" s="180" t="e">
        <f t="shared" si="80"/>
        <v>#DIV/0!</v>
      </c>
      <c r="DP90" s="178" t="e">
        <f t="shared" si="80"/>
        <v>#DIV/0!</v>
      </c>
      <c r="DQ90" s="178" t="e">
        <f t="shared" si="80"/>
        <v>#DIV/0!</v>
      </c>
      <c r="DR90" s="178" t="e">
        <f t="shared" si="80"/>
        <v>#DIV/0!</v>
      </c>
      <c r="DS90" s="178" t="e">
        <f t="shared" si="80"/>
        <v>#DIV/0!</v>
      </c>
      <c r="DT90" s="178" t="e">
        <f t="shared" si="80"/>
        <v>#DIV/0!</v>
      </c>
      <c r="DU90" s="178" t="e">
        <f t="shared" si="80"/>
        <v>#DIV/0!</v>
      </c>
      <c r="DV90" s="178" t="e">
        <f t="shared" si="80"/>
        <v>#DIV/0!</v>
      </c>
      <c r="DW90" s="178" t="e">
        <f t="shared" si="80"/>
        <v>#DIV/0!</v>
      </c>
      <c r="DX90" s="178" t="e">
        <f t="shared" si="80"/>
        <v>#DIV/0!</v>
      </c>
      <c r="DY90" s="178" t="e">
        <f t="shared" si="80"/>
        <v>#DIV/0!</v>
      </c>
      <c r="DZ90" s="168" t="e">
        <f t="shared" si="80"/>
        <v>#DIV/0!</v>
      </c>
      <c r="EA90" s="169" t="e">
        <f t="shared" si="100"/>
        <v>#DIV/0!</v>
      </c>
      <c r="EB90" s="171" t="e">
        <f t="shared" si="101"/>
        <v>#DIV/0!</v>
      </c>
    </row>
    <row r="91" spans="1:132" s="177" customFormat="1" ht="15.75">
      <c r="A91" s="163"/>
      <c r="B91" s="164"/>
      <c r="C91" s="165"/>
      <c r="D91" s="182"/>
      <c r="E91" s="167"/>
      <c r="F91" s="168" t="e">
        <f t="shared" si="83"/>
        <v>#DIV/0!</v>
      </c>
      <c r="G91" s="169" t="e">
        <f t="shared" si="82"/>
        <v>#DIV/0!</v>
      </c>
      <c r="H91" s="178" t="e">
        <f t="shared" si="82"/>
        <v>#DIV/0!</v>
      </c>
      <c r="I91" s="178" t="e">
        <f t="shared" si="82"/>
        <v>#DIV/0!</v>
      </c>
      <c r="J91" s="178" t="e">
        <f t="shared" si="82"/>
        <v>#DIV/0!</v>
      </c>
      <c r="K91" s="178" t="e">
        <f t="shared" si="82"/>
        <v>#DIV/0!</v>
      </c>
      <c r="L91" s="178" t="e">
        <f t="shared" si="82"/>
        <v>#DIV/0!</v>
      </c>
      <c r="M91" s="178" t="e">
        <f t="shared" si="82"/>
        <v>#DIV/0!</v>
      </c>
      <c r="N91" s="178" t="e">
        <f t="shared" si="82"/>
        <v>#DIV/0!</v>
      </c>
      <c r="O91" s="178" t="e">
        <f t="shared" si="82"/>
        <v>#DIV/0!</v>
      </c>
      <c r="P91" s="178" t="e">
        <f t="shared" si="82"/>
        <v>#DIV/0!</v>
      </c>
      <c r="Q91" s="178" t="e">
        <f t="shared" si="82"/>
        <v>#DIV/0!</v>
      </c>
      <c r="R91" s="179" t="e">
        <f t="shared" si="82"/>
        <v>#DIV/0!</v>
      </c>
      <c r="S91" s="169" t="e">
        <f t="shared" si="84"/>
        <v>#DIV/0!</v>
      </c>
      <c r="T91" s="179" t="e">
        <f t="shared" si="85"/>
        <v>#DIV/0!</v>
      </c>
      <c r="U91" s="180" t="e">
        <f t="shared" si="73"/>
        <v>#DIV/0!</v>
      </c>
      <c r="V91" s="178" t="e">
        <f t="shared" si="73"/>
        <v>#DIV/0!</v>
      </c>
      <c r="W91" s="178" t="e">
        <f t="shared" si="73"/>
        <v>#DIV/0!</v>
      </c>
      <c r="X91" s="178" t="e">
        <f t="shared" si="73"/>
        <v>#DIV/0!</v>
      </c>
      <c r="Y91" s="178" t="e">
        <f t="shared" si="73"/>
        <v>#DIV/0!</v>
      </c>
      <c r="Z91" s="178" t="e">
        <f t="shared" si="73"/>
        <v>#DIV/0!</v>
      </c>
      <c r="AA91" s="178" t="e">
        <f t="shared" si="73"/>
        <v>#DIV/0!</v>
      </c>
      <c r="AB91" s="178" t="e">
        <f t="shared" si="73"/>
        <v>#DIV/0!</v>
      </c>
      <c r="AC91" s="178" t="e">
        <f t="shared" si="73"/>
        <v>#DIV/0!</v>
      </c>
      <c r="AD91" s="178" t="e">
        <f t="shared" si="73"/>
        <v>#DIV/0!</v>
      </c>
      <c r="AE91" s="178" t="e">
        <f t="shared" si="73"/>
        <v>#DIV/0!</v>
      </c>
      <c r="AF91" s="168" t="e">
        <f t="shared" si="73"/>
        <v>#DIV/0!</v>
      </c>
      <c r="AG91" s="169" t="e">
        <f t="shared" si="86"/>
        <v>#DIV/0!</v>
      </c>
      <c r="AH91" s="179" t="e">
        <f t="shared" si="87"/>
        <v>#DIV/0!</v>
      </c>
      <c r="AI91" s="180" t="e">
        <f t="shared" si="104"/>
        <v>#DIV/0!</v>
      </c>
      <c r="AJ91" s="178" t="e">
        <f t="shared" si="102"/>
        <v>#DIV/0!</v>
      </c>
      <c r="AK91" s="178" t="e">
        <f t="shared" si="102"/>
        <v>#DIV/0!</v>
      </c>
      <c r="AL91" s="178" t="e">
        <f t="shared" si="102"/>
        <v>#DIV/0!</v>
      </c>
      <c r="AM91" s="178" t="e">
        <f t="shared" si="102"/>
        <v>#DIV/0!</v>
      </c>
      <c r="AN91" s="178" t="e">
        <f t="shared" si="102"/>
        <v>#DIV/0!</v>
      </c>
      <c r="AO91" s="178" t="e">
        <f t="shared" si="102"/>
        <v>#DIV/0!</v>
      </c>
      <c r="AP91" s="178" t="e">
        <f t="shared" si="102"/>
        <v>#DIV/0!</v>
      </c>
      <c r="AQ91" s="178" t="e">
        <f t="shared" si="102"/>
        <v>#DIV/0!</v>
      </c>
      <c r="AR91" s="178" t="e">
        <f t="shared" si="102"/>
        <v>#DIV/0!</v>
      </c>
      <c r="AS91" s="178" t="e">
        <f t="shared" si="102"/>
        <v>#DIV/0!</v>
      </c>
      <c r="AT91" s="168" t="e">
        <f t="shared" si="102"/>
        <v>#DIV/0!</v>
      </c>
      <c r="AU91" s="169" t="e">
        <f t="shared" si="88"/>
        <v>#DIV/0!</v>
      </c>
      <c r="AV91" s="179" t="e">
        <f t="shared" si="89"/>
        <v>#DIV/0!</v>
      </c>
      <c r="AW91" s="180" t="e">
        <f t="shared" si="75"/>
        <v>#DIV/0!</v>
      </c>
      <c r="AX91" s="178" t="e">
        <f t="shared" si="75"/>
        <v>#DIV/0!</v>
      </c>
      <c r="AY91" s="178" t="e">
        <f t="shared" si="75"/>
        <v>#DIV/0!</v>
      </c>
      <c r="AZ91" s="178" t="e">
        <f t="shared" si="75"/>
        <v>#DIV/0!</v>
      </c>
      <c r="BA91" s="178" t="e">
        <f t="shared" si="75"/>
        <v>#DIV/0!</v>
      </c>
      <c r="BB91" s="178" t="e">
        <f t="shared" si="75"/>
        <v>#DIV/0!</v>
      </c>
      <c r="BC91" s="178" t="e">
        <f t="shared" si="75"/>
        <v>#DIV/0!</v>
      </c>
      <c r="BD91" s="178" t="e">
        <f t="shared" si="75"/>
        <v>#DIV/0!</v>
      </c>
      <c r="BE91" s="178" t="e">
        <f t="shared" si="75"/>
        <v>#DIV/0!</v>
      </c>
      <c r="BF91" s="178" t="e">
        <f t="shared" si="75"/>
        <v>#DIV/0!</v>
      </c>
      <c r="BG91" s="178" t="e">
        <f t="shared" si="75"/>
        <v>#DIV/0!</v>
      </c>
      <c r="BH91" s="168" t="e">
        <f t="shared" si="75"/>
        <v>#DIV/0!</v>
      </c>
      <c r="BI91" s="169" t="e">
        <f t="shared" si="90"/>
        <v>#DIV/0!</v>
      </c>
      <c r="BJ91" s="179" t="e">
        <f t="shared" si="91"/>
        <v>#DIV/0!</v>
      </c>
      <c r="BK91" s="180" t="e">
        <f t="shared" si="76"/>
        <v>#DIV/0!</v>
      </c>
      <c r="BL91" s="178" t="e">
        <f t="shared" si="76"/>
        <v>#DIV/0!</v>
      </c>
      <c r="BM91" s="178" t="e">
        <f t="shared" si="76"/>
        <v>#DIV/0!</v>
      </c>
      <c r="BN91" s="178" t="e">
        <f t="shared" si="76"/>
        <v>#DIV/0!</v>
      </c>
      <c r="BO91" s="178" t="e">
        <f t="shared" si="76"/>
        <v>#DIV/0!</v>
      </c>
      <c r="BP91" s="178" t="e">
        <f t="shared" si="76"/>
        <v>#DIV/0!</v>
      </c>
      <c r="BQ91" s="178" t="e">
        <f t="shared" si="76"/>
        <v>#DIV/0!</v>
      </c>
      <c r="BR91" s="178" t="e">
        <f t="shared" si="76"/>
        <v>#DIV/0!</v>
      </c>
      <c r="BS91" s="178" t="e">
        <f t="shared" si="76"/>
        <v>#DIV/0!</v>
      </c>
      <c r="BT91" s="178" t="e">
        <f t="shared" si="76"/>
        <v>#DIV/0!</v>
      </c>
      <c r="BU91" s="178" t="e">
        <f t="shared" si="76"/>
        <v>#DIV/0!</v>
      </c>
      <c r="BV91" s="168" t="e">
        <f t="shared" si="76"/>
        <v>#DIV/0!</v>
      </c>
      <c r="BW91" s="169" t="e">
        <f t="shared" si="92"/>
        <v>#DIV/0!</v>
      </c>
      <c r="BX91" s="179" t="e">
        <f t="shared" si="93"/>
        <v>#DIV/0!</v>
      </c>
      <c r="BY91" s="180" t="e">
        <f t="shared" si="77"/>
        <v>#DIV/0!</v>
      </c>
      <c r="BZ91" s="178" t="e">
        <f t="shared" si="77"/>
        <v>#DIV/0!</v>
      </c>
      <c r="CA91" s="178" t="e">
        <f t="shared" si="77"/>
        <v>#DIV/0!</v>
      </c>
      <c r="CB91" s="178" t="e">
        <f t="shared" si="77"/>
        <v>#DIV/0!</v>
      </c>
      <c r="CC91" s="178" t="e">
        <f t="shared" si="77"/>
        <v>#DIV/0!</v>
      </c>
      <c r="CD91" s="178" t="e">
        <f t="shared" si="77"/>
        <v>#DIV/0!</v>
      </c>
      <c r="CE91" s="178" t="e">
        <f t="shared" si="77"/>
        <v>#DIV/0!</v>
      </c>
      <c r="CF91" s="178" t="e">
        <f t="shared" si="77"/>
        <v>#DIV/0!</v>
      </c>
      <c r="CG91" s="178" t="e">
        <f t="shared" si="77"/>
        <v>#DIV/0!</v>
      </c>
      <c r="CH91" s="178" t="e">
        <f t="shared" si="77"/>
        <v>#DIV/0!</v>
      </c>
      <c r="CI91" s="178" t="e">
        <f t="shared" si="77"/>
        <v>#DIV/0!</v>
      </c>
      <c r="CJ91" s="168" t="e">
        <f t="shared" si="77"/>
        <v>#DIV/0!</v>
      </c>
      <c r="CK91" s="169" t="e">
        <f t="shared" si="94"/>
        <v>#DIV/0!</v>
      </c>
      <c r="CL91" s="179" t="e">
        <f t="shared" si="95"/>
        <v>#DIV/0!</v>
      </c>
      <c r="CM91" s="180" t="e">
        <f t="shared" si="78"/>
        <v>#DIV/0!</v>
      </c>
      <c r="CN91" s="178" t="e">
        <f t="shared" si="78"/>
        <v>#DIV/0!</v>
      </c>
      <c r="CO91" s="178" t="e">
        <f t="shared" si="78"/>
        <v>#DIV/0!</v>
      </c>
      <c r="CP91" s="178" t="e">
        <f t="shared" si="78"/>
        <v>#DIV/0!</v>
      </c>
      <c r="CQ91" s="178" t="e">
        <f t="shared" si="78"/>
        <v>#DIV/0!</v>
      </c>
      <c r="CR91" s="178" t="e">
        <f t="shared" si="78"/>
        <v>#DIV/0!</v>
      </c>
      <c r="CS91" s="178" t="e">
        <f t="shared" si="78"/>
        <v>#DIV/0!</v>
      </c>
      <c r="CT91" s="178" t="e">
        <f t="shared" si="78"/>
        <v>#DIV/0!</v>
      </c>
      <c r="CU91" s="178" t="e">
        <f t="shared" si="78"/>
        <v>#DIV/0!</v>
      </c>
      <c r="CV91" s="178" t="e">
        <f t="shared" si="78"/>
        <v>#DIV/0!</v>
      </c>
      <c r="CW91" s="178" t="e">
        <f t="shared" si="78"/>
        <v>#DIV/0!</v>
      </c>
      <c r="CX91" s="168" t="e">
        <f t="shared" si="78"/>
        <v>#DIV/0!</v>
      </c>
      <c r="CY91" s="169" t="e">
        <f t="shared" si="96"/>
        <v>#DIV/0!</v>
      </c>
      <c r="CZ91" s="179" t="e">
        <f t="shared" si="97"/>
        <v>#DIV/0!</v>
      </c>
      <c r="DA91" s="180" t="e">
        <f t="shared" si="79"/>
        <v>#DIV/0!</v>
      </c>
      <c r="DB91" s="178" t="e">
        <f t="shared" si="79"/>
        <v>#DIV/0!</v>
      </c>
      <c r="DC91" s="178" t="e">
        <f t="shared" si="79"/>
        <v>#DIV/0!</v>
      </c>
      <c r="DD91" s="178" t="e">
        <f t="shared" si="79"/>
        <v>#DIV/0!</v>
      </c>
      <c r="DE91" s="178" t="e">
        <f t="shared" si="79"/>
        <v>#DIV/0!</v>
      </c>
      <c r="DF91" s="178" t="e">
        <f t="shared" si="79"/>
        <v>#DIV/0!</v>
      </c>
      <c r="DG91" s="178" t="e">
        <f t="shared" si="79"/>
        <v>#DIV/0!</v>
      </c>
      <c r="DH91" s="178" t="e">
        <f t="shared" si="79"/>
        <v>#DIV/0!</v>
      </c>
      <c r="DI91" s="178" t="e">
        <f t="shared" si="79"/>
        <v>#DIV/0!</v>
      </c>
      <c r="DJ91" s="178" t="e">
        <f t="shared" si="79"/>
        <v>#DIV/0!</v>
      </c>
      <c r="DK91" s="178" t="e">
        <f t="shared" si="79"/>
        <v>#DIV/0!</v>
      </c>
      <c r="DL91" s="168" t="e">
        <f t="shared" si="79"/>
        <v>#DIV/0!</v>
      </c>
      <c r="DM91" s="169" t="e">
        <f t="shared" si="98"/>
        <v>#DIV/0!</v>
      </c>
      <c r="DN91" s="171" t="e">
        <f t="shared" si="99"/>
        <v>#DIV/0!</v>
      </c>
      <c r="DO91" s="180" t="e">
        <f t="shared" si="80"/>
        <v>#DIV/0!</v>
      </c>
      <c r="DP91" s="178" t="e">
        <f t="shared" si="80"/>
        <v>#DIV/0!</v>
      </c>
      <c r="DQ91" s="178" t="e">
        <f t="shared" si="80"/>
        <v>#DIV/0!</v>
      </c>
      <c r="DR91" s="178" t="e">
        <f t="shared" si="80"/>
        <v>#DIV/0!</v>
      </c>
      <c r="DS91" s="178" t="e">
        <f t="shared" si="80"/>
        <v>#DIV/0!</v>
      </c>
      <c r="DT91" s="178" t="e">
        <f t="shared" si="80"/>
        <v>#DIV/0!</v>
      </c>
      <c r="DU91" s="178" t="e">
        <f t="shared" si="80"/>
        <v>#DIV/0!</v>
      </c>
      <c r="DV91" s="178" t="e">
        <f t="shared" si="80"/>
        <v>#DIV/0!</v>
      </c>
      <c r="DW91" s="178" t="e">
        <f t="shared" si="80"/>
        <v>#DIV/0!</v>
      </c>
      <c r="DX91" s="178" t="e">
        <f t="shared" si="80"/>
        <v>#DIV/0!</v>
      </c>
      <c r="DY91" s="178" t="e">
        <f t="shared" si="80"/>
        <v>#DIV/0!</v>
      </c>
      <c r="DZ91" s="168" t="e">
        <f t="shared" si="80"/>
        <v>#DIV/0!</v>
      </c>
      <c r="EA91" s="169" t="e">
        <f t="shared" si="100"/>
        <v>#DIV/0!</v>
      </c>
      <c r="EB91" s="171" t="e">
        <f t="shared" si="101"/>
        <v>#DIV/0!</v>
      </c>
    </row>
    <row r="92" spans="1:132" s="177" customFormat="1" ht="15.75">
      <c r="A92" s="163"/>
      <c r="B92" s="164"/>
      <c r="C92" s="165"/>
      <c r="D92" s="182"/>
      <c r="E92" s="167"/>
      <c r="F92" s="168" t="e">
        <f t="shared" si="83"/>
        <v>#DIV/0!</v>
      </c>
      <c r="G92" s="169" t="e">
        <f t="shared" si="82"/>
        <v>#DIV/0!</v>
      </c>
      <c r="H92" s="178" t="e">
        <f t="shared" si="82"/>
        <v>#DIV/0!</v>
      </c>
      <c r="I92" s="178" t="e">
        <f t="shared" si="82"/>
        <v>#DIV/0!</v>
      </c>
      <c r="J92" s="178" t="e">
        <f t="shared" si="82"/>
        <v>#DIV/0!</v>
      </c>
      <c r="K92" s="178" t="e">
        <f t="shared" si="82"/>
        <v>#DIV/0!</v>
      </c>
      <c r="L92" s="178" t="e">
        <f t="shared" si="82"/>
        <v>#DIV/0!</v>
      </c>
      <c r="M92" s="178" t="e">
        <f t="shared" si="82"/>
        <v>#DIV/0!</v>
      </c>
      <c r="N92" s="178" t="e">
        <f t="shared" si="82"/>
        <v>#DIV/0!</v>
      </c>
      <c r="O92" s="178" t="e">
        <f t="shared" si="82"/>
        <v>#DIV/0!</v>
      </c>
      <c r="P92" s="178" t="e">
        <f t="shared" si="82"/>
        <v>#DIV/0!</v>
      </c>
      <c r="Q92" s="178" t="e">
        <f t="shared" si="82"/>
        <v>#DIV/0!</v>
      </c>
      <c r="R92" s="179" t="e">
        <f t="shared" si="82"/>
        <v>#DIV/0!</v>
      </c>
      <c r="S92" s="169" t="e">
        <f t="shared" si="84"/>
        <v>#DIV/0!</v>
      </c>
      <c r="T92" s="179" t="e">
        <f t="shared" si="85"/>
        <v>#DIV/0!</v>
      </c>
      <c r="U92" s="180" t="e">
        <f t="shared" si="73"/>
        <v>#DIV/0!</v>
      </c>
      <c r="V92" s="178" t="e">
        <f t="shared" si="73"/>
        <v>#DIV/0!</v>
      </c>
      <c r="W92" s="178" t="e">
        <f t="shared" si="73"/>
        <v>#DIV/0!</v>
      </c>
      <c r="X92" s="178" t="e">
        <f t="shared" si="73"/>
        <v>#DIV/0!</v>
      </c>
      <c r="Y92" s="178" t="e">
        <f t="shared" si="73"/>
        <v>#DIV/0!</v>
      </c>
      <c r="Z92" s="178" t="e">
        <f t="shared" si="73"/>
        <v>#DIV/0!</v>
      </c>
      <c r="AA92" s="178" t="e">
        <f t="shared" si="73"/>
        <v>#DIV/0!</v>
      </c>
      <c r="AB92" s="178" t="e">
        <f t="shared" si="73"/>
        <v>#DIV/0!</v>
      </c>
      <c r="AC92" s="178" t="e">
        <f t="shared" si="73"/>
        <v>#DIV/0!</v>
      </c>
      <c r="AD92" s="178" t="e">
        <f t="shared" si="73"/>
        <v>#DIV/0!</v>
      </c>
      <c r="AE92" s="178" t="e">
        <f t="shared" si="73"/>
        <v>#DIV/0!</v>
      </c>
      <c r="AF92" s="168" t="e">
        <f t="shared" si="73"/>
        <v>#DIV/0!</v>
      </c>
      <c r="AG92" s="169" t="e">
        <f t="shared" si="86"/>
        <v>#DIV/0!</v>
      </c>
      <c r="AH92" s="179" t="e">
        <f t="shared" si="87"/>
        <v>#DIV/0!</v>
      </c>
      <c r="AI92" s="180" t="e">
        <f t="shared" si="104"/>
        <v>#DIV/0!</v>
      </c>
      <c r="AJ92" s="178" t="e">
        <f t="shared" si="102"/>
        <v>#DIV/0!</v>
      </c>
      <c r="AK92" s="178" t="e">
        <f t="shared" si="102"/>
        <v>#DIV/0!</v>
      </c>
      <c r="AL92" s="178" t="e">
        <f t="shared" si="102"/>
        <v>#DIV/0!</v>
      </c>
      <c r="AM92" s="178" t="e">
        <f t="shared" si="102"/>
        <v>#DIV/0!</v>
      </c>
      <c r="AN92" s="178" t="e">
        <f t="shared" si="102"/>
        <v>#DIV/0!</v>
      </c>
      <c r="AO92" s="178" t="e">
        <f t="shared" si="102"/>
        <v>#DIV/0!</v>
      </c>
      <c r="AP92" s="178" t="e">
        <f t="shared" si="102"/>
        <v>#DIV/0!</v>
      </c>
      <c r="AQ92" s="178" t="e">
        <f t="shared" si="102"/>
        <v>#DIV/0!</v>
      </c>
      <c r="AR92" s="178" t="e">
        <f t="shared" si="102"/>
        <v>#DIV/0!</v>
      </c>
      <c r="AS92" s="178" t="e">
        <f t="shared" si="102"/>
        <v>#DIV/0!</v>
      </c>
      <c r="AT92" s="168" t="e">
        <f t="shared" si="102"/>
        <v>#DIV/0!</v>
      </c>
      <c r="AU92" s="169" t="e">
        <f t="shared" si="88"/>
        <v>#DIV/0!</v>
      </c>
      <c r="AV92" s="179" t="e">
        <f t="shared" si="89"/>
        <v>#DIV/0!</v>
      </c>
      <c r="AW92" s="180" t="e">
        <f t="shared" si="75"/>
        <v>#DIV/0!</v>
      </c>
      <c r="AX92" s="178" t="e">
        <f t="shared" si="75"/>
        <v>#DIV/0!</v>
      </c>
      <c r="AY92" s="178" t="e">
        <f t="shared" si="75"/>
        <v>#DIV/0!</v>
      </c>
      <c r="AZ92" s="178" t="e">
        <f t="shared" si="75"/>
        <v>#DIV/0!</v>
      </c>
      <c r="BA92" s="178" t="e">
        <f t="shared" si="75"/>
        <v>#DIV/0!</v>
      </c>
      <c r="BB92" s="178" t="e">
        <f t="shared" si="75"/>
        <v>#DIV/0!</v>
      </c>
      <c r="BC92" s="178" t="e">
        <f t="shared" si="75"/>
        <v>#DIV/0!</v>
      </c>
      <c r="BD92" s="178" t="e">
        <f t="shared" si="75"/>
        <v>#DIV/0!</v>
      </c>
      <c r="BE92" s="178" t="e">
        <f t="shared" si="75"/>
        <v>#DIV/0!</v>
      </c>
      <c r="BF92" s="178" t="e">
        <f t="shared" si="75"/>
        <v>#DIV/0!</v>
      </c>
      <c r="BG92" s="178" t="e">
        <f t="shared" si="75"/>
        <v>#DIV/0!</v>
      </c>
      <c r="BH92" s="168" t="e">
        <f t="shared" si="75"/>
        <v>#DIV/0!</v>
      </c>
      <c r="BI92" s="169" t="e">
        <f t="shared" si="90"/>
        <v>#DIV/0!</v>
      </c>
      <c r="BJ92" s="179" t="e">
        <f t="shared" si="91"/>
        <v>#DIV/0!</v>
      </c>
      <c r="BK92" s="180" t="e">
        <f t="shared" si="76"/>
        <v>#DIV/0!</v>
      </c>
      <c r="BL92" s="178" t="e">
        <f t="shared" si="76"/>
        <v>#DIV/0!</v>
      </c>
      <c r="BM92" s="178" t="e">
        <f t="shared" si="76"/>
        <v>#DIV/0!</v>
      </c>
      <c r="BN92" s="178" t="e">
        <f t="shared" si="76"/>
        <v>#DIV/0!</v>
      </c>
      <c r="BO92" s="178" t="e">
        <f t="shared" si="76"/>
        <v>#DIV/0!</v>
      </c>
      <c r="BP92" s="178" t="e">
        <f t="shared" si="76"/>
        <v>#DIV/0!</v>
      </c>
      <c r="BQ92" s="178" t="e">
        <f t="shared" si="76"/>
        <v>#DIV/0!</v>
      </c>
      <c r="BR92" s="178" t="e">
        <f t="shared" si="76"/>
        <v>#DIV/0!</v>
      </c>
      <c r="BS92" s="178" t="e">
        <f t="shared" si="76"/>
        <v>#DIV/0!</v>
      </c>
      <c r="BT92" s="178" t="e">
        <f t="shared" si="76"/>
        <v>#DIV/0!</v>
      </c>
      <c r="BU92" s="178" t="e">
        <f t="shared" si="76"/>
        <v>#DIV/0!</v>
      </c>
      <c r="BV92" s="168" t="e">
        <f t="shared" si="76"/>
        <v>#DIV/0!</v>
      </c>
      <c r="BW92" s="169" t="e">
        <f t="shared" si="92"/>
        <v>#DIV/0!</v>
      </c>
      <c r="BX92" s="179" t="e">
        <f t="shared" si="93"/>
        <v>#DIV/0!</v>
      </c>
      <c r="BY92" s="180" t="e">
        <f t="shared" si="77"/>
        <v>#DIV/0!</v>
      </c>
      <c r="BZ92" s="178" t="e">
        <f t="shared" si="77"/>
        <v>#DIV/0!</v>
      </c>
      <c r="CA92" s="178" t="e">
        <f t="shared" si="77"/>
        <v>#DIV/0!</v>
      </c>
      <c r="CB92" s="178" t="e">
        <f t="shared" si="77"/>
        <v>#DIV/0!</v>
      </c>
      <c r="CC92" s="178" t="e">
        <f t="shared" si="77"/>
        <v>#DIV/0!</v>
      </c>
      <c r="CD92" s="178" t="e">
        <f t="shared" si="77"/>
        <v>#DIV/0!</v>
      </c>
      <c r="CE92" s="178" t="e">
        <f t="shared" si="77"/>
        <v>#DIV/0!</v>
      </c>
      <c r="CF92" s="178" t="e">
        <f t="shared" si="77"/>
        <v>#DIV/0!</v>
      </c>
      <c r="CG92" s="178" t="e">
        <f t="shared" si="77"/>
        <v>#DIV/0!</v>
      </c>
      <c r="CH92" s="178" t="e">
        <f t="shared" si="77"/>
        <v>#DIV/0!</v>
      </c>
      <c r="CI92" s="178" t="e">
        <f t="shared" si="77"/>
        <v>#DIV/0!</v>
      </c>
      <c r="CJ92" s="168" t="e">
        <f t="shared" si="77"/>
        <v>#DIV/0!</v>
      </c>
      <c r="CK92" s="169" t="e">
        <f t="shared" si="94"/>
        <v>#DIV/0!</v>
      </c>
      <c r="CL92" s="179" t="e">
        <f t="shared" si="95"/>
        <v>#DIV/0!</v>
      </c>
      <c r="CM92" s="180" t="e">
        <f t="shared" si="78"/>
        <v>#DIV/0!</v>
      </c>
      <c r="CN92" s="178" t="e">
        <f t="shared" si="78"/>
        <v>#DIV/0!</v>
      </c>
      <c r="CO92" s="178" t="e">
        <f t="shared" si="78"/>
        <v>#DIV/0!</v>
      </c>
      <c r="CP92" s="178" t="e">
        <f t="shared" si="78"/>
        <v>#DIV/0!</v>
      </c>
      <c r="CQ92" s="178" t="e">
        <f t="shared" si="78"/>
        <v>#DIV/0!</v>
      </c>
      <c r="CR92" s="178" t="e">
        <f t="shared" si="78"/>
        <v>#DIV/0!</v>
      </c>
      <c r="CS92" s="178" t="e">
        <f t="shared" si="78"/>
        <v>#DIV/0!</v>
      </c>
      <c r="CT92" s="178" t="e">
        <f t="shared" si="78"/>
        <v>#DIV/0!</v>
      </c>
      <c r="CU92" s="178" t="e">
        <f t="shared" si="78"/>
        <v>#DIV/0!</v>
      </c>
      <c r="CV92" s="178" t="e">
        <f t="shared" si="78"/>
        <v>#DIV/0!</v>
      </c>
      <c r="CW92" s="178" t="e">
        <f t="shared" si="78"/>
        <v>#DIV/0!</v>
      </c>
      <c r="CX92" s="168" t="e">
        <f t="shared" si="78"/>
        <v>#DIV/0!</v>
      </c>
      <c r="CY92" s="169" t="e">
        <f t="shared" si="96"/>
        <v>#DIV/0!</v>
      </c>
      <c r="CZ92" s="179" t="e">
        <f t="shared" si="97"/>
        <v>#DIV/0!</v>
      </c>
      <c r="DA92" s="180" t="e">
        <f t="shared" si="79"/>
        <v>#DIV/0!</v>
      </c>
      <c r="DB92" s="178" t="e">
        <f t="shared" si="79"/>
        <v>#DIV/0!</v>
      </c>
      <c r="DC92" s="178" t="e">
        <f t="shared" si="79"/>
        <v>#DIV/0!</v>
      </c>
      <c r="DD92" s="178" t="e">
        <f t="shared" si="79"/>
        <v>#DIV/0!</v>
      </c>
      <c r="DE92" s="178" t="e">
        <f t="shared" si="79"/>
        <v>#DIV/0!</v>
      </c>
      <c r="DF92" s="178" t="e">
        <f t="shared" si="79"/>
        <v>#DIV/0!</v>
      </c>
      <c r="DG92" s="178" t="e">
        <f t="shared" si="79"/>
        <v>#DIV/0!</v>
      </c>
      <c r="DH92" s="178" t="e">
        <f t="shared" si="79"/>
        <v>#DIV/0!</v>
      </c>
      <c r="DI92" s="178" t="e">
        <f t="shared" si="79"/>
        <v>#DIV/0!</v>
      </c>
      <c r="DJ92" s="178" t="e">
        <f t="shared" si="79"/>
        <v>#DIV/0!</v>
      </c>
      <c r="DK92" s="178" t="e">
        <f t="shared" si="79"/>
        <v>#DIV/0!</v>
      </c>
      <c r="DL92" s="168" t="e">
        <f t="shared" si="79"/>
        <v>#DIV/0!</v>
      </c>
      <c r="DM92" s="169" t="e">
        <f t="shared" si="98"/>
        <v>#DIV/0!</v>
      </c>
      <c r="DN92" s="171" t="e">
        <f t="shared" si="99"/>
        <v>#DIV/0!</v>
      </c>
      <c r="DO92" s="180" t="e">
        <f t="shared" si="80"/>
        <v>#DIV/0!</v>
      </c>
      <c r="DP92" s="178" t="e">
        <f t="shared" si="80"/>
        <v>#DIV/0!</v>
      </c>
      <c r="DQ92" s="178" t="e">
        <f t="shared" si="80"/>
        <v>#DIV/0!</v>
      </c>
      <c r="DR92" s="178" t="e">
        <f t="shared" si="80"/>
        <v>#DIV/0!</v>
      </c>
      <c r="DS92" s="178" t="e">
        <f t="shared" si="80"/>
        <v>#DIV/0!</v>
      </c>
      <c r="DT92" s="178" t="e">
        <f t="shared" si="80"/>
        <v>#DIV/0!</v>
      </c>
      <c r="DU92" s="178" t="e">
        <f t="shared" si="80"/>
        <v>#DIV/0!</v>
      </c>
      <c r="DV92" s="178" t="e">
        <f t="shared" si="80"/>
        <v>#DIV/0!</v>
      </c>
      <c r="DW92" s="178" t="e">
        <f t="shared" si="80"/>
        <v>#DIV/0!</v>
      </c>
      <c r="DX92" s="178" t="e">
        <f t="shared" si="80"/>
        <v>#DIV/0!</v>
      </c>
      <c r="DY92" s="178" t="e">
        <f t="shared" si="80"/>
        <v>#DIV/0!</v>
      </c>
      <c r="DZ92" s="168" t="e">
        <f t="shared" si="80"/>
        <v>#DIV/0!</v>
      </c>
      <c r="EA92" s="169" t="e">
        <f t="shared" si="100"/>
        <v>#DIV/0!</v>
      </c>
      <c r="EB92" s="171" t="e">
        <f t="shared" si="101"/>
        <v>#DIV/0!</v>
      </c>
    </row>
    <row r="93" spans="1:132" s="177" customFormat="1" ht="15.75">
      <c r="A93" s="163"/>
      <c r="B93" s="164"/>
      <c r="C93" s="165"/>
      <c r="D93" s="182"/>
      <c r="E93" s="167"/>
      <c r="F93" s="168" t="e">
        <f t="shared" si="83"/>
        <v>#DIV/0!</v>
      </c>
      <c r="G93" s="169" t="e">
        <f t="shared" si="82"/>
        <v>#DIV/0!</v>
      </c>
      <c r="H93" s="178" t="e">
        <f t="shared" si="82"/>
        <v>#DIV/0!</v>
      </c>
      <c r="I93" s="178" t="e">
        <f t="shared" si="82"/>
        <v>#DIV/0!</v>
      </c>
      <c r="J93" s="178" t="e">
        <f t="shared" si="82"/>
        <v>#DIV/0!</v>
      </c>
      <c r="K93" s="178" t="e">
        <f t="shared" si="82"/>
        <v>#DIV/0!</v>
      </c>
      <c r="L93" s="178" t="e">
        <f t="shared" si="82"/>
        <v>#DIV/0!</v>
      </c>
      <c r="M93" s="178" t="e">
        <f t="shared" si="82"/>
        <v>#DIV/0!</v>
      </c>
      <c r="N93" s="178" t="e">
        <f t="shared" si="82"/>
        <v>#DIV/0!</v>
      </c>
      <c r="O93" s="178" t="e">
        <f t="shared" si="82"/>
        <v>#DIV/0!</v>
      </c>
      <c r="P93" s="178" t="e">
        <f t="shared" si="82"/>
        <v>#DIV/0!</v>
      </c>
      <c r="Q93" s="178" t="e">
        <f t="shared" si="82"/>
        <v>#DIV/0!</v>
      </c>
      <c r="R93" s="179" t="e">
        <f t="shared" si="82"/>
        <v>#DIV/0!</v>
      </c>
      <c r="S93" s="169" t="e">
        <f t="shared" si="84"/>
        <v>#DIV/0!</v>
      </c>
      <c r="T93" s="179" t="e">
        <f t="shared" si="85"/>
        <v>#DIV/0!</v>
      </c>
      <c r="U93" s="180" t="e">
        <f t="shared" si="73"/>
        <v>#DIV/0!</v>
      </c>
      <c r="V93" s="178" t="e">
        <f t="shared" si="73"/>
        <v>#DIV/0!</v>
      </c>
      <c r="W93" s="178" t="e">
        <f t="shared" si="73"/>
        <v>#DIV/0!</v>
      </c>
      <c r="X93" s="178" t="e">
        <f t="shared" si="73"/>
        <v>#DIV/0!</v>
      </c>
      <c r="Y93" s="178" t="e">
        <f t="shared" si="73"/>
        <v>#DIV/0!</v>
      </c>
      <c r="Z93" s="178" t="e">
        <f t="shared" si="73"/>
        <v>#DIV/0!</v>
      </c>
      <c r="AA93" s="178" t="e">
        <f t="shared" si="73"/>
        <v>#DIV/0!</v>
      </c>
      <c r="AB93" s="178" t="e">
        <f t="shared" si="73"/>
        <v>#DIV/0!</v>
      </c>
      <c r="AC93" s="178" t="e">
        <f t="shared" si="73"/>
        <v>#DIV/0!</v>
      </c>
      <c r="AD93" s="178" t="e">
        <f t="shared" si="73"/>
        <v>#DIV/0!</v>
      </c>
      <c r="AE93" s="178" t="e">
        <f t="shared" si="73"/>
        <v>#DIV/0!</v>
      </c>
      <c r="AF93" s="168" t="e">
        <f t="shared" si="73"/>
        <v>#DIV/0!</v>
      </c>
      <c r="AG93" s="169" t="e">
        <f t="shared" si="86"/>
        <v>#DIV/0!</v>
      </c>
      <c r="AH93" s="179" t="e">
        <f t="shared" si="87"/>
        <v>#DIV/0!</v>
      </c>
      <c r="AI93" s="180" t="e">
        <f t="shared" si="104"/>
        <v>#DIV/0!</v>
      </c>
      <c r="AJ93" s="178" t="e">
        <f t="shared" si="102"/>
        <v>#DIV/0!</v>
      </c>
      <c r="AK93" s="178" t="e">
        <f t="shared" si="102"/>
        <v>#DIV/0!</v>
      </c>
      <c r="AL93" s="178" t="e">
        <f t="shared" si="102"/>
        <v>#DIV/0!</v>
      </c>
      <c r="AM93" s="178" t="e">
        <f t="shared" si="102"/>
        <v>#DIV/0!</v>
      </c>
      <c r="AN93" s="178" t="e">
        <f t="shared" si="102"/>
        <v>#DIV/0!</v>
      </c>
      <c r="AO93" s="178" t="e">
        <f t="shared" si="102"/>
        <v>#DIV/0!</v>
      </c>
      <c r="AP93" s="178" t="e">
        <f t="shared" si="102"/>
        <v>#DIV/0!</v>
      </c>
      <c r="AQ93" s="178" t="e">
        <f t="shared" si="102"/>
        <v>#DIV/0!</v>
      </c>
      <c r="AR93" s="178" t="e">
        <f t="shared" si="102"/>
        <v>#DIV/0!</v>
      </c>
      <c r="AS93" s="178" t="e">
        <f t="shared" si="102"/>
        <v>#DIV/0!</v>
      </c>
      <c r="AT93" s="168" t="e">
        <f t="shared" si="102"/>
        <v>#DIV/0!</v>
      </c>
      <c r="AU93" s="169" t="e">
        <f t="shared" si="88"/>
        <v>#DIV/0!</v>
      </c>
      <c r="AV93" s="179" t="e">
        <f t="shared" si="89"/>
        <v>#DIV/0!</v>
      </c>
      <c r="AW93" s="180" t="e">
        <f t="shared" si="75"/>
        <v>#DIV/0!</v>
      </c>
      <c r="AX93" s="178" t="e">
        <f t="shared" si="75"/>
        <v>#DIV/0!</v>
      </c>
      <c r="AY93" s="178" t="e">
        <f t="shared" si="75"/>
        <v>#DIV/0!</v>
      </c>
      <c r="AZ93" s="178" t="e">
        <f t="shared" si="75"/>
        <v>#DIV/0!</v>
      </c>
      <c r="BA93" s="178" t="e">
        <f t="shared" si="75"/>
        <v>#DIV/0!</v>
      </c>
      <c r="BB93" s="178" t="e">
        <f t="shared" si="75"/>
        <v>#DIV/0!</v>
      </c>
      <c r="BC93" s="178" t="e">
        <f t="shared" si="75"/>
        <v>#DIV/0!</v>
      </c>
      <c r="BD93" s="178" t="e">
        <f t="shared" si="75"/>
        <v>#DIV/0!</v>
      </c>
      <c r="BE93" s="178" t="e">
        <f t="shared" si="75"/>
        <v>#DIV/0!</v>
      </c>
      <c r="BF93" s="178" t="e">
        <f t="shared" si="75"/>
        <v>#DIV/0!</v>
      </c>
      <c r="BG93" s="178" t="e">
        <f t="shared" si="75"/>
        <v>#DIV/0!</v>
      </c>
      <c r="BH93" s="168" t="e">
        <f t="shared" si="75"/>
        <v>#DIV/0!</v>
      </c>
      <c r="BI93" s="169" t="e">
        <f t="shared" si="90"/>
        <v>#DIV/0!</v>
      </c>
      <c r="BJ93" s="179" t="e">
        <f t="shared" si="91"/>
        <v>#DIV/0!</v>
      </c>
      <c r="BK93" s="180" t="e">
        <f t="shared" si="76"/>
        <v>#DIV/0!</v>
      </c>
      <c r="BL93" s="178" t="e">
        <f t="shared" si="76"/>
        <v>#DIV/0!</v>
      </c>
      <c r="BM93" s="178" t="e">
        <f t="shared" si="76"/>
        <v>#DIV/0!</v>
      </c>
      <c r="BN93" s="178" t="e">
        <f t="shared" si="76"/>
        <v>#DIV/0!</v>
      </c>
      <c r="BO93" s="178" t="e">
        <f t="shared" si="76"/>
        <v>#DIV/0!</v>
      </c>
      <c r="BP93" s="178" t="e">
        <f t="shared" si="76"/>
        <v>#DIV/0!</v>
      </c>
      <c r="BQ93" s="178" t="e">
        <f t="shared" si="76"/>
        <v>#DIV/0!</v>
      </c>
      <c r="BR93" s="178" t="e">
        <f t="shared" si="76"/>
        <v>#DIV/0!</v>
      </c>
      <c r="BS93" s="178" t="e">
        <f t="shared" si="76"/>
        <v>#DIV/0!</v>
      </c>
      <c r="BT93" s="178" t="e">
        <f t="shared" si="76"/>
        <v>#DIV/0!</v>
      </c>
      <c r="BU93" s="178" t="e">
        <f t="shared" si="76"/>
        <v>#DIV/0!</v>
      </c>
      <c r="BV93" s="168" t="e">
        <f t="shared" si="76"/>
        <v>#DIV/0!</v>
      </c>
      <c r="BW93" s="169" t="e">
        <f t="shared" si="92"/>
        <v>#DIV/0!</v>
      </c>
      <c r="BX93" s="179" t="e">
        <f t="shared" si="93"/>
        <v>#DIV/0!</v>
      </c>
      <c r="BY93" s="180" t="e">
        <f t="shared" si="77"/>
        <v>#DIV/0!</v>
      </c>
      <c r="BZ93" s="178" t="e">
        <f t="shared" si="77"/>
        <v>#DIV/0!</v>
      </c>
      <c r="CA93" s="178" t="e">
        <f t="shared" si="77"/>
        <v>#DIV/0!</v>
      </c>
      <c r="CB93" s="178" t="e">
        <f t="shared" si="77"/>
        <v>#DIV/0!</v>
      </c>
      <c r="CC93" s="178" t="e">
        <f t="shared" si="77"/>
        <v>#DIV/0!</v>
      </c>
      <c r="CD93" s="178" t="e">
        <f t="shared" si="77"/>
        <v>#DIV/0!</v>
      </c>
      <c r="CE93" s="178" t="e">
        <f t="shared" si="77"/>
        <v>#DIV/0!</v>
      </c>
      <c r="CF93" s="178" t="e">
        <f t="shared" si="77"/>
        <v>#DIV/0!</v>
      </c>
      <c r="CG93" s="178" t="e">
        <f t="shared" si="77"/>
        <v>#DIV/0!</v>
      </c>
      <c r="CH93" s="178" t="e">
        <f t="shared" si="77"/>
        <v>#DIV/0!</v>
      </c>
      <c r="CI93" s="178" t="e">
        <f t="shared" si="77"/>
        <v>#DIV/0!</v>
      </c>
      <c r="CJ93" s="168" t="e">
        <f t="shared" si="77"/>
        <v>#DIV/0!</v>
      </c>
      <c r="CK93" s="169" t="e">
        <f t="shared" si="94"/>
        <v>#DIV/0!</v>
      </c>
      <c r="CL93" s="179" t="e">
        <f t="shared" si="95"/>
        <v>#DIV/0!</v>
      </c>
      <c r="CM93" s="180" t="e">
        <f t="shared" si="78"/>
        <v>#DIV/0!</v>
      </c>
      <c r="CN93" s="178" t="e">
        <f t="shared" si="78"/>
        <v>#DIV/0!</v>
      </c>
      <c r="CO93" s="178" t="e">
        <f t="shared" si="78"/>
        <v>#DIV/0!</v>
      </c>
      <c r="CP93" s="178" t="e">
        <f t="shared" si="78"/>
        <v>#DIV/0!</v>
      </c>
      <c r="CQ93" s="178" t="e">
        <f t="shared" si="78"/>
        <v>#DIV/0!</v>
      </c>
      <c r="CR93" s="178" t="e">
        <f t="shared" si="78"/>
        <v>#DIV/0!</v>
      </c>
      <c r="CS93" s="178" t="e">
        <f t="shared" si="78"/>
        <v>#DIV/0!</v>
      </c>
      <c r="CT93" s="178" t="e">
        <f t="shared" si="78"/>
        <v>#DIV/0!</v>
      </c>
      <c r="CU93" s="178" t="e">
        <f t="shared" si="78"/>
        <v>#DIV/0!</v>
      </c>
      <c r="CV93" s="178" t="e">
        <f t="shared" si="78"/>
        <v>#DIV/0!</v>
      </c>
      <c r="CW93" s="178" t="e">
        <f t="shared" si="78"/>
        <v>#DIV/0!</v>
      </c>
      <c r="CX93" s="168" t="e">
        <f t="shared" si="78"/>
        <v>#DIV/0!</v>
      </c>
      <c r="CY93" s="169" t="e">
        <f t="shared" si="96"/>
        <v>#DIV/0!</v>
      </c>
      <c r="CZ93" s="179" t="e">
        <f t="shared" si="97"/>
        <v>#DIV/0!</v>
      </c>
      <c r="DA93" s="180" t="e">
        <f t="shared" si="79"/>
        <v>#DIV/0!</v>
      </c>
      <c r="DB93" s="178" t="e">
        <f t="shared" si="79"/>
        <v>#DIV/0!</v>
      </c>
      <c r="DC93" s="178" t="e">
        <f t="shared" si="79"/>
        <v>#DIV/0!</v>
      </c>
      <c r="DD93" s="178" t="e">
        <f t="shared" si="79"/>
        <v>#DIV/0!</v>
      </c>
      <c r="DE93" s="178" t="e">
        <f t="shared" si="79"/>
        <v>#DIV/0!</v>
      </c>
      <c r="DF93" s="178" t="e">
        <f t="shared" si="79"/>
        <v>#DIV/0!</v>
      </c>
      <c r="DG93" s="178" t="e">
        <f t="shared" si="79"/>
        <v>#DIV/0!</v>
      </c>
      <c r="DH93" s="178" t="e">
        <f t="shared" si="79"/>
        <v>#DIV/0!</v>
      </c>
      <c r="DI93" s="178" t="e">
        <f t="shared" si="79"/>
        <v>#DIV/0!</v>
      </c>
      <c r="DJ93" s="178" t="e">
        <f t="shared" si="79"/>
        <v>#DIV/0!</v>
      </c>
      <c r="DK93" s="178" t="e">
        <f t="shared" si="79"/>
        <v>#DIV/0!</v>
      </c>
      <c r="DL93" s="168" t="e">
        <f t="shared" si="79"/>
        <v>#DIV/0!</v>
      </c>
      <c r="DM93" s="169" t="e">
        <f t="shared" si="98"/>
        <v>#DIV/0!</v>
      </c>
      <c r="DN93" s="171" t="e">
        <f t="shared" si="99"/>
        <v>#DIV/0!</v>
      </c>
      <c r="DO93" s="180" t="e">
        <f t="shared" si="80"/>
        <v>#DIV/0!</v>
      </c>
      <c r="DP93" s="178" t="e">
        <f t="shared" si="80"/>
        <v>#DIV/0!</v>
      </c>
      <c r="DQ93" s="178" t="e">
        <f t="shared" si="80"/>
        <v>#DIV/0!</v>
      </c>
      <c r="DR93" s="178" t="e">
        <f t="shared" si="80"/>
        <v>#DIV/0!</v>
      </c>
      <c r="DS93" s="178" t="e">
        <f t="shared" si="80"/>
        <v>#DIV/0!</v>
      </c>
      <c r="DT93" s="178" t="e">
        <f t="shared" si="80"/>
        <v>#DIV/0!</v>
      </c>
      <c r="DU93" s="178" t="e">
        <f t="shared" si="80"/>
        <v>#DIV/0!</v>
      </c>
      <c r="DV93" s="178" t="e">
        <f t="shared" si="80"/>
        <v>#DIV/0!</v>
      </c>
      <c r="DW93" s="178" t="e">
        <f t="shared" si="80"/>
        <v>#DIV/0!</v>
      </c>
      <c r="DX93" s="178" t="e">
        <f t="shared" si="80"/>
        <v>#DIV/0!</v>
      </c>
      <c r="DY93" s="178" t="e">
        <f t="shared" si="80"/>
        <v>#DIV/0!</v>
      </c>
      <c r="DZ93" s="168" t="e">
        <f t="shared" si="80"/>
        <v>#DIV/0!</v>
      </c>
      <c r="EA93" s="169" t="e">
        <f t="shared" si="100"/>
        <v>#DIV/0!</v>
      </c>
      <c r="EB93" s="171" t="e">
        <f t="shared" si="101"/>
        <v>#DIV/0!</v>
      </c>
    </row>
    <row r="94" spans="1:132" s="177" customFormat="1" ht="15.75">
      <c r="A94" s="163"/>
      <c r="B94" s="181"/>
      <c r="C94" s="165"/>
      <c r="D94" s="182"/>
      <c r="E94" s="167"/>
      <c r="F94" s="168" t="e">
        <f t="shared" si="83"/>
        <v>#DIV/0!</v>
      </c>
      <c r="G94" s="169" t="e">
        <f t="shared" si="82"/>
        <v>#DIV/0!</v>
      </c>
      <c r="H94" s="178" t="e">
        <f t="shared" si="82"/>
        <v>#DIV/0!</v>
      </c>
      <c r="I94" s="178" t="e">
        <f t="shared" si="82"/>
        <v>#DIV/0!</v>
      </c>
      <c r="J94" s="178" t="e">
        <f t="shared" si="82"/>
        <v>#DIV/0!</v>
      </c>
      <c r="K94" s="178" t="e">
        <f t="shared" si="82"/>
        <v>#DIV/0!</v>
      </c>
      <c r="L94" s="178" t="e">
        <f t="shared" si="82"/>
        <v>#DIV/0!</v>
      </c>
      <c r="M94" s="178" t="e">
        <f t="shared" si="82"/>
        <v>#DIV/0!</v>
      </c>
      <c r="N94" s="178" t="e">
        <f t="shared" si="82"/>
        <v>#DIV/0!</v>
      </c>
      <c r="O94" s="178" t="e">
        <f t="shared" si="82"/>
        <v>#DIV/0!</v>
      </c>
      <c r="P94" s="178" t="e">
        <f t="shared" si="82"/>
        <v>#DIV/0!</v>
      </c>
      <c r="Q94" s="178" t="e">
        <f t="shared" si="82"/>
        <v>#DIV/0!</v>
      </c>
      <c r="R94" s="179" t="e">
        <f t="shared" si="82"/>
        <v>#DIV/0!</v>
      </c>
      <c r="S94" s="169" t="e">
        <f t="shared" si="84"/>
        <v>#DIV/0!</v>
      </c>
      <c r="T94" s="179" t="e">
        <f t="shared" si="85"/>
        <v>#DIV/0!</v>
      </c>
      <c r="U94" s="180" t="e">
        <f t="shared" si="73"/>
        <v>#DIV/0!</v>
      </c>
      <c r="V94" s="178" t="e">
        <f t="shared" si="73"/>
        <v>#DIV/0!</v>
      </c>
      <c r="W94" s="178" t="e">
        <f t="shared" si="73"/>
        <v>#DIV/0!</v>
      </c>
      <c r="X94" s="178" t="e">
        <f t="shared" si="73"/>
        <v>#DIV/0!</v>
      </c>
      <c r="Y94" s="178" t="e">
        <f t="shared" si="73"/>
        <v>#DIV/0!</v>
      </c>
      <c r="Z94" s="178" t="e">
        <f t="shared" si="73"/>
        <v>#DIV/0!</v>
      </c>
      <c r="AA94" s="178" t="e">
        <f t="shared" si="73"/>
        <v>#DIV/0!</v>
      </c>
      <c r="AB94" s="178" t="e">
        <f t="shared" si="73"/>
        <v>#DIV/0!</v>
      </c>
      <c r="AC94" s="178" t="e">
        <f t="shared" si="73"/>
        <v>#DIV/0!</v>
      </c>
      <c r="AD94" s="178" t="e">
        <f t="shared" si="73"/>
        <v>#DIV/0!</v>
      </c>
      <c r="AE94" s="178" t="e">
        <f t="shared" si="73"/>
        <v>#DIV/0!</v>
      </c>
      <c r="AF94" s="168" t="e">
        <f t="shared" si="73"/>
        <v>#DIV/0!</v>
      </c>
      <c r="AG94" s="169" t="e">
        <f t="shared" si="86"/>
        <v>#DIV/0!</v>
      </c>
      <c r="AH94" s="179" t="e">
        <f t="shared" si="87"/>
        <v>#DIV/0!</v>
      </c>
      <c r="AI94" s="180" t="e">
        <f t="shared" si="104"/>
        <v>#DIV/0!</v>
      </c>
      <c r="AJ94" s="178" t="e">
        <f t="shared" si="102"/>
        <v>#DIV/0!</v>
      </c>
      <c r="AK94" s="178" t="e">
        <f t="shared" si="102"/>
        <v>#DIV/0!</v>
      </c>
      <c r="AL94" s="178" t="e">
        <f t="shared" si="102"/>
        <v>#DIV/0!</v>
      </c>
      <c r="AM94" s="178" t="e">
        <f t="shared" si="102"/>
        <v>#DIV/0!</v>
      </c>
      <c r="AN94" s="178" t="e">
        <f t="shared" si="102"/>
        <v>#DIV/0!</v>
      </c>
      <c r="AO94" s="178" t="e">
        <f t="shared" si="102"/>
        <v>#DIV/0!</v>
      </c>
      <c r="AP94" s="178" t="e">
        <f t="shared" si="102"/>
        <v>#DIV/0!</v>
      </c>
      <c r="AQ94" s="178" t="e">
        <f t="shared" si="102"/>
        <v>#DIV/0!</v>
      </c>
      <c r="AR94" s="178" t="e">
        <f t="shared" si="102"/>
        <v>#DIV/0!</v>
      </c>
      <c r="AS94" s="178" t="e">
        <f t="shared" si="102"/>
        <v>#DIV/0!</v>
      </c>
      <c r="AT94" s="168" t="e">
        <f t="shared" si="102"/>
        <v>#DIV/0!</v>
      </c>
      <c r="AU94" s="169" t="e">
        <f t="shared" si="88"/>
        <v>#DIV/0!</v>
      </c>
      <c r="AV94" s="179" t="e">
        <f t="shared" si="89"/>
        <v>#DIV/0!</v>
      </c>
      <c r="AW94" s="180" t="e">
        <f t="shared" si="75"/>
        <v>#DIV/0!</v>
      </c>
      <c r="AX94" s="178" t="e">
        <f t="shared" si="75"/>
        <v>#DIV/0!</v>
      </c>
      <c r="AY94" s="178" t="e">
        <f t="shared" si="75"/>
        <v>#DIV/0!</v>
      </c>
      <c r="AZ94" s="178" t="e">
        <f t="shared" si="75"/>
        <v>#DIV/0!</v>
      </c>
      <c r="BA94" s="178" t="e">
        <f t="shared" si="75"/>
        <v>#DIV/0!</v>
      </c>
      <c r="BB94" s="178" t="e">
        <f t="shared" si="75"/>
        <v>#DIV/0!</v>
      </c>
      <c r="BC94" s="178" t="e">
        <f t="shared" si="75"/>
        <v>#DIV/0!</v>
      </c>
      <c r="BD94" s="178" t="e">
        <f t="shared" si="75"/>
        <v>#DIV/0!</v>
      </c>
      <c r="BE94" s="178" t="e">
        <f t="shared" si="75"/>
        <v>#DIV/0!</v>
      </c>
      <c r="BF94" s="178" t="e">
        <f t="shared" si="75"/>
        <v>#DIV/0!</v>
      </c>
      <c r="BG94" s="178" t="e">
        <f t="shared" si="75"/>
        <v>#DIV/0!</v>
      </c>
      <c r="BH94" s="168" t="e">
        <f t="shared" si="75"/>
        <v>#DIV/0!</v>
      </c>
      <c r="BI94" s="169" t="e">
        <f t="shared" si="90"/>
        <v>#DIV/0!</v>
      </c>
      <c r="BJ94" s="179" t="e">
        <f t="shared" si="91"/>
        <v>#DIV/0!</v>
      </c>
      <c r="BK94" s="180" t="e">
        <f t="shared" si="76"/>
        <v>#DIV/0!</v>
      </c>
      <c r="BL94" s="178" t="e">
        <f t="shared" si="76"/>
        <v>#DIV/0!</v>
      </c>
      <c r="BM94" s="178" t="e">
        <f t="shared" si="76"/>
        <v>#DIV/0!</v>
      </c>
      <c r="BN94" s="178" t="e">
        <f t="shared" si="76"/>
        <v>#DIV/0!</v>
      </c>
      <c r="BO94" s="178" t="e">
        <f t="shared" si="76"/>
        <v>#DIV/0!</v>
      </c>
      <c r="BP94" s="178" t="e">
        <f t="shared" si="76"/>
        <v>#DIV/0!</v>
      </c>
      <c r="BQ94" s="178" t="e">
        <f t="shared" si="76"/>
        <v>#DIV/0!</v>
      </c>
      <c r="BR94" s="178" t="e">
        <f t="shared" si="76"/>
        <v>#DIV/0!</v>
      </c>
      <c r="BS94" s="178" t="e">
        <f t="shared" si="76"/>
        <v>#DIV/0!</v>
      </c>
      <c r="BT94" s="178" t="e">
        <f t="shared" si="76"/>
        <v>#DIV/0!</v>
      </c>
      <c r="BU94" s="178" t="e">
        <f t="shared" si="76"/>
        <v>#DIV/0!</v>
      </c>
      <c r="BV94" s="168" t="e">
        <f t="shared" si="76"/>
        <v>#DIV/0!</v>
      </c>
      <c r="BW94" s="169" t="e">
        <f t="shared" si="92"/>
        <v>#DIV/0!</v>
      </c>
      <c r="BX94" s="179" t="e">
        <f t="shared" si="93"/>
        <v>#DIV/0!</v>
      </c>
      <c r="BY94" s="180" t="e">
        <f t="shared" si="77"/>
        <v>#DIV/0!</v>
      </c>
      <c r="BZ94" s="178" t="e">
        <f t="shared" si="77"/>
        <v>#DIV/0!</v>
      </c>
      <c r="CA94" s="178" t="e">
        <f t="shared" si="77"/>
        <v>#DIV/0!</v>
      </c>
      <c r="CB94" s="178" t="e">
        <f t="shared" si="77"/>
        <v>#DIV/0!</v>
      </c>
      <c r="CC94" s="178" t="e">
        <f t="shared" si="77"/>
        <v>#DIV/0!</v>
      </c>
      <c r="CD94" s="178" t="e">
        <f t="shared" si="77"/>
        <v>#DIV/0!</v>
      </c>
      <c r="CE94" s="178" t="e">
        <f t="shared" si="77"/>
        <v>#DIV/0!</v>
      </c>
      <c r="CF94" s="178" t="e">
        <f t="shared" si="77"/>
        <v>#DIV/0!</v>
      </c>
      <c r="CG94" s="178" t="e">
        <f t="shared" si="77"/>
        <v>#DIV/0!</v>
      </c>
      <c r="CH94" s="178" t="e">
        <f t="shared" si="77"/>
        <v>#DIV/0!</v>
      </c>
      <c r="CI94" s="178" t="e">
        <f t="shared" si="77"/>
        <v>#DIV/0!</v>
      </c>
      <c r="CJ94" s="168" t="e">
        <f t="shared" si="77"/>
        <v>#DIV/0!</v>
      </c>
      <c r="CK94" s="169" t="e">
        <f t="shared" si="94"/>
        <v>#DIV/0!</v>
      </c>
      <c r="CL94" s="179" t="e">
        <f t="shared" si="95"/>
        <v>#DIV/0!</v>
      </c>
      <c r="CM94" s="180" t="e">
        <f t="shared" si="78"/>
        <v>#DIV/0!</v>
      </c>
      <c r="CN94" s="178" t="e">
        <f t="shared" si="78"/>
        <v>#DIV/0!</v>
      </c>
      <c r="CO94" s="178" t="e">
        <f t="shared" si="78"/>
        <v>#DIV/0!</v>
      </c>
      <c r="CP94" s="178" t="e">
        <f t="shared" si="78"/>
        <v>#DIV/0!</v>
      </c>
      <c r="CQ94" s="178" t="e">
        <f t="shared" si="78"/>
        <v>#DIV/0!</v>
      </c>
      <c r="CR94" s="178" t="e">
        <f t="shared" si="78"/>
        <v>#DIV/0!</v>
      </c>
      <c r="CS94" s="178" t="e">
        <f t="shared" si="78"/>
        <v>#DIV/0!</v>
      </c>
      <c r="CT94" s="178" t="e">
        <f t="shared" si="78"/>
        <v>#DIV/0!</v>
      </c>
      <c r="CU94" s="178" t="e">
        <f t="shared" si="78"/>
        <v>#DIV/0!</v>
      </c>
      <c r="CV94" s="178" t="e">
        <f t="shared" si="78"/>
        <v>#DIV/0!</v>
      </c>
      <c r="CW94" s="178" t="e">
        <f t="shared" si="78"/>
        <v>#DIV/0!</v>
      </c>
      <c r="CX94" s="168" t="e">
        <f t="shared" si="78"/>
        <v>#DIV/0!</v>
      </c>
      <c r="CY94" s="169" t="e">
        <f t="shared" si="96"/>
        <v>#DIV/0!</v>
      </c>
      <c r="CZ94" s="179" t="e">
        <f t="shared" si="97"/>
        <v>#DIV/0!</v>
      </c>
      <c r="DA94" s="180" t="e">
        <f t="shared" si="79"/>
        <v>#DIV/0!</v>
      </c>
      <c r="DB94" s="178" t="e">
        <f t="shared" si="79"/>
        <v>#DIV/0!</v>
      </c>
      <c r="DC94" s="178" t="e">
        <f t="shared" si="79"/>
        <v>#DIV/0!</v>
      </c>
      <c r="DD94" s="178" t="e">
        <f t="shared" si="79"/>
        <v>#DIV/0!</v>
      </c>
      <c r="DE94" s="178" t="e">
        <f t="shared" si="79"/>
        <v>#DIV/0!</v>
      </c>
      <c r="DF94" s="178" t="e">
        <f t="shared" si="79"/>
        <v>#DIV/0!</v>
      </c>
      <c r="DG94" s="178" t="e">
        <f t="shared" si="79"/>
        <v>#DIV/0!</v>
      </c>
      <c r="DH94" s="178" t="e">
        <f t="shared" si="79"/>
        <v>#DIV/0!</v>
      </c>
      <c r="DI94" s="178" t="e">
        <f t="shared" si="79"/>
        <v>#DIV/0!</v>
      </c>
      <c r="DJ94" s="178" t="e">
        <f t="shared" si="79"/>
        <v>#DIV/0!</v>
      </c>
      <c r="DK94" s="178" t="e">
        <f t="shared" si="79"/>
        <v>#DIV/0!</v>
      </c>
      <c r="DL94" s="168" t="e">
        <f t="shared" si="79"/>
        <v>#DIV/0!</v>
      </c>
      <c r="DM94" s="169" t="e">
        <f t="shared" si="98"/>
        <v>#DIV/0!</v>
      </c>
      <c r="DN94" s="171" t="e">
        <f t="shared" si="99"/>
        <v>#DIV/0!</v>
      </c>
      <c r="DO94" s="180" t="e">
        <f t="shared" si="80"/>
        <v>#DIV/0!</v>
      </c>
      <c r="DP94" s="178" t="e">
        <f t="shared" si="80"/>
        <v>#DIV/0!</v>
      </c>
      <c r="DQ94" s="178" t="e">
        <f t="shared" si="80"/>
        <v>#DIV/0!</v>
      </c>
      <c r="DR94" s="178" t="e">
        <f t="shared" si="80"/>
        <v>#DIV/0!</v>
      </c>
      <c r="DS94" s="178" t="e">
        <f t="shared" si="80"/>
        <v>#DIV/0!</v>
      </c>
      <c r="DT94" s="178" t="e">
        <f t="shared" si="80"/>
        <v>#DIV/0!</v>
      </c>
      <c r="DU94" s="178" t="e">
        <f t="shared" si="80"/>
        <v>#DIV/0!</v>
      </c>
      <c r="DV94" s="178" t="e">
        <f t="shared" si="80"/>
        <v>#DIV/0!</v>
      </c>
      <c r="DW94" s="178" t="e">
        <f t="shared" si="80"/>
        <v>#DIV/0!</v>
      </c>
      <c r="DX94" s="178" t="e">
        <f t="shared" si="80"/>
        <v>#DIV/0!</v>
      </c>
      <c r="DY94" s="178" t="e">
        <f t="shared" si="80"/>
        <v>#DIV/0!</v>
      </c>
      <c r="DZ94" s="168" t="e">
        <f t="shared" si="80"/>
        <v>#DIV/0!</v>
      </c>
      <c r="EA94" s="169" t="e">
        <f t="shared" si="100"/>
        <v>#DIV/0!</v>
      </c>
      <c r="EB94" s="171" t="e">
        <f t="shared" si="101"/>
        <v>#DIV/0!</v>
      </c>
    </row>
    <row r="95" spans="1:132" s="177" customFormat="1" ht="15.75">
      <c r="A95" s="163"/>
      <c r="B95" s="181"/>
      <c r="C95" s="165"/>
      <c r="D95" s="182"/>
      <c r="E95" s="167"/>
      <c r="F95" s="168" t="e">
        <f t="shared" si="83"/>
        <v>#DIV/0!</v>
      </c>
      <c r="G95" s="169" t="e">
        <f t="shared" si="82"/>
        <v>#DIV/0!</v>
      </c>
      <c r="H95" s="178" t="e">
        <f t="shared" si="82"/>
        <v>#DIV/0!</v>
      </c>
      <c r="I95" s="178" t="e">
        <f t="shared" si="82"/>
        <v>#DIV/0!</v>
      </c>
      <c r="J95" s="178" t="e">
        <f t="shared" si="82"/>
        <v>#DIV/0!</v>
      </c>
      <c r="K95" s="178" t="e">
        <f t="shared" si="82"/>
        <v>#DIV/0!</v>
      </c>
      <c r="L95" s="178" t="e">
        <f t="shared" si="82"/>
        <v>#DIV/0!</v>
      </c>
      <c r="M95" s="178" t="e">
        <f t="shared" si="82"/>
        <v>#DIV/0!</v>
      </c>
      <c r="N95" s="178" t="e">
        <f t="shared" si="82"/>
        <v>#DIV/0!</v>
      </c>
      <c r="O95" s="178" t="e">
        <f t="shared" si="82"/>
        <v>#DIV/0!</v>
      </c>
      <c r="P95" s="178" t="e">
        <f t="shared" si="82"/>
        <v>#DIV/0!</v>
      </c>
      <c r="Q95" s="178" t="e">
        <f t="shared" si="82"/>
        <v>#DIV/0!</v>
      </c>
      <c r="R95" s="179" t="e">
        <f t="shared" si="82"/>
        <v>#DIV/0!</v>
      </c>
      <c r="S95" s="169" t="e">
        <f t="shared" si="84"/>
        <v>#DIV/0!</v>
      </c>
      <c r="T95" s="179" t="e">
        <f t="shared" si="85"/>
        <v>#DIV/0!</v>
      </c>
      <c r="U95" s="180" t="e">
        <f t="shared" si="73"/>
        <v>#DIV/0!</v>
      </c>
      <c r="V95" s="178" t="e">
        <f t="shared" si="73"/>
        <v>#DIV/0!</v>
      </c>
      <c r="W95" s="178" t="e">
        <f t="shared" si="73"/>
        <v>#DIV/0!</v>
      </c>
      <c r="X95" s="178" t="e">
        <f t="shared" si="73"/>
        <v>#DIV/0!</v>
      </c>
      <c r="Y95" s="178" t="e">
        <f t="shared" si="73"/>
        <v>#DIV/0!</v>
      </c>
      <c r="Z95" s="178" t="e">
        <f t="shared" si="73"/>
        <v>#DIV/0!</v>
      </c>
      <c r="AA95" s="178" t="e">
        <f t="shared" si="73"/>
        <v>#DIV/0!</v>
      </c>
      <c r="AB95" s="178" t="e">
        <f t="shared" si="73"/>
        <v>#DIV/0!</v>
      </c>
      <c r="AC95" s="178" t="e">
        <f t="shared" si="73"/>
        <v>#DIV/0!</v>
      </c>
      <c r="AD95" s="178" t="e">
        <f t="shared" si="73"/>
        <v>#DIV/0!</v>
      </c>
      <c r="AE95" s="178" t="e">
        <f t="shared" si="73"/>
        <v>#DIV/0!</v>
      </c>
      <c r="AF95" s="168" t="e">
        <f t="shared" si="73"/>
        <v>#DIV/0!</v>
      </c>
      <c r="AG95" s="169" t="e">
        <f t="shared" si="86"/>
        <v>#DIV/0!</v>
      </c>
      <c r="AH95" s="179" t="e">
        <f t="shared" si="87"/>
        <v>#DIV/0!</v>
      </c>
      <c r="AI95" s="180" t="e">
        <f t="shared" si="104"/>
        <v>#DIV/0!</v>
      </c>
      <c r="AJ95" s="178" t="e">
        <f t="shared" si="102"/>
        <v>#DIV/0!</v>
      </c>
      <c r="AK95" s="178" t="e">
        <f t="shared" si="102"/>
        <v>#DIV/0!</v>
      </c>
      <c r="AL95" s="178" t="e">
        <f t="shared" si="102"/>
        <v>#DIV/0!</v>
      </c>
      <c r="AM95" s="178" t="e">
        <f t="shared" si="102"/>
        <v>#DIV/0!</v>
      </c>
      <c r="AN95" s="178" t="e">
        <f t="shared" si="102"/>
        <v>#DIV/0!</v>
      </c>
      <c r="AO95" s="178" t="e">
        <f t="shared" si="102"/>
        <v>#DIV/0!</v>
      </c>
      <c r="AP95" s="178" t="e">
        <f t="shared" si="102"/>
        <v>#DIV/0!</v>
      </c>
      <c r="AQ95" s="178" t="e">
        <f t="shared" si="102"/>
        <v>#DIV/0!</v>
      </c>
      <c r="AR95" s="178" t="e">
        <f t="shared" si="102"/>
        <v>#DIV/0!</v>
      </c>
      <c r="AS95" s="178" t="e">
        <f t="shared" si="102"/>
        <v>#DIV/0!</v>
      </c>
      <c r="AT95" s="168" t="e">
        <f t="shared" si="102"/>
        <v>#DIV/0!</v>
      </c>
      <c r="AU95" s="169" t="e">
        <f t="shared" si="88"/>
        <v>#DIV/0!</v>
      </c>
      <c r="AV95" s="179" t="e">
        <f t="shared" si="89"/>
        <v>#DIV/0!</v>
      </c>
      <c r="AW95" s="180" t="e">
        <f t="shared" si="75"/>
        <v>#DIV/0!</v>
      </c>
      <c r="AX95" s="178" t="e">
        <f t="shared" si="75"/>
        <v>#DIV/0!</v>
      </c>
      <c r="AY95" s="178" t="e">
        <f t="shared" si="75"/>
        <v>#DIV/0!</v>
      </c>
      <c r="AZ95" s="178" t="e">
        <f t="shared" si="75"/>
        <v>#DIV/0!</v>
      </c>
      <c r="BA95" s="178" t="e">
        <f t="shared" si="75"/>
        <v>#DIV/0!</v>
      </c>
      <c r="BB95" s="178" t="e">
        <f t="shared" si="75"/>
        <v>#DIV/0!</v>
      </c>
      <c r="BC95" s="178" t="e">
        <f t="shared" si="75"/>
        <v>#DIV/0!</v>
      </c>
      <c r="BD95" s="178" t="e">
        <f t="shared" si="75"/>
        <v>#DIV/0!</v>
      </c>
      <c r="BE95" s="178" t="e">
        <f t="shared" si="75"/>
        <v>#DIV/0!</v>
      </c>
      <c r="BF95" s="178" t="e">
        <f t="shared" si="75"/>
        <v>#DIV/0!</v>
      </c>
      <c r="BG95" s="178" t="e">
        <f t="shared" si="75"/>
        <v>#DIV/0!</v>
      </c>
      <c r="BH95" s="168" t="e">
        <f t="shared" si="75"/>
        <v>#DIV/0!</v>
      </c>
      <c r="BI95" s="169" t="e">
        <f t="shared" si="90"/>
        <v>#DIV/0!</v>
      </c>
      <c r="BJ95" s="179" t="e">
        <f t="shared" si="91"/>
        <v>#DIV/0!</v>
      </c>
      <c r="BK95" s="180" t="e">
        <f t="shared" si="76"/>
        <v>#DIV/0!</v>
      </c>
      <c r="BL95" s="178" t="e">
        <f t="shared" si="76"/>
        <v>#DIV/0!</v>
      </c>
      <c r="BM95" s="178" t="e">
        <f t="shared" si="76"/>
        <v>#DIV/0!</v>
      </c>
      <c r="BN95" s="178" t="e">
        <f t="shared" si="76"/>
        <v>#DIV/0!</v>
      </c>
      <c r="BO95" s="178" t="e">
        <f t="shared" si="76"/>
        <v>#DIV/0!</v>
      </c>
      <c r="BP95" s="178" t="e">
        <f t="shared" si="76"/>
        <v>#DIV/0!</v>
      </c>
      <c r="BQ95" s="178" t="e">
        <f t="shared" si="76"/>
        <v>#DIV/0!</v>
      </c>
      <c r="BR95" s="178" t="e">
        <f t="shared" si="76"/>
        <v>#DIV/0!</v>
      </c>
      <c r="BS95" s="178" t="e">
        <f t="shared" si="76"/>
        <v>#DIV/0!</v>
      </c>
      <c r="BT95" s="178" t="e">
        <f t="shared" si="76"/>
        <v>#DIV/0!</v>
      </c>
      <c r="BU95" s="178" t="e">
        <f t="shared" si="76"/>
        <v>#DIV/0!</v>
      </c>
      <c r="BV95" s="168" t="e">
        <f t="shared" si="76"/>
        <v>#DIV/0!</v>
      </c>
      <c r="BW95" s="169" t="e">
        <f t="shared" si="92"/>
        <v>#DIV/0!</v>
      </c>
      <c r="BX95" s="179" t="e">
        <f t="shared" si="93"/>
        <v>#DIV/0!</v>
      </c>
      <c r="BY95" s="180" t="e">
        <f t="shared" si="77"/>
        <v>#DIV/0!</v>
      </c>
      <c r="BZ95" s="178" t="e">
        <f t="shared" si="77"/>
        <v>#DIV/0!</v>
      </c>
      <c r="CA95" s="178" t="e">
        <f t="shared" si="77"/>
        <v>#DIV/0!</v>
      </c>
      <c r="CB95" s="178" t="e">
        <f t="shared" si="77"/>
        <v>#DIV/0!</v>
      </c>
      <c r="CC95" s="178" t="e">
        <f t="shared" si="77"/>
        <v>#DIV/0!</v>
      </c>
      <c r="CD95" s="178" t="e">
        <f t="shared" si="77"/>
        <v>#DIV/0!</v>
      </c>
      <c r="CE95" s="178" t="e">
        <f t="shared" si="77"/>
        <v>#DIV/0!</v>
      </c>
      <c r="CF95" s="178" t="e">
        <f t="shared" si="77"/>
        <v>#DIV/0!</v>
      </c>
      <c r="CG95" s="178" t="e">
        <f t="shared" si="77"/>
        <v>#DIV/0!</v>
      </c>
      <c r="CH95" s="178" t="e">
        <f t="shared" si="77"/>
        <v>#DIV/0!</v>
      </c>
      <c r="CI95" s="178" t="e">
        <f t="shared" si="77"/>
        <v>#DIV/0!</v>
      </c>
      <c r="CJ95" s="168" t="e">
        <f t="shared" si="77"/>
        <v>#DIV/0!</v>
      </c>
      <c r="CK95" s="169" t="e">
        <f t="shared" si="94"/>
        <v>#DIV/0!</v>
      </c>
      <c r="CL95" s="179" t="e">
        <f t="shared" si="95"/>
        <v>#DIV/0!</v>
      </c>
      <c r="CM95" s="180" t="e">
        <f t="shared" si="78"/>
        <v>#DIV/0!</v>
      </c>
      <c r="CN95" s="178" t="e">
        <f t="shared" si="78"/>
        <v>#DIV/0!</v>
      </c>
      <c r="CO95" s="178" t="e">
        <f t="shared" si="78"/>
        <v>#DIV/0!</v>
      </c>
      <c r="CP95" s="178" t="e">
        <f t="shared" si="78"/>
        <v>#DIV/0!</v>
      </c>
      <c r="CQ95" s="178" t="e">
        <f t="shared" si="78"/>
        <v>#DIV/0!</v>
      </c>
      <c r="CR95" s="178" t="e">
        <f t="shared" si="78"/>
        <v>#DIV/0!</v>
      </c>
      <c r="CS95" s="178" t="e">
        <f t="shared" si="78"/>
        <v>#DIV/0!</v>
      </c>
      <c r="CT95" s="178" t="e">
        <f t="shared" si="78"/>
        <v>#DIV/0!</v>
      </c>
      <c r="CU95" s="178" t="e">
        <f t="shared" si="78"/>
        <v>#DIV/0!</v>
      </c>
      <c r="CV95" s="178" t="e">
        <f t="shared" si="78"/>
        <v>#DIV/0!</v>
      </c>
      <c r="CW95" s="178" t="e">
        <f t="shared" si="78"/>
        <v>#DIV/0!</v>
      </c>
      <c r="CX95" s="168" t="e">
        <f t="shared" si="78"/>
        <v>#DIV/0!</v>
      </c>
      <c r="CY95" s="169" t="e">
        <f t="shared" si="96"/>
        <v>#DIV/0!</v>
      </c>
      <c r="CZ95" s="179" t="e">
        <f t="shared" si="97"/>
        <v>#DIV/0!</v>
      </c>
      <c r="DA95" s="180" t="e">
        <f t="shared" si="79"/>
        <v>#DIV/0!</v>
      </c>
      <c r="DB95" s="178" t="e">
        <f t="shared" si="79"/>
        <v>#DIV/0!</v>
      </c>
      <c r="DC95" s="178" t="e">
        <f t="shared" si="79"/>
        <v>#DIV/0!</v>
      </c>
      <c r="DD95" s="178" t="e">
        <f t="shared" si="79"/>
        <v>#DIV/0!</v>
      </c>
      <c r="DE95" s="178" t="e">
        <f t="shared" si="79"/>
        <v>#DIV/0!</v>
      </c>
      <c r="DF95" s="178" t="e">
        <f t="shared" si="79"/>
        <v>#DIV/0!</v>
      </c>
      <c r="DG95" s="178" t="e">
        <f t="shared" si="79"/>
        <v>#DIV/0!</v>
      </c>
      <c r="DH95" s="178" t="e">
        <f t="shared" si="79"/>
        <v>#DIV/0!</v>
      </c>
      <c r="DI95" s="178" t="e">
        <f t="shared" si="79"/>
        <v>#DIV/0!</v>
      </c>
      <c r="DJ95" s="178" t="e">
        <f t="shared" si="79"/>
        <v>#DIV/0!</v>
      </c>
      <c r="DK95" s="178" t="e">
        <f t="shared" si="79"/>
        <v>#DIV/0!</v>
      </c>
      <c r="DL95" s="168" t="e">
        <f t="shared" si="79"/>
        <v>#DIV/0!</v>
      </c>
      <c r="DM95" s="169" t="e">
        <f t="shared" si="98"/>
        <v>#DIV/0!</v>
      </c>
      <c r="DN95" s="171" t="e">
        <f t="shared" si="99"/>
        <v>#DIV/0!</v>
      </c>
      <c r="DO95" s="180" t="e">
        <f t="shared" si="80"/>
        <v>#DIV/0!</v>
      </c>
      <c r="DP95" s="178" t="e">
        <f t="shared" si="80"/>
        <v>#DIV/0!</v>
      </c>
      <c r="DQ95" s="178" t="e">
        <f t="shared" si="80"/>
        <v>#DIV/0!</v>
      </c>
      <c r="DR95" s="178" t="e">
        <f t="shared" si="80"/>
        <v>#DIV/0!</v>
      </c>
      <c r="DS95" s="178" t="e">
        <f t="shared" si="80"/>
        <v>#DIV/0!</v>
      </c>
      <c r="DT95" s="178" t="e">
        <f t="shared" si="80"/>
        <v>#DIV/0!</v>
      </c>
      <c r="DU95" s="178" t="e">
        <f t="shared" si="80"/>
        <v>#DIV/0!</v>
      </c>
      <c r="DV95" s="178" t="e">
        <f t="shared" si="80"/>
        <v>#DIV/0!</v>
      </c>
      <c r="DW95" s="178" t="e">
        <f t="shared" si="80"/>
        <v>#DIV/0!</v>
      </c>
      <c r="DX95" s="178" t="e">
        <f t="shared" si="80"/>
        <v>#DIV/0!</v>
      </c>
      <c r="DY95" s="178" t="e">
        <f t="shared" si="80"/>
        <v>#DIV/0!</v>
      </c>
      <c r="DZ95" s="168" t="e">
        <f t="shared" si="80"/>
        <v>#DIV/0!</v>
      </c>
      <c r="EA95" s="169" t="e">
        <f t="shared" si="100"/>
        <v>#DIV/0!</v>
      </c>
      <c r="EB95" s="171" t="e">
        <f t="shared" si="101"/>
        <v>#DIV/0!</v>
      </c>
    </row>
    <row r="96" spans="1:132" s="177" customFormat="1" ht="15.75">
      <c r="A96" s="163"/>
      <c r="B96" s="181"/>
      <c r="C96" s="165"/>
      <c r="D96" s="182"/>
      <c r="E96" s="167"/>
      <c r="F96" s="168" t="e">
        <f t="shared" si="83"/>
        <v>#DIV/0!</v>
      </c>
      <c r="G96" s="169" t="e">
        <f t="shared" si="82"/>
        <v>#DIV/0!</v>
      </c>
      <c r="H96" s="178" t="e">
        <f t="shared" si="82"/>
        <v>#DIV/0!</v>
      </c>
      <c r="I96" s="178" t="e">
        <f t="shared" si="82"/>
        <v>#DIV/0!</v>
      </c>
      <c r="J96" s="178" t="e">
        <f t="shared" si="82"/>
        <v>#DIV/0!</v>
      </c>
      <c r="K96" s="178" t="e">
        <f t="shared" si="82"/>
        <v>#DIV/0!</v>
      </c>
      <c r="L96" s="178" t="e">
        <f t="shared" si="82"/>
        <v>#DIV/0!</v>
      </c>
      <c r="M96" s="178" t="e">
        <f t="shared" si="82"/>
        <v>#DIV/0!</v>
      </c>
      <c r="N96" s="178" t="e">
        <f t="shared" si="82"/>
        <v>#DIV/0!</v>
      </c>
      <c r="O96" s="178" t="e">
        <f t="shared" si="82"/>
        <v>#DIV/0!</v>
      </c>
      <c r="P96" s="178" t="e">
        <f t="shared" si="82"/>
        <v>#DIV/0!</v>
      </c>
      <c r="Q96" s="178" t="e">
        <f t="shared" si="82"/>
        <v>#DIV/0!</v>
      </c>
      <c r="R96" s="179" t="e">
        <f t="shared" si="82"/>
        <v>#DIV/0!</v>
      </c>
      <c r="S96" s="169" t="e">
        <f t="shared" si="84"/>
        <v>#DIV/0!</v>
      </c>
      <c r="T96" s="179" t="e">
        <f t="shared" si="85"/>
        <v>#DIV/0!</v>
      </c>
      <c r="U96" s="180" t="e">
        <f t="shared" si="73"/>
        <v>#DIV/0!</v>
      </c>
      <c r="V96" s="178" t="e">
        <f t="shared" si="73"/>
        <v>#DIV/0!</v>
      </c>
      <c r="W96" s="178" t="e">
        <f t="shared" si="73"/>
        <v>#DIV/0!</v>
      </c>
      <c r="X96" s="178" t="e">
        <f t="shared" si="73"/>
        <v>#DIV/0!</v>
      </c>
      <c r="Y96" s="178" t="e">
        <f t="shared" si="73"/>
        <v>#DIV/0!</v>
      </c>
      <c r="Z96" s="178" t="e">
        <f t="shared" si="73"/>
        <v>#DIV/0!</v>
      </c>
      <c r="AA96" s="178" t="e">
        <f t="shared" si="73"/>
        <v>#DIV/0!</v>
      </c>
      <c r="AB96" s="178" t="e">
        <f t="shared" si="73"/>
        <v>#DIV/0!</v>
      </c>
      <c r="AC96" s="178" t="e">
        <f t="shared" si="73"/>
        <v>#DIV/0!</v>
      </c>
      <c r="AD96" s="178" t="e">
        <f t="shared" si="73"/>
        <v>#DIV/0!</v>
      </c>
      <c r="AE96" s="178" t="e">
        <f t="shared" si="73"/>
        <v>#DIV/0!</v>
      </c>
      <c r="AF96" s="168" t="e">
        <f t="shared" si="73"/>
        <v>#DIV/0!</v>
      </c>
      <c r="AG96" s="169" t="e">
        <f t="shared" si="86"/>
        <v>#DIV/0!</v>
      </c>
      <c r="AH96" s="179" t="e">
        <f t="shared" si="87"/>
        <v>#DIV/0!</v>
      </c>
      <c r="AI96" s="180" t="e">
        <f t="shared" si="104"/>
        <v>#DIV/0!</v>
      </c>
      <c r="AJ96" s="178" t="e">
        <f t="shared" si="102"/>
        <v>#DIV/0!</v>
      </c>
      <c r="AK96" s="178" t="e">
        <f t="shared" si="102"/>
        <v>#DIV/0!</v>
      </c>
      <c r="AL96" s="178" t="e">
        <f t="shared" si="102"/>
        <v>#DIV/0!</v>
      </c>
      <c r="AM96" s="178" t="e">
        <f t="shared" si="102"/>
        <v>#DIV/0!</v>
      </c>
      <c r="AN96" s="178" t="e">
        <f t="shared" si="102"/>
        <v>#DIV/0!</v>
      </c>
      <c r="AO96" s="178" t="e">
        <f t="shared" si="102"/>
        <v>#DIV/0!</v>
      </c>
      <c r="AP96" s="178" t="e">
        <f t="shared" si="102"/>
        <v>#DIV/0!</v>
      </c>
      <c r="AQ96" s="178" t="e">
        <f t="shared" si="102"/>
        <v>#DIV/0!</v>
      </c>
      <c r="AR96" s="178" t="e">
        <f t="shared" si="102"/>
        <v>#DIV/0!</v>
      </c>
      <c r="AS96" s="178" t="e">
        <f t="shared" si="102"/>
        <v>#DIV/0!</v>
      </c>
      <c r="AT96" s="168" t="e">
        <f t="shared" si="102"/>
        <v>#DIV/0!</v>
      </c>
      <c r="AU96" s="169" t="e">
        <f t="shared" si="88"/>
        <v>#DIV/0!</v>
      </c>
      <c r="AV96" s="179" t="e">
        <f t="shared" si="89"/>
        <v>#DIV/0!</v>
      </c>
      <c r="AW96" s="180" t="e">
        <f t="shared" si="75"/>
        <v>#DIV/0!</v>
      </c>
      <c r="AX96" s="178" t="e">
        <f t="shared" si="75"/>
        <v>#DIV/0!</v>
      </c>
      <c r="AY96" s="178" t="e">
        <f t="shared" si="75"/>
        <v>#DIV/0!</v>
      </c>
      <c r="AZ96" s="178" t="e">
        <f t="shared" si="75"/>
        <v>#DIV/0!</v>
      </c>
      <c r="BA96" s="178" t="e">
        <f t="shared" si="75"/>
        <v>#DIV/0!</v>
      </c>
      <c r="BB96" s="178" t="e">
        <f t="shared" si="75"/>
        <v>#DIV/0!</v>
      </c>
      <c r="BC96" s="178" t="e">
        <f t="shared" si="75"/>
        <v>#DIV/0!</v>
      </c>
      <c r="BD96" s="178" t="e">
        <f t="shared" si="75"/>
        <v>#DIV/0!</v>
      </c>
      <c r="BE96" s="178" t="e">
        <f t="shared" si="75"/>
        <v>#DIV/0!</v>
      </c>
      <c r="BF96" s="178" t="e">
        <f t="shared" si="75"/>
        <v>#DIV/0!</v>
      </c>
      <c r="BG96" s="178" t="e">
        <f t="shared" si="75"/>
        <v>#DIV/0!</v>
      </c>
      <c r="BH96" s="168" t="e">
        <f t="shared" si="75"/>
        <v>#DIV/0!</v>
      </c>
      <c r="BI96" s="169" t="e">
        <f t="shared" si="90"/>
        <v>#DIV/0!</v>
      </c>
      <c r="BJ96" s="179" t="e">
        <f t="shared" si="91"/>
        <v>#DIV/0!</v>
      </c>
      <c r="BK96" s="180" t="e">
        <f t="shared" si="76"/>
        <v>#DIV/0!</v>
      </c>
      <c r="BL96" s="178" t="e">
        <f t="shared" si="76"/>
        <v>#DIV/0!</v>
      </c>
      <c r="BM96" s="178" t="e">
        <f t="shared" si="76"/>
        <v>#DIV/0!</v>
      </c>
      <c r="BN96" s="178" t="e">
        <f t="shared" si="76"/>
        <v>#DIV/0!</v>
      </c>
      <c r="BO96" s="178" t="e">
        <f t="shared" si="76"/>
        <v>#DIV/0!</v>
      </c>
      <c r="BP96" s="178" t="e">
        <f t="shared" si="76"/>
        <v>#DIV/0!</v>
      </c>
      <c r="BQ96" s="178" t="e">
        <f t="shared" si="76"/>
        <v>#DIV/0!</v>
      </c>
      <c r="BR96" s="178" t="e">
        <f t="shared" si="76"/>
        <v>#DIV/0!</v>
      </c>
      <c r="BS96" s="178" t="e">
        <f t="shared" si="76"/>
        <v>#DIV/0!</v>
      </c>
      <c r="BT96" s="178" t="e">
        <f t="shared" si="76"/>
        <v>#DIV/0!</v>
      </c>
      <c r="BU96" s="178" t="e">
        <f t="shared" si="76"/>
        <v>#DIV/0!</v>
      </c>
      <c r="BV96" s="168" t="e">
        <f t="shared" si="76"/>
        <v>#DIV/0!</v>
      </c>
      <c r="BW96" s="169" t="e">
        <f t="shared" si="92"/>
        <v>#DIV/0!</v>
      </c>
      <c r="BX96" s="179" t="e">
        <f t="shared" si="93"/>
        <v>#DIV/0!</v>
      </c>
      <c r="BY96" s="180" t="e">
        <f t="shared" si="77"/>
        <v>#DIV/0!</v>
      </c>
      <c r="BZ96" s="178" t="e">
        <f t="shared" si="77"/>
        <v>#DIV/0!</v>
      </c>
      <c r="CA96" s="178" t="e">
        <f t="shared" si="77"/>
        <v>#DIV/0!</v>
      </c>
      <c r="CB96" s="178" t="e">
        <f t="shared" si="77"/>
        <v>#DIV/0!</v>
      </c>
      <c r="CC96" s="178" t="e">
        <f t="shared" si="77"/>
        <v>#DIV/0!</v>
      </c>
      <c r="CD96" s="178" t="e">
        <f t="shared" si="77"/>
        <v>#DIV/0!</v>
      </c>
      <c r="CE96" s="178" t="e">
        <f t="shared" si="77"/>
        <v>#DIV/0!</v>
      </c>
      <c r="CF96" s="178" t="e">
        <f t="shared" si="77"/>
        <v>#DIV/0!</v>
      </c>
      <c r="CG96" s="178" t="e">
        <f t="shared" si="77"/>
        <v>#DIV/0!</v>
      </c>
      <c r="CH96" s="178" t="e">
        <f t="shared" si="77"/>
        <v>#DIV/0!</v>
      </c>
      <c r="CI96" s="178" t="e">
        <f t="shared" si="77"/>
        <v>#DIV/0!</v>
      </c>
      <c r="CJ96" s="168" t="e">
        <f t="shared" si="77"/>
        <v>#DIV/0!</v>
      </c>
      <c r="CK96" s="169" t="e">
        <f t="shared" si="94"/>
        <v>#DIV/0!</v>
      </c>
      <c r="CL96" s="179" t="e">
        <f t="shared" si="95"/>
        <v>#DIV/0!</v>
      </c>
      <c r="CM96" s="180" t="e">
        <f t="shared" si="78"/>
        <v>#DIV/0!</v>
      </c>
      <c r="CN96" s="178" t="e">
        <f t="shared" si="78"/>
        <v>#DIV/0!</v>
      </c>
      <c r="CO96" s="178" t="e">
        <f t="shared" si="78"/>
        <v>#DIV/0!</v>
      </c>
      <c r="CP96" s="178" t="e">
        <f t="shared" si="78"/>
        <v>#DIV/0!</v>
      </c>
      <c r="CQ96" s="178" t="e">
        <f t="shared" si="78"/>
        <v>#DIV/0!</v>
      </c>
      <c r="CR96" s="178" t="e">
        <f t="shared" si="78"/>
        <v>#DIV/0!</v>
      </c>
      <c r="CS96" s="178" t="e">
        <f t="shared" si="78"/>
        <v>#DIV/0!</v>
      </c>
      <c r="CT96" s="178" t="e">
        <f t="shared" si="78"/>
        <v>#DIV/0!</v>
      </c>
      <c r="CU96" s="178" t="e">
        <f t="shared" si="78"/>
        <v>#DIV/0!</v>
      </c>
      <c r="CV96" s="178" t="e">
        <f t="shared" si="78"/>
        <v>#DIV/0!</v>
      </c>
      <c r="CW96" s="178" t="e">
        <f t="shared" si="78"/>
        <v>#DIV/0!</v>
      </c>
      <c r="CX96" s="168" t="e">
        <f t="shared" si="78"/>
        <v>#DIV/0!</v>
      </c>
      <c r="CY96" s="169" t="e">
        <f t="shared" si="96"/>
        <v>#DIV/0!</v>
      </c>
      <c r="CZ96" s="179" t="e">
        <f t="shared" si="97"/>
        <v>#DIV/0!</v>
      </c>
      <c r="DA96" s="180" t="e">
        <f t="shared" si="79"/>
        <v>#DIV/0!</v>
      </c>
      <c r="DB96" s="178" t="e">
        <f t="shared" si="79"/>
        <v>#DIV/0!</v>
      </c>
      <c r="DC96" s="178" t="e">
        <f t="shared" si="79"/>
        <v>#DIV/0!</v>
      </c>
      <c r="DD96" s="178" t="e">
        <f t="shared" si="79"/>
        <v>#DIV/0!</v>
      </c>
      <c r="DE96" s="178" t="e">
        <f t="shared" si="79"/>
        <v>#DIV/0!</v>
      </c>
      <c r="DF96" s="178" t="e">
        <f t="shared" si="79"/>
        <v>#DIV/0!</v>
      </c>
      <c r="DG96" s="178" t="e">
        <f t="shared" si="79"/>
        <v>#DIV/0!</v>
      </c>
      <c r="DH96" s="178" t="e">
        <f t="shared" si="79"/>
        <v>#DIV/0!</v>
      </c>
      <c r="DI96" s="178" t="e">
        <f t="shared" si="79"/>
        <v>#DIV/0!</v>
      </c>
      <c r="DJ96" s="178" t="e">
        <f t="shared" si="79"/>
        <v>#DIV/0!</v>
      </c>
      <c r="DK96" s="178" t="e">
        <f t="shared" si="79"/>
        <v>#DIV/0!</v>
      </c>
      <c r="DL96" s="168" t="e">
        <f t="shared" si="79"/>
        <v>#DIV/0!</v>
      </c>
      <c r="DM96" s="169" t="e">
        <f t="shared" si="98"/>
        <v>#DIV/0!</v>
      </c>
      <c r="DN96" s="171" t="e">
        <f t="shared" si="99"/>
        <v>#DIV/0!</v>
      </c>
      <c r="DO96" s="180" t="e">
        <f t="shared" si="80"/>
        <v>#DIV/0!</v>
      </c>
      <c r="DP96" s="178" t="e">
        <f t="shared" si="80"/>
        <v>#DIV/0!</v>
      </c>
      <c r="DQ96" s="178" t="e">
        <f t="shared" si="80"/>
        <v>#DIV/0!</v>
      </c>
      <c r="DR96" s="178" t="e">
        <f t="shared" si="80"/>
        <v>#DIV/0!</v>
      </c>
      <c r="DS96" s="178" t="e">
        <f t="shared" si="80"/>
        <v>#DIV/0!</v>
      </c>
      <c r="DT96" s="178" t="e">
        <f t="shared" si="80"/>
        <v>#DIV/0!</v>
      </c>
      <c r="DU96" s="178" t="e">
        <f t="shared" si="80"/>
        <v>#DIV/0!</v>
      </c>
      <c r="DV96" s="178" t="e">
        <f t="shared" si="80"/>
        <v>#DIV/0!</v>
      </c>
      <c r="DW96" s="178" t="e">
        <f t="shared" si="80"/>
        <v>#DIV/0!</v>
      </c>
      <c r="DX96" s="178" t="e">
        <f t="shared" si="80"/>
        <v>#DIV/0!</v>
      </c>
      <c r="DY96" s="178" t="e">
        <f t="shared" si="80"/>
        <v>#DIV/0!</v>
      </c>
      <c r="DZ96" s="168" t="e">
        <f t="shared" si="80"/>
        <v>#DIV/0!</v>
      </c>
      <c r="EA96" s="169" t="e">
        <f t="shared" si="100"/>
        <v>#DIV/0!</v>
      </c>
      <c r="EB96" s="171" t="e">
        <f t="shared" si="101"/>
        <v>#DIV/0!</v>
      </c>
    </row>
    <row r="97" spans="1:132" s="177" customFormat="1" ht="15.75">
      <c r="A97" s="163"/>
      <c r="B97" s="181"/>
      <c r="C97" s="165"/>
      <c r="D97" s="182"/>
      <c r="E97" s="167"/>
      <c r="F97" s="168" t="e">
        <f t="shared" si="83"/>
        <v>#DIV/0!</v>
      </c>
      <c r="G97" s="169" t="e">
        <f t="shared" si="82"/>
        <v>#DIV/0!</v>
      </c>
      <c r="H97" s="178" t="e">
        <f t="shared" si="82"/>
        <v>#DIV/0!</v>
      </c>
      <c r="I97" s="178" t="e">
        <f t="shared" si="82"/>
        <v>#DIV/0!</v>
      </c>
      <c r="J97" s="178" t="e">
        <f t="shared" si="82"/>
        <v>#DIV/0!</v>
      </c>
      <c r="K97" s="178" t="e">
        <f t="shared" si="82"/>
        <v>#DIV/0!</v>
      </c>
      <c r="L97" s="178" t="e">
        <f t="shared" si="82"/>
        <v>#DIV/0!</v>
      </c>
      <c r="M97" s="178" t="e">
        <f t="shared" si="82"/>
        <v>#DIV/0!</v>
      </c>
      <c r="N97" s="178" t="e">
        <f t="shared" si="82"/>
        <v>#DIV/0!</v>
      </c>
      <c r="O97" s="178" t="e">
        <f t="shared" si="82"/>
        <v>#DIV/0!</v>
      </c>
      <c r="P97" s="178" t="e">
        <f t="shared" si="82"/>
        <v>#DIV/0!</v>
      </c>
      <c r="Q97" s="178" t="e">
        <f t="shared" si="82"/>
        <v>#DIV/0!</v>
      </c>
      <c r="R97" s="179" t="e">
        <f t="shared" si="82"/>
        <v>#DIV/0!</v>
      </c>
      <c r="S97" s="169" t="e">
        <f t="shared" si="84"/>
        <v>#DIV/0!</v>
      </c>
      <c r="T97" s="179" t="e">
        <f t="shared" si="85"/>
        <v>#DIV/0!</v>
      </c>
      <c r="U97" s="180" t="e">
        <f t="shared" si="73"/>
        <v>#DIV/0!</v>
      </c>
      <c r="V97" s="178" t="e">
        <f t="shared" si="73"/>
        <v>#DIV/0!</v>
      </c>
      <c r="W97" s="178" t="e">
        <f t="shared" si="73"/>
        <v>#DIV/0!</v>
      </c>
      <c r="X97" s="178" t="e">
        <f t="shared" si="73"/>
        <v>#DIV/0!</v>
      </c>
      <c r="Y97" s="178" t="e">
        <f t="shared" si="73"/>
        <v>#DIV/0!</v>
      </c>
      <c r="Z97" s="178" t="e">
        <f t="shared" si="73"/>
        <v>#DIV/0!</v>
      </c>
      <c r="AA97" s="178" t="e">
        <f t="shared" si="73"/>
        <v>#DIV/0!</v>
      </c>
      <c r="AB97" s="178" t="e">
        <f t="shared" si="73"/>
        <v>#DIV/0!</v>
      </c>
      <c r="AC97" s="178" t="e">
        <f t="shared" si="73"/>
        <v>#DIV/0!</v>
      </c>
      <c r="AD97" s="178" t="e">
        <f t="shared" si="73"/>
        <v>#DIV/0!</v>
      </c>
      <c r="AE97" s="178" t="e">
        <f t="shared" si="73"/>
        <v>#DIV/0!</v>
      </c>
      <c r="AF97" s="168" t="e">
        <f t="shared" si="73"/>
        <v>#DIV/0!</v>
      </c>
      <c r="AG97" s="169" t="e">
        <f t="shared" si="86"/>
        <v>#DIV/0!</v>
      </c>
      <c r="AH97" s="179" t="e">
        <f t="shared" si="87"/>
        <v>#DIV/0!</v>
      </c>
      <c r="AI97" s="180" t="e">
        <f t="shared" si="104"/>
        <v>#DIV/0!</v>
      </c>
      <c r="AJ97" s="178" t="e">
        <f t="shared" si="102"/>
        <v>#DIV/0!</v>
      </c>
      <c r="AK97" s="178" t="e">
        <f t="shared" si="102"/>
        <v>#DIV/0!</v>
      </c>
      <c r="AL97" s="178" t="e">
        <f t="shared" si="102"/>
        <v>#DIV/0!</v>
      </c>
      <c r="AM97" s="178" t="e">
        <f t="shared" si="102"/>
        <v>#DIV/0!</v>
      </c>
      <c r="AN97" s="178" t="e">
        <f t="shared" si="102"/>
        <v>#DIV/0!</v>
      </c>
      <c r="AO97" s="178" t="e">
        <f t="shared" si="102"/>
        <v>#DIV/0!</v>
      </c>
      <c r="AP97" s="178" t="e">
        <f t="shared" si="102"/>
        <v>#DIV/0!</v>
      </c>
      <c r="AQ97" s="178" t="e">
        <f t="shared" si="102"/>
        <v>#DIV/0!</v>
      </c>
      <c r="AR97" s="178" t="e">
        <f t="shared" si="102"/>
        <v>#DIV/0!</v>
      </c>
      <c r="AS97" s="178" t="e">
        <f t="shared" si="102"/>
        <v>#DIV/0!</v>
      </c>
      <c r="AT97" s="168" t="e">
        <f t="shared" si="102"/>
        <v>#DIV/0!</v>
      </c>
      <c r="AU97" s="169" t="e">
        <f t="shared" si="88"/>
        <v>#DIV/0!</v>
      </c>
      <c r="AV97" s="179" t="e">
        <f t="shared" si="89"/>
        <v>#DIV/0!</v>
      </c>
      <c r="AW97" s="180" t="e">
        <f t="shared" si="75"/>
        <v>#DIV/0!</v>
      </c>
      <c r="AX97" s="178" t="e">
        <f t="shared" si="75"/>
        <v>#DIV/0!</v>
      </c>
      <c r="AY97" s="178" t="e">
        <f t="shared" si="75"/>
        <v>#DIV/0!</v>
      </c>
      <c r="AZ97" s="178" t="e">
        <f t="shared" si="75"/>
        <v>#DIV/0!</v>
      </c>
      <c r="BA97" s="178" t="e">
        <f t="shared" si="75"/>
        <v>#DIV/0!</v>
      </c>
      <c r="BB97" s="178" t="e">
        <f t="shared" si="75"/>
        <v>#DIV/0!</v>
      </c>
      <c r="BC97" s="178" t="e">
        <f t="shared" si="75"/>
        <v>#DIV/0!</v>
      </c>
      <c r="BD97" s="178" t="e">
        <f t="shared" si="75"/>
        <v>#DIV/0!</v>
      </c>
      <c r="BE97" s="178" t="e">
        <f t="shared" si="75"/>
        <v>#DIV/0!</v>
      </c>
      <c r="BF97" s="178" t="e">
        <f t="shared" si="75"/>
        <v>#DIV/0!</v>
      </c>
      <c r="BG97" s="178" t="e">
        <f t="shared" si="75"/>
        <v>#DIV/0!</v>
      </c>
      <c r="BH97" s="168" t="e">
        <f t="shared" si="75"/>
        <v>#DIV/0!</v>
      </c>
      <c r="BI97" s="169" t="e">
        <f t="shared" si="90"/>
        <v>#DIV/0!</v>
      </c>
      <c r="BJ97" s="179" t="e">
        <f t="shared" si="91"/>
        <v>#DIV/0!</v>
      </c>
      <c r="BK97" s="180" t="e">
        <f t="shared" si="76"/>
        <v>#DIV/0!</v>
      </c>
      <c r="BL97" s="178" t="e">
        <f t="shared" si="76"/>
        <v>#DIV/0!</v>
      </c>
      <c r="BM97" s="178" t="e">
        <f t="shared" si="76"/>
        <v>#DIV/0!</v>
      </c>
      <c r="BN97" s="178" t="e">
        <f t="shared" si="76"/>
        <v>#DIV/0!</v>
      </c>
      <c r="BO97" s="178" t="e">
        <f t="shared" si="76"/>
        <v>#DIV/0!</v>
      </c>
      <c r="BP97" s="178" t="e">
        <f t="shared" si="76"/>
        <v>#DIV/0!</v>
      </c>
      <c r="BQ97" s="178" t="e">
        <f t="shared" si="76"/>
        <v>#DIV/0!</v>
      </c>
      <c r="BR97" s="178" t="e">
        <f t="shared" si="76"/>
        <v>#DIV/0!</v>
      </c>
      <c r="BS97" s="178" t="e">
        <f t="shared" si="76"/>
        <v>#DIV/0!</v>
      </c>
      <c r="BT97" s="178" t="e">
        <f t="shared" si="76"/>
        <v>#DIV/0!</v>
      </c>
      <c r="BU97" s="178" t="e">
        <f t="shared" si="76"/>
        <v>#DIV/0!</v>
      </c>
      <c r="BV97" s="168" t="e">
        <f t="shared" si="76"/>
        <v>#DIV/0!</v>
      </c>
      <c r="BW97" s="169" t="e">
        <f t="shared" si="92"/>
        <v>#DIV/0!</v>
      </c>
      <c r="BX97" s="179" t="e">
        <f t="shared" si="93"/>
        <v>#DIV/0!</v>
      </c>
      <c r="BY97" s="180" t="e">
        <f t="shared" si="77"/>
        <v>#DIV/0!</v>
      </c>
      <c r="BZ97" s="178" t="e">
        <f t="shared" si="77"/>
        <v>#DIV/0!</v>
      </c>
      <c r="CA97" s="178" t="e">
        <f t="shared" si="77"/>
        <v>#DIV/0!</v>
      </c>
      <c r="CB97" s="178" t="e">
        <f t="shared" si="77"/>
        <v>#DIV/0!</v>
      </c>
      <c r="CC97" s="178" t="e">
        <f t="shared" si="77"/>
        <v>#DIV/0!</v>
      </c>
      <c r="CD97" s="178" t="e">
        <f t="shared" si="77"/>
        <v>#DIV/0!</v>
      </c>
      <c r="CE97" s="178" t="e">
        <f t="shared" si="77"/>
        <v>#DIV/0!</v>
      </c>
      <c r="CF97" s="178" t="e">
        <f t="shared" si="77"/>
        <v>#DIV/0!</v>
      </c>
      <c r="CG97" s="178" t="e">
        <f t="shared" si="77"/>
        <v>#DIV/0!</v>
      </c>
      <c r="CH97" s="178" t="e">
        <f t="shared" si="77"/>
        <v>#DIV/0!</v>
      </c>
      <c r="CI97" s="178" t="e">
        <f t="shared" si="77"/>
        <v>#DIV/0!</v>
      </c>
      <c r="CJ97" s="168" t="e">
        <f t="shared" si="77"/>
        <v>#DIV/0!</v>
      </c>
      <c r="CK97" s="169" t="e">
        <f t="shared" si="94"/>
        <v>#DIV/0!</v>
      </c>
      <c r="CL97" s="179" t="e">
        <f t="shared" si="95"/>
        <v>#DIV/0!</v>
      </c>
      <c r="CM97" s="180" t="e">
        <f t="shared" si="78"/>
        <v>#DIV/0!</v>
      </c>
      <c r="CN97" s="178" t="e">
        <f t="shared" si="78"/>
        <v>#DIV/0!</v>
      </c>
      <c r="CO97" s="178" t="e">
        <f t="shared" si="78"/>
        <v>#DIV/0!</v>
      </c>
      <c r="CP97" s="178" t="e">
        <f t="shared" si="78"/>
        <v>#DIV/0!</v>
      </c>
      <c r="CQ97" s="178" t="e">
        <f t="shared" si="78"/>
        <v>#DIV/0!</v>
      </c>
      <c r="CR97" s="178" t="e">
        <f t="shared" si="78"/>
        <v>#DIV/0!</v>
      </c>
      <c r="CS97" s="178" t="e">
        <f t="shared" si="78"/>
        <v>#DIV/0!</v>
      </c>
      <c r="CT97" s="178" t="e">
        <f t="shared" si="78"/>
        <v>#DIV/0!</v>
      </c>
      <c r="CU97" s="178" t="e">
        <f t="shared" si="78"/>
        <v>#DIV/0!</v>
      </c>
      <c r="CV97" s="178" t="e">
        <f t="shared" si="78"/>
        <v>#DIV/0!</v>
      </c>
      <c r="CW97" s="178" t="e">
        <f t="shared" si="78"/>
        <v>#DIV/0!</v>
      </c>
      <c r="CX97" s="168" t="e">
        <f t="shared" si="78"/>
        <v>#DIV/0!</v>
      </c>
      <c r="CY97" s="169" t="e">
        <f t="shared" si="96"/>
        <v>#DIV/0!</v>
      </c>
      <c r="CZ97" s="179" t="e">
        <f t="shared" si="97"/>
        <v>#DIV/0!</v>
      </c>
      <c r="DA97" s="180" t="e">
        <f t="shared" si="79"/>
        <v>#DIV/0!</v>
      </c>
      <c r="DB97" s="178" t="e">
        <f t="shared" si="79"/>
        <v>#DIV/0!</v>
      </c>
      <c r="DC97" s="178" t="e">
        <f t="shared" si="79"/>
        <v>#DIV/0!</v>
      </c>
      <c r="DD97" s="178" t="e">
        <f t="shared" si="79"/>
        <v>#DIV/0!</v>
      </c>
      <c r="DE97" s="178" t="e">
        <f t="shared" si="79"/>
        <v>#DIV/0!</v>
      </c>
      <c r="DF97" s="178" t="e">
        <f t="shared" si="79"/>
        <v>#DIV/0!</v>
      </c>
      <c r="DG97" s="178" t="e">
        <f t="shared" si="79"/>
        <v>#DIV/0!</v>
      </c>
      <c r="DH97" s="178" t="e">
        <f t="shared" si="79"/>
        <v>#DIV/0!</v>
      </c>
      <c r="DI97" s="178" t="e">
        <f t="shared" si="79"/>
        <v>#DIV/0!</v>
      </c>
      <c r="DJ97" s="178" t="e">
        <f t="shared" si="79"/>
        <v>#DIV/0!</v>
      </c>
      <c r="DK97" s="178" t="e">
        <f t="shared" si="79"/>
        <v>#DIV/0!</v>
      </c>
      <c r="DL97" s="168" t="e">
        <f t="shared" si="79"/>
        <v>#DIV/0!</v>
      </c>
      <c r="DM97" s="169" t="e">
        <f t="shared" si="98"/>
        <v>#DIV/0!</v>
      </c>
      <c r="DN97" s="171" t="e">
        <f t="shared" si="99"/>
        <v>#DIV/0!</v>
      </c>
      <c r="DO97" s="180" t="e">
        <f t="shared" si="80"/>
        <v>#DIV/0!</v>
      </c>
      <c r="DP97" s="178" t="e">
        <f t="shared" si="80"/>
        <v>#DIV/0!</v>
      </c>
      <c r="DQ97" s="178" t="e">
        <f t="shared" si="80"/>
        <v>#DIV/0!</v>
      </c>
      <c r="DR97" s="178" t="e">
        <f t="shared" si="80"/>
        <v>#DIV/0!</v>
      </c>
      <c r="DS97" s="178" t="e">
        <f t="shared" si="80"/>
        <v>#DIV/0!</v>
      </c>
      <c r="DT97" s="178" t="e">
        <f t="shared" si="80"/>
        <v>#DIV/0!</v>
      </c>
      <c r="DU97" s="178" t="e">
        <f t="shared" si="80"/>
        <v>#DIV/0!</v>
      </c>
      <c r="DV97" s="178" t="e">
        <f t="shared" si="80"/>
        <v>#DIV/0!</v>
      </c>
      <c r="DW97" s="178" t="e">
        <f t="shared" si="80"/>
        <v>#DIV/0!</v>
      </c>
      <c r="DX97" s="178" t="e">
        <f t="shared" si="80"/>
        <v>#DIV/0!</v>
      </c>
      <c r="DY97" s="178" t="e">
        <f t="shared" si="80"/>
        <v>#DIV/0!</v>
      </c>
      <c r="DZ97" s="168" t="e">
        <f t="shared" si="80"/>
        <v>#DIV/0!</v>
      </c>
      <c r="EA97" s="169" t="e">
        <f t="shared" si="100"/>
        <v>#DIV/0!</v>
      </c>
      <c r="EB97" s="171" t="e">
        <f t="shared" si="101"/>
        <v>#DIV/0!</v>
      </c>
    </row>
    <row r="98" spans="1:132" s="177" customFormat="1" ht="15.75">
      <c r="A98" s="163"/>
      <c r="B98" s="181"/>
      <c r="C98" s="165"/>
      <c r="D98" s="182"/>
      <c r="E98" s="167"/>
      <c r="F98" s="168" t="e">
        <f t="shared" si="83"/>
        <v>#DIV/0!</v>
      </c>
      <c r="G98" s="169" t="e">
        <f t="shared" si="82"/>
        <v>#DIV/0!</v>
      </c>
      <c r="H98" s="178" t="e">
        <f t="shared" si="82"/>
        <v>#DIV/0!</v>
      </c>
      <c r="I98" s="178" t="e">
        <f t="shared" si="82"/>
        <v>#DIV/0!</v>
      </c>
      <c r="J98" s="178" t="e">
        <f t="shared" si="82"/>
        <v>#DIV/0!</v>
      </c>
      <c r="K98" s="178" t="e">
        <f t="shared" si="82"/>
        <v>#DIV/0!</v>
      </c>
      <c r="L98" s="178" t="e">
        <f t="shared" si="82"/>
        <v>#DIV/0!</v>
      </c>
      <c r="M98" s="178" t="e">
        <f t="shared" si="82"/>
        <v>#DIV/0!</v>
      </c>
      <c r="N98" s="178" t="e">
        <f t="shared" si="82"/>
        <v>#DIV/0!</v>
      </c>
      <c r="O98" s="178" t="e">
        <f t="shared" si="82"/>
        <v>#DIV/0!</v>
      </c>
      <c r="P98" s="178" t="e">
        <f t="shared" si="82"/>
        <v>#DIV/0!</v>
      </c>
      <c r="Q98" s="178" t="e">
        <f t="shared" si="82"/>
        <v>#DIV/0!</v>
      </c>
      <c r="R98" s="179" t="e">
        <f t="shared" si="82"/>
        <v>#DIV/0!</v>
      </c>
      <c r="S98" s="169" t="e">
        <f t="shared" si="84"/>
        <v>#DIV/0!</v>
      </c>
      <c r="T98" s="179" t="e">
        <f t="shared" si="85"/>
        <v>#DIV/0!</v>
      </c>
      <c r="U98" s="180" t="e">
        <f t="shared" si="73"/>
        <v>#DIV/0!</v>
      </c>
      <c r="V98" s="178" t="e">
        <f t="shared" si="73"/>
        <v>#DIV/0!</v>
      </c>
      <c r="W98" s="178" t="e">
        <f t="shared" si="73"/>
        <v>#DIV/0!</v>
      </c>
      <c r="X98" s="178" t="e">
        <f t="shared" si="73"/>
        <v>#DIV/0!</v>
      </c>
      <c r="Y98" s="178" t="e">
        <f t="shared" si="73"/>
        <v>#DIV/0!</v>
      </c>
      <c r="Z98" s="178" t="e">
        <f t="shared" si="73"/>
        <v>#DIV/0!</v>
      </c>
      <c r="AA98" s="178" t="e">
        <f t="shared" si="73"/>
        <v>#DIV/0!</v>
      </c>
      <c r="AB98" s="178" t="e">
        <f t="shared" si="73"/>
        <v>#DIV/0!</v>
      </c>
      <c r="AC98" s="178" t="e">
        <f t="shared" si="73"/>
        <v>#DIV/0!</v>
      </c>
      <c r="AD98" s="178" t="e">
        <f t="shared" si="73"/>
        <v>#DIV/0!</v>
      </c>
      <c r="AE98" s="178" t="e">
        <f t="shared" si="73"/>
        <v>#DIV/0!</v>
      </c>
      <c r="AF98" s="168" t="e">
        <f t="shared" si="73"/>
        <v>#DIV/0!</v>
      </c>
      <c r="AG98" s="169" t="e">
        <f t="shared" si="86"/>
        <v>#DIV/0!</v>
      </c>
      <c r="AH98" s="179" t="e">
        <f t="shared" si="87"/>
        <v>#DIV/0!</v>
      </c>
      <c r="AI98" s="180" t="e">
        <f t="shared" si="104"/>
        <v>#DIV/0!</v>
      </c>
      <c r="AJ98" s="178" t="e">
        <f t="shared" si="102"/>
        <v>#DIV/0!</v>
      </c>
      <c r="AK98" s="178" t="e">
        <f t="shared" si="102"/>
        <v>#DIV/0!</v>
      </c>
      <c r="AL98" s="178" t="e">
        <f t="shared" si="102"/>
        <v>#DIV/0!</v>
      </c>
      <c r="AM98" s="178" t="e">
        <f t="shared" si="102"/>
        <v>#DIV/0!</v>
      </c>
      <c r="AN98" s="178" t="e">
        <f t="shared" si="102"/>
        <v>#DIV/0!</v>
      </c>
      <c r="AO98" s="178" t="e">
        <f t="shared" si="102"/>
        <v>#DIV/0!</v>
      </c>
      <c r="AP98" s="178" t="e">
        <f t="shared" si="102"/>
        <v>#DIV/0!</v>
      </c>
      <c r="AQ98" s="178" t="e">
        <f t="shared" si="102"/>
        <v>#DIV/0!</v>
      </c>
      <c r="AR98" s="178" t="e">
        <f t="shared" si="102"/>
        <v>#DIV/0!</v>
      </c>
      <c r="AS98" s="178" t="e">
        <f t="shared" si="102"/>
        <v>#DIV/0!</v>
      </c>
      <c r="AT98" s="168" t="e">
        <f t="shared" si="102"/>
        <v>#DIV/0!</v>
      </c>
      <c r="AU98" s="169" t="e">
        <f t="shared" si="88"/>
        <v>#DIV/0!</v>
      </c>
      <c r="AV98" s="179" t="e">
        <f t="shared" si="89"/>
        <v>#DIV/0!</v>
      </c>
      <c r="AW98" s="180" t="e">
        <f t="shared" si="75"/>
        <v>#DIV/0!</v>
      </c>
      <c r="AX98" s="178" t="e">
        <f t="shared" si="75"/>
        <v>#DIV/0!</v>
      </c>
      <c r="AY98" s="178" t="e">
        <f t="shared" si="75"/>
        <v>#DIV/0!</v>
      </c>
      <c r="AZ98" s="178" t="e">
        <f t="shared" si="75"/>
        <v>#DIV/0!</v>
      </c>
      <c r="BA98" s="178" t="e">
        <f t="shared" si="75"/>
        <v>#DIV/0!</v>
      </c>
      <c r="BB98" s="178" t="e">
        <f t="shared" si="75"/>
        <v>#DIV/0!</v>
      </c>
      <c r="BC98" s="178" t="e">
        <f t="shared" si="75"/>
        <v>#DIV/0!</v>
      </c>
      <c r="BD98" s="178" t="e">
        <f t="shared" si="75"/>
        <v>#DIV/0!</v>
      </c>
      <c r="BE98" s="178" t="e">
        <f t="shared" si="75"/>
        <v>#DIV/0!</v>
      </c>
      <c r="BF98" s="178" t="e">
        <f t="shared" si="75"/>
        <v>#DIV/0!</v>
      </c>
      <c r="BG98" s="178" t="e">
        <f t="shared" si="75"/>
        <v>#DIV/0!</v>
      </c>
      <c r="BH98" s="168" t="e">
        <f t="shared" si="75"/>
        <v>#DIV/0!</v>
      </c>
      <c r="BI98" s="169" t="e">
        <f t="shared" si="90"/>
        <v>#DIV/0!</v>
      </c>
      <c r="BJ98" s="179" t="e">
        <f t="shared" si="91"/>
        <v>#DIV/0!</v>
      </c>
      <c r="BK98" s="180" t="e">
        <f t="shared" si="76"/>
        <v>#DIV/0!</v>
      </c>
      <c r="BL98" s="178" t="e">
        <f t="shared" si="76"/>
        <v>#DIV/0!</v>
      </c>
      <c r="BM98" s="178" t="e">
        <f t="shared" si="76"/>
        <v>#DIV/0!</v>
      </c>
      <c r="BN98" s="178" t="e">
        <f t="shared" si="76"/>
        <v>#DIV/0!</v>
      </c>
      <c r="BO98" s="178" t="e">
        <f t="shared" si="76"/>
        <v>#DIV/0!</v>
      </c>
      <c r="BP98" s="178" t="e">
        <f t="shared" si="76"/>
        <v>#DIV/0!</v>
      </c>
      <c r="BQ98" s="178" t="e">
        <f t="shared" si="76"/>
        <v>#DIV/0!</v>
      </c>
      <c r="BR98" s="178" t="e">
        <f t="shared" si="76"/>
        <v>#DIV/0!</v>
      </c>
      <c r="BS98" s="178" t="e">
        <f t="shared" si="76"/>
        <v>#DIV/0!</v>
      </c>
      <c r="BT98" s="178" t="e">
        <f t="shared" si="76"/>
        <v>#DIV/0!</v>
      </c>
      <c r="BU98" s="178" t="e">
        <f t="shared" si="76"/>
        <v>#DIV/0!</v>
      </c>
      <c r="BV98" s="168" t="e">
        <f t="shared" si="76"/>
        <v>#DIV/0!</v>
      </c>
      <c r="BW98" s="169" t="e">
        <f t="shared" si="92"/>
        <v>#DIV/0!</v>
      </c>
      <c r="BX98" s="179" t="e">
        <f t="shared" si="93"/>
        <v>#DIV/0!</v>
      </c>
      <c r="BY98" s="180" t="e">
        <f t="shared" si="77"/>
        <v>#DIV/0!</v>
      </c>
      <c r="BZ98" s="178" t="e">
        <f t="shared" si="77"/>
        <v>#DIV/0!</v>
      </c>
      <c r="CA98" s="178" t="e">
        <f t="shared" si="77"/>
        <v>#DIV/0!</v>
      </c>
      <c r="CB98" s="178" t="e">
        <f t="shared" si="77"/>
        <v>#DIV/0!</v>
      </c>
      <c r="CC98" s="178" t="e">
        <f t="shared" si="77"/>
        <v>#DIV/0!</v>
      </c>
      <c r="CD98" s="178" t="e">
        <f t="shared" si="77"/>
        <v>#DIV/0!</v>
      </c>
      <c r="CE98" s="178" t="e">
        <f t="shared" si="77"/>
        <v>#DIV/0!</v>
      </c>
      <c r="CF98" s="178" t="e">
        <f t="shared" si="77"/>
        <v>#DIV/0!</v>
      </c>
      <c r="CG98" s="178" t="e">
        <f t="shared" si="77"/>
        <v>#DIV/0!</v>
      </c>
      <c r="CH98" s="178" t="e">
        <f t="shared" si="77"/>
        <v>#DIV/0!</v>
      </c>
      <c r="CI98" s="178" t="e">
        <f t="shared" si="77"/>
        <v>#DIV/0!</v>
      </c>
      <c r="CJ98" s="168" t="e">
        <f t="shared" si="77"/>
        <v>#DIV/0!</v>
      </c>
      <c r="CK98" s="169" t="e">
        <f t="shared" si="94"/>
        <v>#DIV/0!</v>
      </c>
      <c r="CL98" s="179" t="e">
        <f t="shared" si="95"/>
        <v>#DIV/0!</v>
      </c>
      <c r="CM98" s="180" t="e">
        <f t="shared" si="78"/>
        <v>#DIV/0!</v>
      </c>
      <c r="CN98" s="178" t="e">
        <f t="shared" si="78"/>
        <v>#DIV/0!</v>
      </c>
      <c r="CO98" s="178" t="e">
        <f t="shared" si="78"/>
        <v>#DIV/0!</v>
      </c>
      <c r="CP98" s="178" t="e">
        <f t="shared" si="78"/>
        <v>#DIV/0!</v>
      </c>
      <c r="CQ98" s="178" t="e">
        <f t="shared" si="78"/>
        <v>#DIV/0!</v>
      </c>
      <c r="CR98" s="178" t="e">
        <f t="shared" si="78"/>
        <v>#DIV/0!</v>
      </c>
      <c r="CS98" s="178" t="e">
        <f t="shared" si="78"/>
        <v>#DIV/0!</v>
      </c>
      <c r="CT98" s="178" t="e">
        <f t="shared" si="78"/>
        <v>#DIV/0!</v>
      </c>
      <c r="CU98" s="178" t="e">
        <f t="shared" si="78"/>
        <v>#DIV/0!</v>
      </c>
      <c r="CV98" s="178" t="e">
        <f t="shared" si="78"/>
        <v>#DIV/0!</v>
      </c>
      <c r="CW98" s="178" t="e">
        <f t="shared" si="78"/>
        <v>#DIV/0!</v>
      </c>
      <c r="CX98" s="168" t="e">
        <f t="shared" si="78"/>
        <v>#DIV/0!</v>
      </c>
      <c r="CY98" s="169" t="e">
        <f t="shared" si="96"/>
        <v>#DIV/0!</v>
      </c>
      <c r="CZ98" s="179" t="e">
        <f t="shared" si="97"/>
        <v>#DIV/0!</v>
      </c>
      <c r="DA98" s="180" t="e">
        <f t="shared" si="79"/>
        <v>#DIV/0!</v>
      </c>
      <c r="DB98" s="178" t="e">
        <f t="shared" si="79"/>
        <v>#DIV/0!</v>
      </c>
      <c r="DC98" s="178" t="e">
        <f t="shared" si="79"/>
        <v>#DIV/0!</v>
      </c>
      <c r="DD98" s="178" t="e">
        <f t="shared" si="79"/>
        <v>#DIV/0!</v>
      </c>
      <c r="DE98" s="178" t="e">
        <f t="shared" si="79"/>
        <v>#DIV/0!</v>
      </c>
      <c r="DF98" s="178" t="e">
        <f t="shared" si="79"/>
        <v>#DIV/0!</v>
      </c>
      <c r="DG98" s="178" t="e">
        <f t="shared" si="79"/>
        <v>#DIV/0!</v>
      </c>
      <c r="DH98" s="178" t="e">
        <f t="shared" si="79"/>
        <v>#DIV/0!</v>
      </c>
      <c r="DI98" s="178" t="e">
        <f t="shared" si="79"/>
        <v>#DIV/0!</v>
      </c>
      <c r="DJ98" s="178" t="e">
        <f t="shared" si="79"/>
        <v>#DIV/0!</v>
      </c>
      <c r="DK98" s="178" t="e">
        <f t="shared" si="79"/>
        <v>#DIV/0!</v>
      </c>
      <c r="DL98" s="168" t="e">
        <f t="shared" si="79"/>
        <v>#DIV/0!</v>
      </c>
      <c r="DM98" s="169" t="e">
        <f t="shared" si="98"/>
        <v>#DIV/0!</v>
      </c>
      <c r="DN98" s="171" t="e">
        <f t="shared" si="99"/>
        <v>#DIV/0!</v>
      </c>
      <c r="DO98" s="180" t="e">
        <f t="shared" si="80"/>
        <v>#DIV/0!</v>
      </c>
      <c r="DP98" s="178" t="e">
        <f t="shared" si="80"/>
        <v>#DIV/0!</v>
      </c>
      <c r="DQ98" s="178" t="e">
        <f t="shared" si="80"/>
        <v>#DIV/0!</v>
      </c>
      <c r="DR98" s="178" t="e">
        <f t="shared" si="80"/>
        <v>#DIV/0!</v>
      </c>
      <c r="DS98" s="178" t="e">
        <f t="shared" si="80"/>
        <v>#DIV/0!</v>
      </c>
      <c r="DT98" s="178" t="e">
        <f t="shared" si="80"/>
        <v>#DIV/0!</v>
      </c>
      <c r="DU98" s="178" t="e">
        <f t="shared" si="80"/>
        <v>#DIV/0!</v>
      </c>
      <c r="DV98" s="178" t="e">
        <f t="shared" si="80"/>
        <v>#DIV/0!</v>
      </c>
      <c r="DW98" s="178" t="e">
        <f t="shared" si="80"/>
        <v>#DIV/0!</v>
      </c>
      <c r="DX98" s="178" t="e">
        <f t="shared" si="80"/>
        <v>#DIV/0!</v>
      </c>
      <c r="DY98" s="178" t="e">
        <f t="shared" si="80"/>
        <v>#DIV/0!</v>
      </c>
      <c r="DZ98" s="168" t="e">
        <f t="shared" si="80"/>
        <v>#DIV/0!</v>
      </c>
      <c r="EA98" s="169" t="e">
        <f t="shared" si="100"/>
        <v>#DIV/0!</v>
      </c>
      <c r="EB98" s="171" t="e">
        <f t="shared" si="101"/>
        <v>#DIV/0!</v>
      </c>
    </row>
    <row r="99" spans="1:132" s="177" customFormat="1" ht="15.75">
      <c r="A99" s="163"/>
      <c r="B99" s="181"/>
      <c r="C99" s="165"/>
      <c r="D99" s="182"/>
      <c r="E99" s="167"/>
      <c r="F99" s="168" t="e">
        <f t="shared" si="83"/>
        <v>#DIV/0!</v>
      </c>
      <c r="G99" s="169" t="e">
        <f t="shared" si="82"/>
        <v>#DIV/0!</v>
      </c>
      <c r="H99" s="178" t="e">
        <f t="shared" si="82"/>
        <v>#DIV/0!</v>
      </c>
      <c r="I99" s="178" t="e">
        <f t="shared" si="82"/>
        <v>#DIV/0!</v>
      </c>
      <c r="J99" s="178" t="e">
        <f t="shared" si="82"/>
        <v>#DIV/0!</v>
      </c>
      <c r="K99" s="178" t="e">
        <f t="shared" si="82"/>
        <v>#DIV/0!</v>
      </c>
      <c r="L99" s="178" t="e">
        <f t="shared" si="82"/>
        <v>#DIV/0!</v>
      </c>
      <c r="M99" s="178" t="e">
        <f t="shared" si="82"/>
        <v>#DIV/0!</v>
      </c>
      <c r="N99" s="178" t="e">
        <f t="shared" si="82"/>
        <v>#DIV/0!</v>
      </c>
      <c r="O99" s="178" t="e">
        <f t="shared" si="82"/>
        <v>#DIV/0!</v>
      </c>
      <c r="P99" s="178" t="e">
        <f t="shared" si="82"/>
        <v>#DIV/0!</v>
      </c>
      <c r="Q99" s="178" t="e">
        <f t="shared" si="82"/>
        <v>#DIV/0!</v>
      </c>
      <c r="R99" s="179" t="e">
        <f t="shared" si="82"/>
        <v>#DIV/0!</v>
      </c>
      <c r="S99" s="169" t="e">
        <f t="shared" si="84"/>
        <v>#DIV/0!</v>
      </c>
      <c r="T99" s="179" t="e">
        <f t="shared" si="85"/>
        <v>#DIV/0!</v>
      </c>
      <c r="U99" s="180" t="e">
        <f t="shared" si="73"/>
        <v>#DIV/0!</v>
      </c>
      <c r="V99" s="178" t="e">
        <f t="shared" si="73"/>
        <v>#DIV/0!</v>
      </c>
      <c r="W99" s="178" t="e">
        <f t="shared" si="73"/>
        <v>#DIV/0!</v>
      </c>
      <c r="X99" s="178" t="e">
        <f t="shared" si="73"/>
        <v>#DIV/0!</v>
      </c>
      <c r="Y99" s="178" t="e">
        <f t="shared" si="73"/>
        <v>#DIV/0!</v>
      </c>
      <c r="Z99" s="178" t="e">
        <f t="shared" si="73"/>
        <v>#DIV/0!</v>
      </c>
      <c r="AA99" s="178" t="e">
        <f t="shared" si="73"/>
        <v>#DIV/0!</v>
      </c>
      <c r="AB99" s="178" t="e">
        <f t="shared" si="73"/>
        <v>#DIV/0!</v>
      </c>
      <c r="AC99" s="178" t="e">
        <f t="shared" si="73"/>
        <v>#DIV/0!</v>
      </c>
      <c r="AD99" s="178" t="e">
        <f t="shared" si="73"/>
        <v>#DIV/0!</v>
      </c>
      <c r="AE99" s="178" t="e">
        <f t="shared" si="73"/>
        <v>#DIV/0!</v>
      </c>
      <c r="AF99" s="168" t="e">
        <f t="shared" si="73"/>
        <v>#DIV/0!</v>
      </c>
      <c r="AG99" s="169" t="e">
        <f t="shared" si="86"/>
        <v>#DIV/0!</v>
      </c>
      <c r="AH99" s="179" t="e">
        <f t="shared" si="87"/>
        <v>#DIV/0!</v>
      </c>
      <c r="AI99" s="180" t="e">
        <f t="shared" si="104"/>
        <v>#DIV/0!</v>
      </c>
      <c r="AJ99" s="178" t="e">
        <f t="shared" si="102"/>
        <v>#DIV/0!</v>
      </c>
      <c r="AK99" s="178" t="e">
        <f t="shared" si="102"/>
        <v>#DIV/0!</v>
      </c>
      <c r="AL99" s="178" t="e">
        <f t="shared" si="102"/>
        <v>#DIV/0!</v>
      </c>
      <c r="AM99" s="178" t="e">
        <f t="shared" si="102"/>
        <v>#DIV/0!</v>
      </c>
      <c r="AN99" s="178" t="e">
        <f t="shared" si="102"/>
        <v>#DIV/0!</v>
      </c>
      <c r="AO99" s="178" t="e">
        <f t="shared" si="102"/>
        <v>#DIV/0!</v>
      </c>
      <c r="AP99" s="178" t="e">
        <f t="shared" si="102"/>
        <v>#DIV/0!</v>
      </c>
      <c r="AQ99" s="178" t="e">
        <f t="shared" si="102"/>
        <v>#DIV/0!</v>
      </c>
      <c r="AR99" s="178" t="e">
        <f t="shared" si="102"/>
        <v>#DIV/0!</v>
      </c>
      <c r="AS99" s="178" t="e">
        <f t="shared" si="102"/>
        <v>#DIV/0!</v>
      </c>
      <c r="AT99" s="168" t="e">
        <f t="shared" si="102"/>
        <v>#DIV/0!</v>
      </c>
      <c r="AU99" s="169" t="e">
        <f t="shared" si="88"/>
        <v>#DIV/0!</v>
      </c>
      <c r="AV99" s="179" t="e">
        <f t="shared" si="89"/>
        <v>#DIV/0!</v>
      </c>
      <c r="AW99" s="180" t="e">
        <f t="shared" si="75"/>
        <v>#DIV/0!</v>
      </c>
      <c r="AX99" s="178" t="e">
        <f t="shared" si="75"/>
        <v>#DIV/0!</v>
      </c>
      <c r="AY99" s="178" t="e">
        <f t="shared" si="75"/>
        <v>#DIV/0!</v>
      </c>
      <c r="AZ99" s="178" t="e">
        <f t="shared" si="75"/>
        <v>#DIV/0!</v>
      </c>
      <c r="BA99" s="178" t="e">
        <f t="shared" si="75"/>
        <v>#DIV/0!</v>
      </c>
      <c r="BB99" s="178" t="e">
        <f t="shared" si="75"/>
        <v>#DIV/0!</v>
      </c>
      <c r="BC99" s="178" t="e">
        <f t="shared" si="75"/>
        <v>#DIV/0!</v>
      </c>
      <c r="BD99" s="178" t="e">
        <f t="shared" si="75"/>
        <v>#DIV/0!</v>
      </c>
      <c r="BE99" s="178" t="e">
        <f t="shared" si="75"/>
        <v>#DIV/0!</v>
      </c>
      <c r="BF99" s="178" t="e">
        <f t="shared" si="75"/>
        <v>#DIV/0!</v>
      </c>
      <c r="BG99" s="178" t="e">
        <f t="shared" si="75"/>
        <v>#DIV/0!</v>
      </c>
      <c r="BH99" s="168" t="e">
        <f t="shared" si="75"/>
        <v>#DIV/0!</v>
      </c>
      <c r="BI99" s="169" t="e">
        <f t="shared" si="90"/>
        <v>#DIV/0!</v>
      </c>
      <c r="BJ99" s="179" t="e">
        <f t="shared" si="91"/>
        <v>#DIV/0!</v>
      </c>
      <c r="BK99" s="180" t="e">
        <f t="shared" si="76"/>
        <v>#DIV/0!</v>
      </c>
      <c r="BL99" s="178" t="e">
        <f t="shared" si="76"/>
        <v>#DIV/0!</v>
      </c>
      <c r="BM99" s="178" t="e">
        <f t="shared" si="76"/>
        <v>#DIV/0!</v>
      </c>
      <c r="BN99" s="178" t="e">
        <f t="shared" si="76"/>
        <v>#DIV/0!</v>
      </c>
      <c r="BO99" s="178" t="e">
        <f t="shared" si="76"/>
        <v>#DIV/0!</v>
      </c>
      <c r="BP99" s="178" t="e">
        <f t="shared" si="76"/>
        <v>#DIV/0!</v>
      </c>
      <c r="BQ99" s="178" t="e">
        <f t="shared" si="76"/>
        <v>#DIV/0!</v>
      </c>
      <c r="BR99" s="178" t="e">
        <f t="shared" si="76"/>
        <v>#DIV/0!</v>
      </c>
      <c r="BS99" s="178" t="e">
        <f t="shared" si="76"/>
        <v>#DIV/0!</v>
      </c>
      <c r="BT99" s="178" t="e">
        <f t="shared" si="76"/>
        <v>#DIV/0!</v>
      </c>
      <c r="BU99" s="178" t="e">
        <f t="shared" si="76"/>
        <v>#DIV/0!</v>
      </c>
      <c r="BV99" s="168" t="e">
        <f t="shared" si="76"/>
        <v>#DIV/0!</v>
      </c>
      <c r="BW99" s="169" t="e">
        <f t="shared" si="92"/>
        <v>#DIV/0!</v>
      </c>
      <c r="BX99" s="179" t="e">
        <f t="shared" si="93"/>
        <v>#DIV/0!</v>
      </c>
      <c r="BY99" s="180" t="e">
        <f t="shared" si="77"/>
        <v>#DIV/0!</v>
      </c>
      <c r="BZ99" s="178" t="e">
        <f t="shared" si="77"/>
        <v>#DIV/0!</v>
      </c>
      <c r="CA99" s="178" t="e">
        <f t="shared" si="77"/>
        <v>#DIV/0!</v>
      </c>
      <c r="CB99" s="178" t="e">
        <f t="shared" si="77"/>
        <v>#DIV/0!</v>
      </c>
      <c r="CC99" s="178" t="e">
        <f t="shared" si="77"/>
        <v>#DIV/0!</v>
      </c>
      <c r="CD99" s="178" t="e">
        <f t="shared" si="77"/>
        <v>#DIV/0!</v>
      </c>
      <c r="CE99" s="178" t="e">
        <f t="shared" si="77"/>
        <v>#DIV/0!</v>
      </c>
      <c r="CF99" s="178" t="e">
        <f t="shared" si="77"/>
        <v>#DIV/0!</v>
      </c>
      <c r="CG99" s="178" t="e">
        <f t="shared" si="77"/>
        <v>#DIV/0!</v>
      </c>
      <c r="CH99" s="178" t="e">
        <f t="shared" si="77"/>
        <v>#DIV/0!</v>
      </c>
      <c r="CI99" s="178" t="e">
        <f t="shared" si="77"/>
        <v>#DIV/0!</v>
      </c>
      <c r="CJ99" s="168" t="e">
        <f t="shared" si="77"/>
        <v>#DIV/0!</v>
      </c>
      <c r="CK99" s="169" t="e">
        <f t="shared" si="94"/>
        <v>#DIV/0!</v>
      </c>
      <c r="CL99" s="179" t="e">
        <f t="shared" si="95"/>
        <v>#DIV/0!</v>
      </c>
      <c r="CM99" s="180" t="e">
        <f t="shared" si="78"/>
        <v>#DIV/0!</v>
      </c>
      <c r="CN99" s="178" t="e">
        <f t="shared" si="78"/>
        <v>#DIV/0!</v>
      </c>
      <c r="CO99" s="178" t="e">
        <f t="shared" si="78"/>
        <v>#DIV/0!</v>
      </c>
      <c r="CP99" s="178" t="e">
        <f t="shared" si="78"/>
        <v>#DIV/0!</v>
      </c>
      <c r="CQ99" s="178" t="e">
        <f t="shared" si="78"/>
        <v>#DIV/0!</v>
      </c>
      <c r="CR99" s="178" t="e">
        <f t="shared" si="78"/>
        <v>#DIV/0!</v>
      </c>
      <c r="CS99" s="178" t="e">
        <f t="shared" si="78"/>
        <v>#DIV/0!</v>
      </c>
      <c r="CT99" s="178" t="e">
        <f t="shared" si="78"/>
        <v>#DIV/0!</v>
      </c>
      <c r="CU99" s="178" t="e">
        <f t="shared" si="78"/>
        <v>#DIV/0!</v>
      </c>
      <c r="CV99" s="178" t="e">
        <f t="shared" si="78"/>
        <v>#DIV/0!</v>
      </c>
      <c r="CW99" s="178" t="e">
        <f t="shared" si="78"/>
        <v>#DIV/0!</v>
      </c>
      <c r="CX99" s="168" t="e">
        <f t="shared" si="78"/>
        <v>#DIV/0!</v>
      </c>
      <c r="CY99" s="169" t="e">
        <f t="shared" si="96"/>
        <v>#DIV/0!</v>
      </c>
      <c r="CZ99" s="179" t="e">
        <f t="shared" si="97"/>
        <v>#DIV/0!</v>
      </c>
      <c r="DA99" s="180" t="e">
        <f t="shared" si="79"/>
        <v>#DIV/0!</v>
      </c>
      <c r="DB99" s="178" t="e">
        <f t="shared" si="79"/>
        <v>#DIV/0!</v>
      </c>
      <c r="DC99" s="178" t="e">
        <f t="shared" si="79"/>
        <v>#DIV/0!</v>
      </c>
      <c r="DD99" s="178" t="e">
        <f t="shared" si="79"/>
        <v>#DIV/0!</v>
      </c>
      <c r="DE99" s="178" t="e">
        <f t="shared" si="79"/>
        <v>#DIV/0!</v>
      </c>
      <c r="DF99" s="178" t="e">
        <f t="shared" si="79"/>
        <v>#DIV/0!</v>
      </c>
      <c r="DG99" s="178" t="e">
        <f t="shared" si="79"/>
        <v>#DIV/0!</v>
      </c>
      <c r="DH99" s="178" t="e">
        <f t="shared" si="79"/>
        <v>#DIV/0!</v>
      </c>
      <c r="DI99" s="178" t="e">
        <f t="shared" si="79"/>
        <v>#DIV/0!</v>
      </c>
      <c r="DJ99" s="178" t="e">
        <f t="shared" si="79"/>
        <v>#DIV/0!</v>
      </c>
      <c r="DK99" s="178" t="e">
        <f t="shared" si="79"/>
        <v>#DIV/0!</v>
      </c>
      <c r="DL99" s="168" t="e">
        <f t="shared" si="79"/>
        <v>#DIV/0!</v>
      </c>
      <c r="DM99" s="169" t="e">
        <f t="shared" si="98"/>
        <v>#DIV/0!</v>
      </c>
      <c r="DN99" s="171" t="e">
        <f t="shared" si="99"/>
        <v>#DIV/0!</v>
      </c>
      <c r="DO99" s="180" t="e">
        <f t="shared" si="80"/>
        <v>#DIV/0!</v>
      </c>
      <c r="DP99" s="178" t="e">
        <f t="shared" si="80"/>
        <v>#DIV/0!</v>
      </c>
      <c r="DQ99" s="178" t="e">
        <f t="shared" si="80"/>
        <v>#DIV/0!</v>
      </c>
      <c r="DR99" s="178" t="e">
        <f t="shared" si="80"/>
        <v>#DIV/0!</v>
      </c>
      <c r="DS99" s="178" t="e">
        <f t="shared" si="80"/>
        <v>#DIV/0!</v>
      </c>
      <c r="DT99" s="178" t="e">
        <f t="shared" si="80"/>
        <v>#DIV/0!</v>
      </c>
      <c r="DU99" s="178" t="e">
        <f t="shared" si="80"/>
        <v>#DIV/0!</v>
      </c>
      <c r="DV99" s="178" t="e">
        <f t="shared" si="80"/>
        <v>#DIV/0!</v>
      </c>
      <c r="DW99" s="178" t="e">
        <f t="shared" si="80"/>
        <v>#DIV/0!</v>
      </c>
      <c r="DX99" s="178" t="e">
        <f t="shared" si="80"/>
        <v>#DIV/0!</v>
      </c>
      <c r="DY99" s="178" t="e">
        <f t="shared" si="80"/>
        <v>#DIV/0!</v>
      </c>
      <c r="DZ99" s="168" t="e">
        <f t="shared" si="80"/>
        <v>#DIV/0!</v>
      </c>
      <c r="EA99" s="169" t="e">
        <f t="shared" si="100"/>
        <v>#DIV/0!</v>
      </c>
      <c r="EB99" s="171" t="e">
        <f t="shared" si="101"/>
        <v>#DIV/0!</v>
      </c>
    </row>
    <row r="100" spans="1:132" s="177" customFormat="1" ht="15.75">
      <c r="A100" s="163"/>
      <c r="B100" s="181"/>
      <c r="C100" s="165"/>
      <c r="D100" s="182"/>
      <c r="E100" s="167"/>
      <c r="F100" s="168" t="e">
        <f t="shared" si="83"/>
        <v>#DIV/0!</v>
      </c>
      <c r="G100" s="169" t="e">
        <f t="shared" si="82"/>
        <v>#DIV/0!</v>
      </c>
      <c r="H100" s="178" t="e">
        <f t="shared" si="82"/>
        <v>#DIV/0!</v>
      </c>
      <c r="I100" s="178" t="e">
        <f t="shared" si="82"/>
        <v>#DIV/0!</v>
      </c>
      <c r="J100" s="178" t="e">
        <f t="shared" si="82"/>
        <v>#DIV/0!</v>
      </c>
      <c r="K100" s="178" t="e">
        <f t="shared" si="82"/>
        <v>#DIV/0!</v>
      </c>
      <c r="L100" s="178" t="e">
        <f t="shared" si="82"/>
        <v>#DIV/0!</v>
      </c>
      <c r="M100" s="178" t="e">
        <f t="shared" si="82"/>
        <v>#DIV/0!</v>
      </c>
      <c r="N100" s="178" t="e">
        <f t="shared" si="82"/>
        <v>#DIV/0!</v>
      </c>
      <c r="O100" s="178" t="e">
        <f t="shared" si="82"/>
        <v>#DIV/0!</v>
      </c>
      <c r="P100" s="178" t="e">
        <f t="shared" si="82"/>
        <v>#DIV/0!</v>
      </c>
      <c r="Q100" s="178" t="e">
        <f t="shared" si="82"/>
        <v>#DIV/0!</v>
      </c>
      <c r="R100" s="179" t="e">
        <f t="shared" si="82"/>
        <v>#DIV/0!</v>
      </c>
      <c r="S100" s="169" t="e">
        <f t="shared" si="84"/>
        <v>#DIV/0!</v>
      </c>
      <c r="T100" s="179" t="e">
        <f t="shared" si="85"/>
        <v>#DIV/0!</v>
      </c>
      <c r="U100" s="180" t="e">
        <f t="shared" si="73"/>
        <v>#DIV/0!</v>
      </c>
      <c r="V100" s="178" t="e">
        <f t="shared" si="73"/>
        <v>#DIV/0!</v>
      </c>
      <c r="W100" s="178" t="e">
        <f t="shared" si="73"/>
        <v>#DIV/0!</v>
      </c>
      <c r="X100" s="178" t="e">
        <f t="shared" si="73"/>
        <v>#DIV/0!</v>
      </c>
      <c r="Y100" s="178" t="e">
        <f t="shared" si="73"/>
        <v>#DIV/0!</v>
      </c>
      <c r="Z100" s="178" t="e">
        <f t="shared" si="73"/>
        <v>#DIV/0!</v>
      </c>
      <c r="AA100" s="178" t="e">
        <f t="shared" si="73"/>
        <v>#DIV/0!</v>
      </c>
      <c r="AB100" s="178" t="e">
        <f t="shared" si="73"/>
        <v>#DIV/0!</v>
      </c>
      <c r="AC100" s="178" t="e">
        <f t="shared" si="73"/>
        <v>#DIV/0!</v>
      </c>
      <c r="AD100" s="178" t="e">
        <f t="shared" si="73"/>
        <v>#DIV/0!</v>
      </c>
      <c r="AE100" s="178" t="e">
        <f t="shared" si="73"/>
        <v>#DIV/0!</v>
      </c>
      <c r="AF100" s="168" t="e">
        <f t="shared" si="73"/>
        <v>#DIV/0!</v>
      </c>
      <c r="AG100" s="169" t="e">
        <f t="shared" si="86"/>
        <v>#DIV/0!</v>
      </c>
      <c r="AH100" s="179" t="e">
        <f t="shared" si="87"/>
        <v>#DIV/0!</v>
      </c>
      <c r="AI100" s="180" t="e">
        <f t="shared" si="104"/>
        <v>#DIV/0!</v>
      </c>
      <c r="AJ100" s="178" t="e">
        <f t="shared" si="102"/>
        <v>#DIV/0!</v>
      </c>
      <c r="AK100" s="178" t="e">
        <f t="shared" si="102"/>
        <v>#DIV/0!</v>
      </c>
      <c r="AL100" s="178" t="e">
        <f t="shared" si="102"/>
        <v>#DIV/0!</v>
      </c>
      <c r="AM100" s="178" t="e">
        <f t="shared" si="102"/>
        <v>#DIV/0!</v>
      </c>
      <c r="AN100" s="178" t="e">
        <f t="shared" si="102"/>
        <v>#DIV/0!</v>
      </c>
      <c r="AO100" s="178" t="e">
        <f t="shared" si="102"/>
        <v>#DIV/0!</v>
      </c>
      <c r="AP100" s="178" t="e">
        <f t="shared" si="102"/>
        <v>#DIV/0!</v>
      </c>
      <c r="AQ100" s="178" t="e">
        <f t="shared" si="102"/>
        <v>#DIV/0!</v>
      </c>
      <c r="AR100" s="178" t="e">
        <f t="shared" si="102"/>
        <v>#DIV/0!</v>
      </c>
      <c r="AS100" s="178" t="e">
        <f t="shared" si="102"/>
        <v>#DIV/0!</v>
      </c>
      <c r="AT100" s="168" t="e">
        <f t="shared" si="102"/>
        <v>#DIV/0!</v>
      </c>
      <c r="AU100" s="169" t="e">
        <f t="shared" si="88"/>
        <v>#DIV/0!</v>
      </c>
      <c r="AV100" s="179" t="e">
        <f t="shared" si="89"/>
        <v>#DIV/0!</v>
      </c>
      <c r="AW100" s="180" t="e">
        <f t="shared" si="75"/>
        <v>#DIV/0!</v>
      </c>
      <c r="AX100" s="178" t="e">
        <f t="shared" si="75"/>
        <v>#DIV/0!</v>
      </c>
      <c r="AY100" s="178" t="e">
        <f t="shared" si="75"/>
        <v>#DIV/0!</v>
      </c>
      <c r="AZ100" s="178" t="e">
        <f t="shared" si="75"/>
        <v>#DIV/0!</v>
      </c>
      <c r="BA100" s="178" t="e">
        <f t="shared" si="75"/>
        <v>#DIV/0!</v>
      </c>
      <c r="BB100" s="178" t="e">
        <f t="shared" si="75"/>
        <v>#DIV/0!</v>
      </c>
      <c r="BC100" s="178" t="e">
        <f t="shared" si="75"/>
        <v>#DIV/0!</v>
      </c>
      <c r="BD100" s="178" t="e">
        <f t="shared" si="75"/>
        <v>#DIV/0!</v>
      </c>
      <c r="BE100" s="178" t="e">
        <f t="shared" si="75"/>
        <v>#DIV/0!</v>
      </c>
      <c r="BF100" s="178" t="e">
        <f t="shared" si="75"/>
        <v>#DIV/0!</v>
      </c>
      <c r="BG100" s="178" t="e">
        <f t="shared" si="75"/>
        <v>#DIV/0!</v>
      </c>
      <c r="BH100" s="168" t="e">
        <f t="shared" si="75"/>
        <v>#DIV/0!</v>
      </c>
      <c r="BI100" s="169" t="e">
        <f t="shared" si="90"/>
        <v>#DIV/0!</v>
      </c>
      <c r="BJ100" s="179" t="e">
        <f t="shared" si="91"/>
        <v>#DIV/0!</v>
      </c>
      <c r="BK100" s="180" t="e">
        <f t="shared" si="76"/>
        <v>#DIV/0!</v>
      </c>
      <c r="BL100" s="178" t="e">
        <f t="shared" si="76"/>
        <v>#DIV/0!</v>
      </c>
      <c r="BM100" s="178" t="e">
        <f t="shared" si="76"/>
        <v>#DIV/0!</v>
      </c>
      <c r="BN100" s="178" t="e">
        <f t="shared" si="76"/>
        <v>#DIV/0!</v>
      </c>
      <c r="BO100" s="178" t="e">
        <f t="shared" si="76"/>
        <v>#DIV/0!</v>
      </c>
      <c r="BP100" s="178" t="e">
        <f t="shared" si="76"/>
        <v>#DIV/0!</v>
      </c>
      <c r="BQ100" s="178" t="e">
        <f t="shared" si="76"/>
        <v>#DIV/0!</v>
      </c>
      <c r="BR100" s="178" t="e">
        <f t="shared" si="76"/>
        <v>#DIV/0!</v>
      </c>
      <c r="BS100" s="178" t="e">
        <f t="shared" si="76"/>
        <v>#DIV/0!</v>
      </c>
      <c r="BT100" s="178" t="e">
        <f t="shared" si="76"/>
        <v>#DIV/0!</v>
      </c>
      <c r="BU100" s="178" t="e">
        <f t="shared" si="76"/>
        <v>#DIV/0!</v>
      </c>
      <c r="BV100" s="168" t="e">
        <f t="shared" si="76"/>
        <v>#DIV/0!</v>
      </c>
      <c r="BW100" s="169" t="e">
        <f t="shared" si="92"/>
        <v>#DIV/0!</v>
      </c>
      <c r="BX100" s="179" t="e">
        <f t="shared" si="93"/>
        <v>#DIV/0!</v>
      </c>
      <c r="BY100" s="180" t="e">
        <f t="shared" si="77"/>
        <v>#DIV/0!</v>
      </c>
      <c r="BZ100" s="178" t="e">
        <f t="shared" si="77"/>
        <v>#DIV/0!</v>
      </c>
      <c r="CA100" s="178" t="e">
        <f t="shared" si="77"/>
        <v>#DIV/0!</v>
      </c>
      <c r="CB100" s="178" t="e">
        <f t="shared" si="77"/>
        <v>#DIV/0!</v>
      </c>
      <c r="CC100" s="178" t="e">
        <f t="shared" si="77"/>
        <v>#DIV/0!</v>
      </c>
      <c r="CD100" s="178" t="e">
        <f t="shared" si="77"/>
        <v>#DIV/0!</v>
      </c>
      <c r="CE100" s="178" t="e">
        <f t="shared" si="77"/>
        <v>#DIV/0!</v>
      </c>
      <c r="CF100" s="178" t="e">
        <f t="shared" si="77"/>
        <v>#DIV/0!</v>
      </c>
      <c r="CG100" s="178" t="e">
        <f t="shared" si="77"/>
        <v>#DIV/0!</v>
      </c>
      <c r="CH100" s="178" t="e">
        <f t="shared" si="77"/>
        <v>#DIV/0!</v>
      </c>
      <c r="CI100" s="178" t="e">
        <f t="shared" si="77"/>
        <v>#DIV/0!</v>
      </c>
      <c r="CJ100" s="168" t="e">
        <f t="shared" si="77"/>
        <v>#DIV/0!</v>
      </c>
      <c r="CK100" s="169" t="e">
        <f t="shared" si="94"/>
        <v>#DIV/0!</v>
      </c>
      <c r="CL100" s="179" t="e">
        <f t="shared" si="95"/>
        <v>#DIV/0!</v>
      </c>
      <c r="CM100" s="180" t="e">
        <f t="shared" si="78"/>
        <v>#DIV/0!</v>
      </c>
      <c r="CN100" s="178" t="e">
        <f t="shared" si="78"/>
        <v>#DIV/0!</v>
      </c>
      <c r="CO100" s="178" t="e">
        <f t="shared" si="78"/>
        <v>#DIV/0!</v>
      </c>
      <c r="CP100" s="178" t="e">
        <f t="shared" si="78"/>
        <v>#DIV/0!</v>
      </c>
      <c r="CQ100" s="178" t="e">
        <f t="shared" si="78"/>
        <v>#DIV/0!</v>
      </c>
      <c r="CR100" s="178" t="e">
        <f t="shared" si="78"/>
        <v>#DIV/0!</v>
      </c>
      <c r="CS100" s="178" t="e">
        <f t="shared" si="78"/>
        <v>#DIV/0!</v>
      </c>
      <c r="CT100" s="178" t="e">
        <f t="shared" si="78"/>
        <v>#DIV/0!</v>
      </c>
      <c r="CU100" s="178" t="e">
        <f t="shared" si="78"/>
        <v>#DIV/0!</v>
      </c>
      <c r="CV100" s="178" t="e">
        <f t="shared" si="78"/>
        <v>#DIV/0!</v>
      </c>
      <c r="CW100" s="178" t="e">
        <f t="shared" si="78"/>
        <v>#DIV/0!</v>
      </c>
      <c r="CX100" s="168" t="e">
        <f t="shared" si="78"/>
        <v>#DIV/0!</v>
      </c>
      <c r="CY100" s="169" t="e">
        <f t="shared" si="96"/>
        <v>#DIV/0!</v>
      </c>
      <c r="CZ100" s="179" t="e">
        <f t="shared" si="97"/>
        <v>#DIV/0!</v>
      </c>
      <c r="DA100" s="180" t="e">
        <f t="shared" si="79"/>
        <v>#DIV/0!</v>
      </c>
      <c r="DB100" s="178" t="e">
        <f t="shared" si="79"/>
        <v>#DIV/0!</v>
      </c>
      <c r="DC100" s="178" t="e">
        <f t="shared" si="79"/>
        <v>#DIV/0!</v>
      </c>
      <c r="DD100" s="178" t="e">
        <f t="shared" si="79"/>
        <v>#DIV/0!</v>
      </c>
      <c r="DE100" s="178" t="e">
        <f t="shared" si="79"/>
        <v>#DIV/0!</v>
      </c>
      <c r="DF100" s="178" t="e">
        <f t="shared" si="79"/>
        <v>#DIV/0!</v>
      </c>
      <c r="DG100" s="178" t="e">
        <f t="shared" si="79"/>
        <v>#DIV/0!</v>
      </c>
      <c r="DH100" s="178" t="e">
        <f t="shared" si="79"/>
        <v>#DIV/0!</v>
      </c>
      <c r="DI100" s="178" t="e">
        <f t="shared" si="79"/>
        <v>#DIV/0!</v>
      </c>
      <c r="DJ100" s="178" t="e">
        <f t="shared" si="79"/>
        <v>#DIV/0!</v>
      </c>
      <c r="DK100" s="178" t="e">
        <f t="shared" si="79"/>
        <v>#DIV/0!</v>
      </c>
      <c r="DL100" s="168" t="e">
        <f t="shared" si="79"/>
        <v>#DIV/0!</v>
      </c>
      <c r="DM100" s="169" t="e">
        <f t="shared" si="98"/>
        <v>#DIV/0!</v>
      </c>
      <c r="DN100" s="171" t="e">
        <f t="shared" si="99"/>
        <v>#DIV/0!</v>
      </c>
      <c r="DO100" s="180" t="e">
        <f t="shared" si="80"/>
        <v>#DIV/0!</v>
      </c>
      <c r="DP100" s="178" t="e">
        <f t="shared" si="80"/>
        <v>#DIV/0!</v>
      </c>
      <c r="DQ100" s="178" t="e">
        <f t="shared" si="80"/>
        <v>#DIV/0!</v>
      </c>
      <c r="DR100" s="178" t="e">
        <f t="shared" si="80"/>
        <v>#DIV/0!</v>
      </c>
      <c r="DS100" s="178" t="e">
        <f t="shared" si="80"/>
        <v>#DIV/0!</v>
      </c>
      <c r="DT100" s="178" t="e">
        <f t="shared" si="80"/>
        <v>#DIV/0!</v>
      </c>
      <c r="DU100" s="178" t="e">
        <f t="shared" si="80"/>
        <v>#DIV/0!</v>
      </c>
      <c r="DV100" s="178" t="e">
        <f t="shared" si="80"/>
        <v>#DIV/0!</v>
      </c>
      <c r="DW100" s="178" t="e">
        <f t="shared" si="80"/>
        <v>#DIV/0!</v>
      </c>
      <c r="DX100" s="178" t="e">
        <f t="shared" si="80"/>
        <v>#DIV/0!</v>
      </c>
      <c r="DY100" s="178" t="e">
        <f t="shared" si="80"/>
        <v>#DIV/0!</v>
      </c>
      <c r="DZ100" s="168" t="e">
        <f t="shared" si="80"/>
        <v>#DIV/0!</v>
      </c>
      <c r="EA100" s="169" t="e">
        <f t="shared" si="100"/>
        <v>#DIV/0!</v>
      </c>
      <c r="EB100" s="171" t="e">
        <f t="shared" si="101"/>
        <v>#DIV/0!</v>
      </c>
    </row>
    <row r="101" spans="1:132" s="177" customFormat="1" ht="15.75">
      <c r="A101" s="163"/>
      <c r="B101" s="181"/>
      <c r="C101" s="165"/>
      <c r="D101" s="182"/>
      <c r="E101" s="167"/>
      <c r="F101" s="168" t="e">
        <f t="shared" si="83"/>
        <v>#DIV/0!</v>
      </c>
      <c r="G101" s="169" t="e">
        <f t="shared" si="82"/>
        <v>#DIV/0!</v>
      </c>
      <c r="H101" s="178" t="e">
        <f t="shared" si="82"/>
        <v>#DIV/0!</v>
      </c>
      <c r="I101" s="178" t="e">
        <f t="shared" si="82"/>
        <v>#DIV/0!</v>
      </c>
      <c r="J101" s="178" t="e">
        <f t="shared" si="82"/>
        <v>#DIV/0!</v>
      </c>
      <c r="K101" s="178" t="e">
        <f t="shared" si="82"/>
        <v>#DIV/0!</v>
      </c>
      <c r="L101" s="178" t="e">
        <f t="shared" si="82"/>
        <v>#DIV/0!</v>
      </c>
      <c r="M101" s="178" t="e">
        <f t="shared" si="82"/>
        <v>#DIV/0!</v>
      </c>
      <c r="N101" s="178" t="e">
        <f t="shared" si="82"/>
        <v>#DIV/0!</v>
      </c>
      <c r="O101" s="178" t="e">
        <f t="shared" si="82"/>
        <v>#DIV/0!</v>
      </c>
      <c r="P101" s="178" t="e">
        <f t="shared" si="82"/>
        <v>#DIV/0!</v>
      </c>
      <c r="Q101" s="178" t="e">
        <f t="shared" si="82"/>
        <v>#DIV/0!</v>
      </c>
      <c r="R101" s="179" t="e">
        <f t="shared" si="82"/>
        <v>#DIV/0!</v>
      </c>
      <c r="S101" s="169" t="e">
        <f t="shared" si="84"/>
        <v>#DIV/0!</v>
      </c>
      <c r="T101" s="179" t="e">
        <f t="shared" si="85"/>
        <v>#DIV/0!</v>
      </c>
      <c r="U101" s="180" t="e">
        <f t="shared" si="73"/>
        <v>#DIV/0!</v>
      </c>
      <c r="V101" s="178" t="e">
        <f t="shared" si="73"/>
        <v>#DIV/0!</v>
      </c>
      <c r="W101" s="178" t="e">
        <f t="shared" si="73"/>
        <v>#DIV/0!</v>
      </c>
      <c r="X101" s="178" t="e">
        <f t="shared" si="73"/>
        <v>#DIV/0!</v>
      </c>
      <c r="Y101" s="178" t="e">
        <f t="shared" si="73"/>
        <v>#DIV/0!</v>
      </c>
      <c r="Z101" s="178" t="e">
        <f t="shared" si="73"/>
        <v>#DIV/0!</v>
      </c>
      <c r="AA101" s="178" t="e">
        <f t="shared" si="73"/>
        <v>#DIV/0!</v>
      </c>
      <c r="AB101" s="178" t="e">
        <f t="shared" si="73"/>
        <v>#DIV/0!</v>
      </c>
      <c r="AC101" s="178" t="e">
        <f t="shared" si="73"/>
        <v>#DIV/0!</v>
      </c>
      <c r="AD101" s="178" t="e">
        <f t="shared" si="73"/>
        <v>#DIV/0!</v>
      </c>
      <c r="AE101" s="178" t="e">
        <f t="shared" si="73"/>
        <v>#DIV/0!</v>
      </c>
      <c r="AF101" s="168" t="e">
        <f t="shared" si="73"/>
        <v>#DIV/0!</v>
      </c>
      <c r="AG101" s="169" t="e">
        <f t="shared" si="86"/>
        <v>#DIV/0!</v>
      </c>
      <c r="AH101" s="179" t="e">
        <f t="shared" si="87"/>
        <v>#DIV/0!</v>
      </c>
      <c r="AI101" s="180" t="e">
        <f t="shared" si="104"/>
        <v>#DIV/0!</v>
      </c>
      <c r="AJ101" s="178" t="e">
        <f t="shared" si="102"/>
        <v>#DIV/0!</v>
      </c>
      <c r="AK101" s="178" t="e">
        <f t="shared" si="102"/>
        <v>#DIV/0!</v>
      </c>
      <c r="AL101" s="178" t="e">
        <f t="shared" si="102"/>
        <v>#DIV/0!</v>
      </c>
      <c r="AM101" s="178" t="e">
        <f t="shared" si="102"/>
        <v>#DIV/0!</v>
      </c>
      <c r="AN101" s="178" t="e">
        <f t="shared" si="102"/>
        <v>#DIV/0!</v>
      </c>
      <c r="AO101" s="178" t="e">
        <f t="shared" si="102"/>
        <v>#DIV/0!</v>
      </c>
      <c r="AP101" s="178" t="e">
        <f t="shared" si="102"/>
        <v>#DIV/0!</v>
      </c>
      <c r="AQ101" s="178" t="e">
        <f t="shared" si="102"/>
        <v>#DIV/0!</v>
      </c>
      <c r="AR101" s="178" t="e">
        <f t="shared" si="102"/>
        <v>#DIV/0!</v>
      </c>
      <c r="AS101" s="178" t="e">
        <f t="shared" si="102"/>
        <v>#DIV/0!</v>
      </c>
      <c r="AT101" s="168" t="e">
        <f t="shared" si="102"/>
        <v>#DIV/0!</v>
      </c>
      <c r="AU101" s="169" t="e">
        <f t="shared" si="88"/>
        <v>#DIV/0!</v>
      </c>
      <c r="AV101" s="179" t="e">
        <f t="shared" si="89"/>
        <v>#DIV/0!</v>
      </c>
      <c r="AW101" s="180" t="e">
        <f t="shared" si="75"/>
        <v>#DIV/0!</v>
      </c>
      <c r="AX101" s="178" t="e">
        <f t="shared" si="75"/>
        <v>#DIV/0!</v>
      </c>
      <c r="AY101" s="178" t="e">
        <f t="shared" si="75"/>
        <v>#DIV/0!</v>
      </c>
      <c r="AZ101" s="178" t="e">
        <f t="shared" si="75"/>
        <v>#DIV/0!</v>
      </c>
      <c r="BA101" s="178" t="e">
        <f t="shared" si="75"/>
        <v>#DIV/0!</v>
      </c>
      <c r="BB101" s="178" t="e">
        <f t="shared" si="75"/>
        <v>#DIV/0!</v>
      </c>
      <c r="BC101" s="178" t="e">
        <f t="shared" si="75"/>
        <v>#DIV/0!</v>
      </c>
      <c r="BD101" s="178" t="e">
        <f t="shared" si="75"/>
        <v>#DIV/0!</v>
      </c>
      <c r="BE101" s="178" t="e">
        <f t="shared" si="75"/>
        <v>#DIV/0!</v>
      </c>
      <c r="BF101" s="178" t="e">
        <f t="shared" si="75"/>
        <v>#DIV/0!</v>
      </c>
      <c r="BG101" s="178" t="e">
        <f t="shared" si="75"/>
        <v>#DIV/0!</v>
      </c>
      <c r="BH101" s="168" t="e">
        <f t="shared" si="75"/>
        <v>#DIV/0!</v>
      </c>
      <c r="BI101" s="169" t="e">
        <f t="shared" si="90"/>
        <v>#DIV/0!</v>
      </c>
      <c r="BJ101" s="179" t="e">
        <f t="shared" si="91"/>
        <v>#DIV/0!</v>
      </c>
      <c r="BK101" s="180" t="e">
        <f t="shared" si="76"/>
        <v>#DIV/0!</v>
      </c>
      <c r="BL101" s="178" t="e">
        <f t="shared" si="76"/>
        <v>#DIV/0!</v>
      </c>
      <c r="BM101" s="178" t="e">
        <f t="shared" si="76"/>
        <v>#DIV/0!</v>
      </c>
      <c r="BN101" s="178" t="e">
        <f t="shared" si="76"/>
        <v>#DIV/0!</v>
      </c>
      <c r="BO101" s="178" t="e">
        <f t="shared" si="76"/>
        <v>#DIV/0!</v>
      </c>
      <c r="BP101" s="178" t="e">
        <f t="shared" si="76"/>
        <v>#DIV/0!</v>
      </c>
      <c r="BQ101" s="178" t="e">
        <f t="shared" si="76"/>
        <v>#DIV/0!</v>
      </c>
      <c r="BR101" s="178" t="e">
        <f t="shared" si="76"/>
        <v>#DIV/0!</v>
      </c>
      <c r="BS101" s="178" t="e">
        <f t="shared" si="76"/>
        <v>#DIV/0!</v>
      </c>
      <c r="BT101" s="178" t="e">
        <f t="shared" si="76"/>
        <v>#DIV/0!</v>
      </c>
      <c r="BU101" s="178" t="e">
        <f t="shared" si="76"/>
        <v>#DIV/0!</v>
      </c>
      <c r="BV101" s="168" t="e">
        <f t="shared" si="76"/>
        <v>#DIV/0!</v>
      </c>
      <c r="BW101" s="169" t="e">
        <f t="shared" si="92"/>
        <v>#DIV/0!</v>
      </c>
      <c r="BX101" s="179" t="e">
        <f t="shared" si="93"/>
        <v>#DIV/0!</v>
      </c>
      <c r="BY101" s="180" t="e">
        <f t="shared" si="77"/>
        <v>#DIV/0!</v>
      </c>
      <c r="BZ101" s="178" t="e">
        <f t="shared" si="77"/>
        <v>#DIV/0!</v>
      </c>
      <c r="CA101" s="178" t="e">
        <f t="shared" si="77"/>
        <v>#DIV/0!</v>
      </c>
      <c r="CB101" s="178" t="e">
        <f t="shared" si="77"/>
        <v>#DIV/0!</v>
      </c>
      <c r="CC101" s="178" t="e">
        <f t="shared" si="77"/>
        <v>#DIV/0!</v>
      </c>
      <c r="CD101" s="178" t="e">
        <f t="shared" si="77"/>
        <v>#DIV/0!</v>
      </c>
      <c r="CE101" s="178" t="e">
        <f t="shared" si="77"/>
        <v>#DIV/0!</v>
      </c>
      <c r="CF101" s="178" t="e">
        <f t="shared" si="77"/>
        <v>#DIV/0!</v>
      </c>
      <c r="CG101" s="178" t="e">
        <f t="shared" si="77"/>
        <v>#DIV/0!</v>
      </c>
      <c r="CH101" s="178" t="e">
        <f t="shared" si="77"/>
        <v>#DIV/0!</v>
      </c>
      <c r="CI101" s="178" t="e">
        <f t="shared" si="77"/>
        <v>#DIV/0!</v>
      </c>
      <c r="CJ101" s="168" t="e">
        <f t="shared" si="77"/>
        <v>#DIV/0!</v>
      </c>
      <c r="CK101" s="169" t="e">
        <f t="shared" si="94"/>
        <v>#DIV/0!</v>
      </c>
      <c r="CL101" s="179" t="e">
        <f t="shared" si="95"/>
        <v>#DIV/0!</v>
      </c>
      <c r="CM101" s="180" t="e">
        <f t="shared" si="78"/>
        <v>#DIV/0!</v>
      </c>
      <c r="CN101" s="178" t="e">
        <f t="shared" si="78"/>
        <v>#DIV/0!</v>
      </c>
      <c r="CO101" s="178" t="e">
        <f t="shared" si="78"/>
        <v>#DIV/0!</v>
      </c>
      <c r="CP101" s="178" t="e">
        <f t="shared" si="78"/>
        <v>#DIV/0!</v>
      </c>
      <c r="CQ101" s="178" t="e">
        <f t="shared" si="78"/>
        <v>#DIV/0!</v>
      </c>
      <c r="CR101" s="178" t="e">
        <f t="shared" si="78"/>
        <v>#DIV/0!</v>
      </c>
      <c r="CS101" s="178" t="e">
        <f t="shared" si="78"/>
        <v>#DIV/0!</v>
      </c>
      <c r="CT101" s="178" t="e">
        <f t="shared" si="78"/>
        <v>#DIV/0!</v>
      </c>
      <c r="CU101" s="178" t="e">
        <f t="shared" si="78"/>
        <v>#DIV/0!</v>
      </c>
      <c r="CV101" s="178" t="e">
        <f t="shared" si="78"/>
        <v>#DIV/0!</v>
      </c>
      <c r="CW101" s="178" t="e">
        <f t="shared" si="78"/>
        <v>#DIV/0!</v>
      </c>
      <c r="CX101" s="168" t="e">
        <f t="shared" si="78"/>
        <v>#DIV/0!</v>
      </c>
      <c r="CY101" s="169" t="e">
        <f t="shared" si="96"/>
        <v>#DIV/0!</v>
      </c>
      <c r="CZ101" s="179" t="e">
        <f t="shared" si="97"/>
        <v>#DIV/0!</v>
      </c>
      <c r="DA101" s="180" t="e">
        <f t="shared" si="79"/>
        <v>#DIV/0!</v>
      </c>
      <c r="DB101" s="178" t="e">
        <f t="shared" si="79"/>
        <v>#DIV/0!</v>
      </c>
      <c r="DC101" s="178" t="e">
        <f t="shared" si="79"/>
        <v>#DIV/0!</v>
      </c>
      <c r="DD101" s="178" t="e">
        <f t="shared" si="79"/>
        <v>#DIV/0!</v>
      </c>
      <c r="DE101" s="178" t="e">
        <f t="shared" si="79"/>
        <v>#DIV/0!</v>
      </c>
      <c r="DF101" s="178" t="e">
        <f t="shared" si="79"/>
        <v>#DIV/0!</v>
      </c>
      <c r="DG101" s="178" t="e">
        <f t="shared" si="79"/>
        <v>#DIV/0!</v>
      </c>
      <c r="DH101" s="178" t="e">
        <f t="shared" si="79"/>
        <v>#DIV/0!</v>
      </c>
      <c r="DI101" s="178" t="e">
        <f t="shared" si="79"/>
        <v>#DIV/0!</v>
      </c>
      <c r="DJ101" s="178" t="e">
        <f t="shared" si="79"/>
        <v>#DIV/0!</v>
      </c>
      <c r="DK101" s="178" t="e">
        <f t="shared" si="79"/>
        <v>#DIV/0!</v>
      </c>
      <c r="DL101" s="168" t="e">
        <f t="shared" si="79"/>
        <v>#DIV/0!</v>
      </c>
      <c r="DM101" s="169" t="e">
        <f t="shared" si="98"/>
        <v>#DIV/0!</v>
      </c>
      <c r="DN101" s="171" t="e">
        <f t="shared" si="99"/>
        <v>#DIV/0!</v>
      </c>
      <c r="DO101" s="180" t="e">
        <f t="shared" si="80"/>
        <v>#DIV/0!</v>
      </c>
      <c r="DP101" s="178" t="e">
        <f t="shared" si="80"/>
        <v>#DIV/0!</v>
      </c>
      <c r="DQ101" s="178" t="e">
        <f t="shared" si="80"/>
        <v>#DIV/0!</v>
      </c>
      <c r="DR101" s="178" t="e">
        <f t="shared" si="80"/>
        <v>#DIV/0!</v>
      </c>
      <c r="DS101" s="178" t="e">
        <f t="shared" si="80"/>
        <v>#DIV/0!</v>
      </c>
      <c r="DT101" s="178" t="e">
        <f t="shared" si="80"/>
        <v>#DIV/0!</v>
      </c>
      <c r="DU101" s="178" t="e">
        <f t="shared" si="80"/>
        <v>#DIV/0!</v>
      </c>
      <c r="DV101" s="178" t="e">
        <f t="shared" si="80"/>
        <v>#DIV/0!</v>
      </c>
      <c r="DW101" s="178" t="e">
        <f t="shared" si="80"/>
        <v>#DIV/0!</v>
      </c>
      <c r="DX101" s="178" t="e">
        <f t="shared" si="80"/>
        <v>#DIV/0!</v>
      </c>
      <c r="DY101" s="178" t="e">
        <f t="shared" si="80"/>
        <v>#DIV/0!</v>
      </c>
      <c r="DZ101" s="168" t="e">
        <f t="shared" si="80"/>
        <v>#DIV/0!</v>
      </c>
      <c r="EA101" s="169" t="e">
        <f t="shared" si="100"/>
        <v>#DIV/0!</v>
      </c>
      <c r="EB101" s="171" t="e">
        <f t="shared" si="101"/>
        <v>#DIV/0!</v>
      </c>
    </row>
    <row r="102" spans="1:132" s="177" customFormat="1" ht="15.75">
      <c r="A102" s="163"/>
      <c r="B102" s="181"/>
      <c r="C102" s="165"/>
      <c r="D102" s="182"/>
      <c r="E102" s="167"/>
      <c r="F102" s="168" t="e">
        <f t="shared" si="83"/>
        <v>#DIV/0!</v>
      </c>
      <c r="G102" s="169" t="e">
        <f t="shared" si="82"/>
        <v>#DIV/0!</v>
      </c>
      <c r="H102" s="178" t="e">
        <f t="shared" si="82"/>
        <v>#DIV/0!</v>
      </c>
      <c r="I102" s="178" t="e">
        <f t="shared" si="82"/>
        <v>#DIV/0!</v>
      </c>
      <c r="J102" s="178" t="e">
        <f t="shared" si="82"/>
        <v>#DIV/0!</v>
      </c>
      <c r="K102" s="178" t="e">
        <f t="shared" si="82"/>
        <v>#DIV/0!</v>
      </c>
      <c r="L102" s="178" t="e">
        <f t="shared" si="82"/>
        <v>#DIV/0!</v>
      </c>
      <c r="M102" s="178" t="e">
        <f t="shared" si="82"/>
        <v>#DIV/0!</v>
      </c>
      <c r="N102" s="178" t="e">
        <f t="shared" si="82"/>
        <v>#DIV/0!</v>
      </c>
      <c r="O102" s="178" t="e">
        <f t="shared" si="82"/>
        <v>#DIV/0!</v>
      </c>
      <c r="P102" s="178" t="e">
        <f t="shared" si="82"/>
        <v>#DIV/0!</v>
      </c>
      <c r="Q102" s="178" t="e">
        <f t="shared" si="82"/>
        <v>#DIV/0!</v>
      </c>
      <c r="R102" s="179" t="e">
        <f t="shared" si="82"/>
        <v>#DIV/0!</v>
      </c>
      <c r="S102" s="169" t="e">
        <f t="shared" si="84"/>
        <v>#DIV/0!</v>
      </c>
      <c r="T102" s="179" t="e">
        <f t="shared" si="85"/>
        <v>#DIV/0!</v>
      </c>
      <c r="U102" s="180" t="e">
        <f t="shared" si="73"/>
        <v>#DIV/0!</v>
      </c>
      <c r="V102" s="178" t="e">
        <f t="shared" si="73"/>
        <v>#DIV/0!</v>
      </c>
      <c r="W102" s="178" t="e">
        <f t="shared" si="73"/>
        <v>#DIV/0!</v>
      </c>
      <c r="X102" s="178" t="e">
        <f t="shared" si="73"/>
        <v>#DIV/0!</v>
      </c>
      <c r="Y102" s="178" t="e">
        <f t="shared" si="73"/>
        <v>#DIV/0!</v>
      </c>
      <c r="Z102" s="178" t="e">
        <f t="shared" si="73"/>
        <v>#DIV/0!</v>
      </c>
      <c r="AA102" s="178" t="e">
        <f t="shared" si="73"/>
        <v>#DIV/0!</v>
      </c>
      <c r="AB102" s="178" t="e">
        <f t="shared" si="73"/>
        <v>#DIV/0!</v>
      </c>
      <c r="AC102" s="178" t="e">
        <f t="shared" si="73"/>
        <v>#DIV/0!</v>
      </c>
      <c r="AD102" s="178" t="e">
        <f t="shared" si="73"/>
        <v>#DIV/0!</v>
      </c>
      <c r="AE102" s="178" t="e">
        <f t="shared" si="73"/>
        <v>#DIV/0!</v>
      </c>
      <c r="AF102" s="168" t="e">
        <f t="shared" si="73"/>
        <v>#DIV/0!</v>
      </c>
      <c r="AG102" s="169" t="e">
        <f t="shared" si="86"/>
        <v>#DIV/0!</v>
      </c>
      <c r="AH102" s="179" t="e">
        <f t="shared" si="87"/>
        <v>#DIV/0!</v>
      </c>
      <c r="AI102" s="180" t="e">
        <f t="shared" si="104"/>
        <v>#DIV/0!</v>
      </c>
      <c r="AJ102" s="178" t="e">
        <f t="shared" si="102"/>
        <v>#DIV/0!</v>
      </c>
      <c r="AK102" s="178" t="e">
        <f t="shared" si="102"/>
        <v>#DIV/0!</v>
      </c>
      <c r="AL102" s="178" t="e">
        <f t="shared" si="102"/>
        <v>#DIV/0!</v>
      </c>
      <c r="AM102" s="178" t="e">
        <f t="shared" si="102"/>
        <v>#DIV/0!</v>
      </c>
      <c r="AN102" s="178" t="e">
        <f t="shared" si="102"/>
        <v>#DIV/0!</v>
      </c>
      <c r="AO102" s="178" t="e">
        <f t="shared" si="102"/>
        <v>#DIV/0!</v>
      </c>
      <c r="AP102" s="178" t="e">
        <f t="shared" si="102"/>
        <v>#DIV/0!</v>
      </c>
      <c r="AQ102" s="178" t="e">
        <f t="shared" si="102"/>
        <v>#DIV/0!</v>
      </c>
      <c r="AR102" s="178" t="e">
        <f t="shared" si="102"/>
        <v>#DIV/0!</v>
      </c>
      <c r="AS102" s="178" t="e">
        <f t="shared" si="102"/>
        <v>#DIV/0!</v>
      </c>
      <c r="AT102" s="168" t="e">
        <f t="shared" si="102"/>
        <v>#DIV/0!</v>
      </c>
      <c r="AU102" s="169" t="e">
        <f t="shared" si="88"/>
        <v>#DIV/0!</v>
      </c>
      <c r="AV102" s="179" t="e">
        <f t="shared" si="89"/>
        <v>#DIV/0!</v>
      </c>
      <c r="AW102" s="180" t="e">
        <f t="shared" si="75"/>
        <v>#DIV/0!</v>
      </c>
      <c r="AX102" s="178" t="e">
        <f t="shared" si="75"/>
        <v>#DIV/0!</v>
      </c>
      <c r="AY102" s="178" t="e">
        <f t="shared" si="75"/>
        <v>#DIV/0!</v>
      </c>
      <c r="AZ102" s="178" t="e">
        <f t="shared" si="75"/>
        <v>#DIV/0!</v>
      </c>
      <c r="BA102" s="178" t="e">
        <f t="shared" si="75"/>
        <v>#DIV/0!</v>
      </c>
      <c r="BB102" s="178" t="e">
        <f t="shared" si="75"/>
        <v>#DIV/0!</v>
      </c>
      <c r="BC102" s="178" t="e">
        <f t="shared" si="75"/>
        <v>#DIV/0!</v>
      </c>
      <c r="BD102" s="178" t="e">
        <f t="shared" si="75"/>
        <v>#DIV/0!</v>
      </c>
      <c r="BE102" s="178" t="e">
        <f t="shared" si="75"/>
        <v>#DIV/0!</v>
      </c>
      <c r="BF102" s="178" t="e">
        <f t="shared" si="75"/>
        <v>#DIV/0!</v>
      </c>
      <c r="BG102" s="178" t="e">
        <f t="shared" si="75"/>
        <v>#DIV/0!</v>
      </c>
      <c r="BH102" s="168" t="e">
        <f t="shared" si="75"/>
        <v>#DIV/0!</v>
      </c>
      <c r="BI102" s="169" t="e">
        <f t="shared" si="90"/>
        <v>#DIV/0!</v>
      </c>
      <c r="BJ102" s="179" t="e">
        <f t="shared" si="91"/>
        <v>#DIV/0!</v>
      </c>
      <c r="BK102" s="180" t="e">
        <f t="shared" si="76"/>
        <v>#DIV/0!</v>
      </c>
      <c r="BL102" s="178" t="e">
        <f t="shared" si="76"/>
        <v>#DIV/0!</v>
      </c>
      <c r="BM102" s="178" t="e">
        <f t="shared" si="76"/>
        <v>#DIV/0!</v>
      </c>
      <c r="BN102" s="178" t="e">
        <f t="shared" si="76"/>
        <v>#DIV/0!</v>
      </c>
      <c r="BO102" s="178" t="e">
        <f t="shared" si="76"/>
        <v>#DIV/0!</v>
      </c>
      <c r="BP102" s="178" t="e">
        <f t="shared" si="76"/>
        <v>#DIV/0!</v>
      </c>
      <c r="BQ102" s="178" t="e">
        <f t="shared" si="76"/>
        <v>#DIV/0!</v>
      </c>
      <c r="BR102" s="178" t="e">
        <f t="shared" si="76"/>
        <v>#DIV/0!</v>
      </c>
      <c r="BS102" s="178" t="e">
        <f t="shared" si="76"/>
        <v>#DIV/0!</v>
      </c>
      <c r="BT102" s="178" t="e">
        <f t="shared" si="76"/>
        <v>#DIV/0!</v>
      </c>
      <c r="BU102" s="178" t="e">
        <f t="shared" si="76"/>
        <v>#DIV/0!</v>
      </c>
      <c r="BV102" s="168" t="e">
        <f t="shared" si="76"/>
        <v>#DIV/0!</v>
      </c>
      <c r="BW102" s="169" t="e">
        <f t="shared" si="92"/>
        <v>#DIV/0!</v>
      </c>
      <c r="BX102" s="179" t="e">
        <f t="shared" si="93"/>
        <v>#DIV/0!</v>
      </c>
      <c r="BY102" s="180" t="e">
        <f t="shared" si="77"/>
        <v>#DIV/0!</v>
      </c>
      <c r="BZ102" s="178" t="e">
        <f t="shared" si="77"/>
        <v>#DIV/0!</v>
      </c>
      <c r="CA102" s="178" t="e">
        <f t="shared" si="77"/>
        <v>#DIV/0!</v>
      </c>
      <c r="CB102" s="178" t="e">
        <f t="shared" si="77"/>
        <v>#DIV/0!</v>
      </c>
      <c r="CC102" s="178" t="e">
        <f t="shared" si="77"/>
        <v>#DIV/0!</v>
      </c>
      <c r="CD102" s="178" t="e">
        <f t="shared" si="77"/>
        <v>#DIV/0!</v>
      </c>
      <c r="CE102" s="178" t="e">
        <f t="shared" si="77"/>
        <v>#DIV/0!</v>
      </c>
      <c r="CF102" s="178" t="e">
        <f t="shared" si="77"/>
        <v>#DIV/0!</v>
      </c>
      <c r="CG102" s="178" t="e">
        <f t="shared" si="77"/>
        <v>#DIV/0!</v>
      </c>
      <c r="CH102" s="178" t="e">
        <f t="shared" si="77"/>
        <v>#DIV/0!</v>
      </c>
      <c r="CI102" s="178" t="e">
        <f t="shared" si="77"/>
        <v>#DIV/0!</v>
      </c>
      <c r="CJ102" s="168" t="e">
        <f t="shared" si="77"/>
        <v>#DIV/0!</v>
      </c>
      <c r="CK102" s="169" t="e">
        <f t="shared" si="94"/>
        <v>#DIV/0!</v>
      </c>
      <c r="CL102" s="179" t="e">
        <f t="shared" si="95"/>
        <v>#DIV/0!</v>
      </c>
      <c r="CM102" s="180" t="e">
        <f t="shared" si="78"/>
        <v>#DIV/0!</v>
      </c>
      <c r="CN102" s="178" t="e">
        <f t="shared" si="78"/>
        <v>#DIV/0!</v>
      </c>
      <c r="CO102" s="178" t="e">
        <f t="shared" si="78"/>
        <v>#DIV/0!</v>
      </c>
      <c r="CP102" s="178" t="e">
        <f t="shared" si="78"/>
        <v>#DIV/0!</v>
      </c>
      <c r="CQ102" s="178" t="e">
        <f t="shared" si="78"/>
        <v>#DIV/0!</v>
      </c>
      <c r="CR102" s="178" t="e">
        <f t="shared" si="78"/>
        <v>#DIV/0!</v>
      </c>
      <c r="CS102" s="178" t="e">
        <f t="shared" si="78"/>
        <v>#DIV/0!</v>
      </c>
      <c r="CT102" s="178" t="e">
        <f t="shared" si="78"/>
        <v>#DIV/0!</v>
      </c>
      <c r="CU102" s="178" t="e">
        <f t="shared" si="78"/>
        <v>#DIV/0!</v>
      </c>
      <c r="CV102" s="178" t="e">
        <f t="shared" si="78"/>
        <v>#DIV/0!</v>
      </c>
      <c r="CW102" s="178" t="e">
        <f t="shared" si="78"/>
        <v>#DIV/0!</v>
      </c>
      <c r="CX102" s="168" t="e">
        <f t="shared" si="78"/>
        <v>#DIV/0!</v>
      </c>
      <c r="CY102" s="169" t="e">
        <f t="shared" si="96"/>
        <v>#DIV/0!</v>
      </c>
      <c r="CZ102" s="179" t="e">
        <f t="shared" si="97"/>
        <v>#DIV/0!</v>
      </c>
      <c r="DA102" s="180" t="e">
        <f t="shared" si="79"/>
        <v>#DIV/0!</v>
      </c>
      <c r="DB102" s="178" t="e">
        <f t="shared" si="79"/>
        <v>#DIV/0!</v>
      </c>
      <c r="DC102" s="178" t="e">
        <f t="shared" si="79"/>
        <v>#DIV/0!</v>
      </c>
      <c r="DD102" s="178" t="e">
        <f t="shared" si="79"/>
        <v>#DIV/0!</v>
      </c>
      <c r="DE102" s="178" t="e">
        <f t="shared" si="79"/>
        <v>#DIV/0!</v>
      </c>
      <c r="DF102" s="178" t="e">
        <f t="shared" si="79"/>
        <v>#DIV/0!</v>
      </c>
      <c r="DG102" s="178" t="e">
        <f t="shared" si="79"/>
        <v>#DIV/0!</v>
      </c>
      <c r="DH102" s="178" t="e">
        <f t="shared" si="79"/>
        <v>#DIV/0!</v>
      </c>
      <c r="DI102" s="178" t="e">
        <f t="shared" si="79"/>
        <v>#DIV/0!</v>
      </c>
      <c r="DJ102" s="178" t="e">
        <f t="shared" si="79"/>
        <v>#DIV/0!</v>
      </c>
      <c r="DK102" s="178" t="e">
        <f t="shared" si="79"/>
        <v>#DIV/0!</v>
      </c>
      <c r="DL102" s="168" t="e">
        <f t="shared" si="79"/>
        <v>#DIV/0!</v>
      </c>
      <c r="DM102" s="169" t="e">
        <f t="shared" si="98"/>
        <v>#DIV/0!</v>
      </c>
      <c r="DN102" s="171" t="e">
        <f t="shared" si="99"/>
        <v>#DIV/0!</v>
      </c>
      <c r="DO102" s="180" t="e">
        <f t="shared" si="80"/>
        <v>#DIV/0!</v>
      </c>
      <c r="DP102" s="178" t="e">
        <f t="shared" si="80"/>
        <v>#DIV/0!</v>
      </c>
      <c r="DQ102" s="178" t="e">
        <f t="shared" si="80"/>
        <v>#DIV/0!</v>
      </c>
      <c r="DR102" s="178" t="e">
        <f t="shared" si="80"/>
        <v>#DIV/0!</v>
      </c>
      <c r="DS102" s="178" t="e">
        <f t="shared" si="80"/>
        <v>#DIV/0!</v>
      </c>
      <c r="DT102" s="178" t="e">
        <f t="shared" si="80"/>
        <v>#DIV/0!</v>
      </c>
      <c r="DU102" s="178" t="e">
        <f t="shared" si="80"/>
        <v>#DIV/0!</v>
      </c>
      <c r="DV102" s="178" t="e">
        <f t="shared" si="80"/>
        <v>#DIV/0!</v>
      </c>
      <c r="DW102" s="178" t="e">
        <f t="shared" si="80"/>
        <v>#DIV/0!</v>
      </c>
      <c r="DX102" s="178" t="e">
        <f t="shared" si="80"/>
        <v>#DIV/0!</v>
      </c>
      <c r="DY102" s="178" t="e">
        <f t="shared" si="80"/>
        <v>#DIV/0!</v>
      </c>
      <c r="DZ102" s="168" t="e">
        <f t="shared" si="80"/>
        <v>#DIV/0!</v>
      </c>
      <c r="EA102" s="169" t="e">
        <f t="shared" si="100"/>
        <v>#DIV/0!</v>
      </c>
      <c r="EB102" s="171" t="e">
        <f t="shared" si="101"/>
        <v>#DIV/0!</v>
      </c>
    </row>
    <row r="103" spans="1:132" s="177" customFormat="1" ht="15.75">
      <c r="A103" s="163"/>
      <c r="B103" s="181"/>
      <c r="C103" s="165"/>
      <c r="D103" s="182"/>
      <c r="E103" s="167"/>
      <c r="F103" s="168" t="e">
        <f t="shared" si="83"/>
        <v>#DIV/0!</v>
      </c>
      <c r="G103" s="169" t="e">
        <f t="shared" si="82"/>
        <v>#DIV/0!</v>
      </c>
      <c r="H103" s="178" t="e">
        <f t="shared" si="82"/>
        <v>#DIV/0!</v>
      </c>
      <c r="I103" s="178" t="e">
        <f t="shared" si="82"/>
        <v>#DIV/0!</v>
      </c>
      <c r="J103" s="178" t="e">
        <f t="shared" si="82"/>
        <v>#DIV/0!</v>
      </c>
      <c r="K103" s="178" t="e">
        <f t="shared" si="82"/>
        <v>#DIV/0!</v>
      </c>
      <c r="L103" s="178" t="e">
        <f t="shared" si="82"/>
        <v>#DIV/0!</v>
      </c>
      <c r="M103" s="178" t="e">
        <f t="shared" si="82"/>
        <v>#DIV/0!</v>
      </c>
      <c r="N103" s="178" t="e">
        <f t="shared" si="82"/>
        <v>#DIV/0!</v>
      </c>
      <c r="O103" s="178" t="e">
        <f t="shared" si="82"/>
        <v>#DIV/0!</v>
      </c>
      <c r="P103" s="178" t="e">
        <f t="shared" si="82"/>
        <v>#DIV/0!</v>
      </c>
      <c r="Q103" s="178" t="e">
        <f t="shared" si="82"/>
        <v>#DIV/0!</v>
      </c>
      <c r="R103" s="179" t="e">
        <f t="shared" si="82"/>
        <v>#DIV/0!</v>
      </c>
      <c r="S103" s="169" t="e">
        <f t="shared" si="84"/>
        <v>#DIV/0!</v>
      </c>
      <c r="T103" s="179" t="e">
        <f t="shared" si="85"/>
        <v>#DIV/0!</v>
      </c>
      <c r="U103" s="180" t="e">
        <f t="shared" si="73"/>
        <v>#DIV/0!</v>
      </c>
      <c r="V103" s="178" t="e">
        <f t="shared" si="73"/>
        <v>#DIV/0!</v>
      </c>
      <c r="W103" s="178" t="e">
        <f t="shared" si="73"/>
        <v>#DIV/0!</v>
      </c>
      <c r="X103" s="178" t="e">
        <f t="shared" si="73"/>
        <v>#DIV/0!</v>
      </c>
      <c r="Y103" s="178" t="e">
        <f t="shared" si="73"/>
        <v>#DIV/0!</v>
      </c>
      <c r="Z103" s="178" t="e">
        <f t="shared" si="73"/>
        <v>#DIV/0!</v>
      </c>
      <c r="AA103" s="178" t="e">
        <f t="shared" si="73"/>
        <v>#DIV/0!</v>
      </c>
      <c r="AB103" s="178" t="e">
        <f t="shared" si="73"/>
        <v>#DIV/0!</v>
      </c>
      <c r="AC103" s="178" t="e">
        <f t="shared" si="73"/>
        <v>#DIV/0!</v>
      </c>
      <c r="AD103" s="178" t="e">
        <f t="shared" si="73"/>
        <v>#DIV/0!</v>
      </c>
      <c r="AE103" s="178" t="e">
        <f t="shared" si="73"/>
        <v>#DIV/0!</v>
      </c>
      <c r="AF103" s="168" t="e">
        <f t="shared" si="73"/>
        <v>#DIV/0!</v>
      </c>
      <c r="AG103" s="169" t="e">
        <f t="shared" si="86"/>
        <v>#DIV/0!</v>
      </c>
      <c r="AH103" s="179" t="e">
        <f t="shared" si="87"/>
        <v>#DIV/0!</v>
      </c>
      <c r="AI103" s="180" t="e">
        <f t="shared" si="104"/>
        <v>#DIV/0!</v>
      </c>
      <c r="AJ103" s="178" t="e">
        <f t="shared" si="102"/>
        <v>#DIV/0!</v>
      </c>
      <c r="AK103" s="178" t="e">
        <f t="shared" si="102"/>
        <v>#DIV/0!</v>
      </c>
      <c r="AL103" s="178" t="e">
        <f t="shared" si="102"/>
        <v>#DIV/0!</v>
      </c>
      <c r="AM103" s="178" t="e">
        <f t="shared" si="102"/>
        <v>#DIV/0!</v>
      </c>
      <c r="AN103" s="178" t="e">
        <f t="shared" si="102"/>
        <v>#DIV/0!</v>
      </c>
      <c r="AO103" s="178" t="e">
        <f t="shared" si="102"/>
        <v>#DIV/0!</v>
      </c>
      <c r="AP103" s="178" t="e">
        <f t="shared" si="102"/>
        <v>#DIV/0!</v>
      </c>
      <c r="AQ103" s="178" t="e">
        <f t="shared" si="102"/>
        <v>#DIV/0!</v>
      </c>
      <c r="AR103" s="178" t="e">
        <f t="shared" si="102"/>
        <v>#DIV/0!</v>
      </c>
      <c r="AS103" s="178" t="e">
        <f t="shared" si="102"/>
        <v>#DIV/0!</v>
      </c>
      <c r="AT103" s="168" t="e">
        <f t="shared" si="102"/>
        <v>#DIV/0!</v>
      </c>
      <c r="AU103" s="169" t="e">
        <f t="shared" si="88"/>
        <v>#DIV/0!</v>
      </c>
      <c r="AV103" s="179" t="e">
        <f t="shared" si="89"/>
        <v>#DIV/0!</v>
      </c>
      <c r="AW103" s="180" t="e">
        <f t="shared" si="75"/>
        <v>#DIV/0!</v>
      </c>
      <c r="AX103" s="178" t="e">
        <f t="shared" si="75"/>
        <v>#DIV/0!</v>
      </c>
      <c r="AY103" s="178" t="e">
        <f t="shared" si="75"/>
        <v>#DIV/0!</v>
      </c>
      <c r="AZ103" s="178" t="e">
        <f t="shared" si="75"/>
        <v>#DIV/0!</v>
      </c>
      <c r="BA103" s="178" t="e">
        <f t="shared" si="75"/>
        <v>#DIV/0!</v>
      </c>
      <c r="BB103" s="178" t="e">
        <f t="shared" si="75"/>
        <v>#DIV/0!</v>
      </c>
      <c r="BC103" s="178" t="e">
        <f t="shared" si="75"/>
        <v>#DIV/0!</v>
      </c>
      <c r="BD103" s="178" t="e">
        <f t="shared" si="75"/>
        <v>#DIV/0!</v>
      </c>
      <c r="BE103" s="178" t="e">
        <f t="shared" si="75"/>
        <v>#DIV/0!</v>
      </c>
      <c r="BF103" s="178" t="e">
        <f t="shared" si="75"/>
        <v>#DIV/0!</v>
      </c>
      <c r="BG103" s="178" t="e">
        <f t="shared" si="75"/>
        <v>#DIV/0!</v>
      </c>
      <c r="BH103" s="168" t="e">
        <f t="shared" si="75"/>
        <v>#DIV/0!</v>
      </c>
      <c r="BI103" s="169" t="e">
        <f t="shared" si="90"/>
        <v>#DIV/0!</v>
      </c>
      <c r="BJ103" s="179" t="e">
        <f t="shared" si="91"/>
        <v>#DIV/0!</v>
      </c>
      <c r="BK103" s="180" t="e">
        <f t="shared" si="76"/>
        <v>#DIV/0!</v>
      </c>
      <c r="BL103" s="178" t="e">
        <f t="shared" si="76"/>
        <v>#DIV/0!</v>
      </c>
      <c r="BM103" s="178" t="e">
        <f t="shared" si="76"/>
        <v>#DIV/0!</v>
      </c>
      <c r="BN103" s="178" t="e">
        <f t="shared" si="76"/>
        <v>#DIV/0!</v>
      </c>
      <c r="BO103" s="178" t="e">
        <f t="shared" si="76"/>
        <v>#DIV/0!</v>
      </c>
      <c r="BP103" s="178" t="e">
        <f t="shared" si="76"/>
        <v>#DIV/0!</v>
      </c>
      <c r="BQ103" s="178" t="e">
        <f t="shared" si="76"/>
        <v>#DIV/0!</v>
      </c>
      <c r="BR103" s="178" t="e">
        <f t="shared" si="76"/>
        <v>#DIV/0!</v>
      </c>
      <c r="BS103" s="178" t="e">
        <f t="shared" si="76"/>
        <v>#DIV/0!</v>
      </c>
      <c r="BT103" s="178" t="e">
        <f t="shared" si="76"/>
        <v>#DIV/0!</v>
      </c>
      <c r="BU103" s="178" t="e">
        <f t="shared" si="76"/>
        <v>#DIV/0!</v>
      </c>
      <c r="BV103" s="168" t="e">
        <f t="shared" si="76"/>
        <v>#DIV/0!</v>
      </c>
      <c r="BW103" s="169" t="e">
        <f t="shared" si="92"/>
        <v>#DIV/0!</v>
      </c>
      <c r="BX103" s="179" t="e">
        <f t="shared" si="93"/>
        <v>#DIV/0!</v>
      </c>
      <c r="BY103" s="180" t="e">
        <f t="shared" si="77"/>
        <v>#DIV/0!</v>
      </c>
      <c r="BZ103" s="178" t="e">
        <f t="shared" si="77"/>
        <v>#DIV/0!</v>
      </c>
      <c r="CA103" s="178" t="e">
        <f t="shared" si="77"/>
        <v>#DIV/0!</v>
      </c>
      <c r="CB103" s="178" t="e">
        <f t="shared" si="77"/>
        <v>#DIV/0!</v>
      </c>
      <c r="CC103" s="178" t="e">
        <f t="shared" si="77"/>
        <v>#DIV/0!</v>
      </c>
      <c r="CD103" s="178" t="e">
        <f t="shared" si="77"/>
        <v>#DIV/0!</v>
      </c>
      <c r="CE103" s="178" t="e">
        <f t="shared" si="77"/>
        <v>#DIV/0!</v>
      </c>
      <c r="CF103" s="178" t="e">
        <f t="shared" si="77"/>
        <v>#DIV/0!</v>
      </c>
      <c r="CG103" s="178" t="e">
        <f t="shared" si="77"/>
        <v>#DIV/0!</v>
      </c>
      <c r="CH103" s="178" t="e">
        <f t="shared" si="77"/>
        <v>#DIV/0!</v>
      </c>
      <c r="CI103" s="178" t="e">
        <f t="shared" si="77"/>
        <v>#DIV/0!</v>
      </c>
      <c r="CJ103" s="168" t="e">
        <f t="shared" si="77"/>
        <v>#DIV/0!</v>
      </c>
      <c r="CK103" s="169" t="e">
        <f t="shared" si="94"/>
        <v>#DIV/0!</v>
      </c>
      <c r="CL103" s="179" t="e">
        <f t="shared" si="95"/>
        <v>#DIV/0!</v>
      </c>
      <c r="CM103" s="180" t="e">
        <f t="shared" si="78"/>
        <v>#DIV/0!</v>
      </c>
      <c r="CN103" s="178" t="e">
        <f t="shared" si="78"/>
        <v>#DIV/0!</v>
      </c>
      <c r="CO103" s="178" t="e">
        <f t="shared" si="78"/>
        <v>#DIV/0!</v>
      </c>
      <c r="CP103" s="178" t="e">
        <f t="shared" si="78"/>
        <v>#DIV/0!</v>
      </c>
      <c r="CQ103" s="178" t="e">
        <f t="shared" si="78"/>
        <v>#DIV/0!</v>
      </c>
      <c r="CR103" s="178" t="e">
        <f t="shared" si="78"/>
        <v>#DIV/0!</v>
      </c>
      <c r="CS103" s="178" t="e">
        <f t="shared" si="78"/>
        <v>#DIV/0!</v>
      </c>
      <c r="CT103" s="178" t="e">
        <f t="shared" si="78"/>
        <v>#DIV/0!</v>
      </c>
      <c r="CU103" s="178" t="e">
        <f t="shared" si="78"/>
        <v>#DIV/0!</v>
      </c>
      <c r="CV103" s="178" t="e">
        <f t="shared" si="78"/>
        <v>#DIV/0!</v>
      </c>
      <c r="CW103" s="178" t="e">
        <f t="shared" si="78"/>
        <v>#DIV/0!</v>
      </c>
      <c r="CX103" s="168" t="e">
        <f t="shared" si="78"/>
        <v>#DIV/0!</v>
      </c>
      <c r="CY103" s="169" t="e">
        <f t="shared" si="96"/>
        <v>#DIV/0!</v>
      </c>
      <c r="CZ103" s="179" t="e">
        <f t="shared" si="97"/>
        <v>#DIV/0!</v>
      </c>
      <c r="DA103" s="180" t="e">
        <f t="shared" si="79"/>
        <v>#DIV/0!</v>
      </c>
      <c r="DB103" s="178" t="e">
        <f t="shared" si="79"/>
        <v>#DIV/0!</v>
      </c>
      <c r="DC103" s="178" t="e">
        <f t="shared" si="79"/>
        <v>#DIV/0!</v>
      </c>
      <c r="DD103" s="178" t="e">
        <f t="shared" si="79"/>
        <v>#DIV/0!</v>
      </c>
      <c r="DE103" s="178" t="e">
        <f t="shared" si="79"/>
        <v>#DIV/0!</v>
      </c>
      <c r="DF103" s="178" t="e">
        <f t="shared" si="79"/>
        <v>#DIV/0!</v>
      </c>
      <c r="DG103" s="178" t="e">
        <f t="shared" si="79"/>
        <v>#DIV/0!</v>
      </c>
      <c r="DH103" s="178" t="e">
        <f t="shared" si="79"/>
        <v>#DIV/0!</v>
      </c>
      <c r="DI103" s="178" t="e">
        <f t="shared" si="79"/>
        <v>#DIV/0!</v>
      </c>
      <c r="DJ103" s="178" t="e">
        <f t="shared" si="79"/>
        <v>#DIV/0!</v>
      </c>
      <c r="DK103" s="178" t="e">
        <f t="shared" si="79"/>
        <v>#DIV/0!</v>
      </c>
      <c r="DL103" s="168" t="e">
        <f t="shared" si="79"/>
        <v>#DIV/0!</v>
      </c>
      <c r="DM103" s="169" t="e">
        <f t="shared" si="98"/>
        <v>#DIV/0!</v>
      </c>
      <c r="DN103" s="171" t="e">
        <f t="shared" si="99"/>
        <v>#DIV/0!</v>
      </c>
      <c r="DO103" s="180" t="e">
        <f t="shared" si="80"/>
        <v>#DIV/0!</v>
      </c>
      <c r="DP103" s="178" t="e">
        <f t="shared" si="80"/>
        <v>#DIV/0!</v>
      </c>
      <c r="DQ103" s="178" t="e">
        <f t="shared" si="80"/>
        <v>#DIV/0!</v>
      </c>
      <c r="DR103" s="178" t="e">
        <f t="shared" si="80"/>
        <v>#DIV/0!</v>
      </c>
      <c r="DS103" s="178" t="e">
        <f t="shared" si="80"/>
        <v>#DIV/0!</v>
      </c>
      <c r="DT103" s="178" t="e">
        <f t="shared" si="80"/>
        <v>#DIV/0!</v>
      </c>
      <c r="DU103" s="178" t="e">
        <f t="shared" si="80"/>
        <v>#DIV/0!</v>
      </c>
      <c r="DV103" s="178" t="e">
        <f t="shared" si="80"/>
        <v>#DIV/0!</v>
      </c>
      <c r="DW103" s="178" t="e">
        <f t="shared" si="80"/>
        <v>#DIV/0!</v>
      </c>
      <c r="DX103" s="178" t="e">
        <f t="shared" si="80"/>
        <v>#DIV/0!</v>
      </c>
      <c r="DY103" s="178" t="e">
        <f t="shared" si="80"/>
        <v>#DIV/0!</v>
      </c>
      <c r="DZ103" s="168" t="e">
        <f t="shared" si="80"/>
        <v>#DIV/0!</v>
      </c>
      <c r="EA103" s="169" t="e">
        <f t="shared" si="100"/>
        <v>#DIV/0!</v>
      </c>
      <c r="EB103" s="171" t="e">
        <f t="shared" si="101"/>
        <v>#DIV/0!</v>
      </c>
    </row>
    <row r="104" spans="1:132" s="177" customFormat="1" ht="15.75">
      <c r="A104" s="163"/>
      <c r="B104" s="181"/>
      <c r="C104" s="165"/>
      <c r="D104" s="182"/>
      <c r="E104" s="167"/>
      <c r="F104" s="168" t="e">
        <f t="shared" si="83"/>
        <v>#DIV/0!</v>
      </c>
      <c r="G104" s="169" t="e">
        <f t="shared" si="82"/>
        <v>#DIV/0!</v>
      </c>
      <c r="H104" s="178" t="e">
        <f t="shared" si="82"/>
        <v>#DIV/0!</v>
      </c>
      <c r="I104" s="178" t="e">
        <f t="shared" si="82"/>
        <v>#DIV/0!</v>
      </c>
      <c r="J104" s="178" t="e">
        <f t="shared" si="82"/>
        <v>#DIV/0!</v>
      </c>
      <c r="K104" s="178" t="e">
        <f t="shared" si="82"/>
        <v>#DIV/0!</v>
      </c>
      <c r="L104" s="178" t="e">
        <f t="shared" si="82"/>
        <v>#DIV/0!</v>
      </c>
      <c r="M104" s="178" t="e">
        <f t="shared" si="82"/>
        <v>#DIV/0!</v>
      </c>
      <c r="N104" s="178" t="e">
        <f t="shared" si="82"/>
        <v>#DIV/0!</v>
      </c>
      <c r="O104" s="178" t="e">
        <f t="shared" si="82"/>
        <v>#DIV/0!</v>
      </c>
      <c r="P104" s="178" t="e">
        <f t="shared" si="82"/>
        <v>#DIV/0!</v>
      </c>
      <c r="Q104" s="178" t="e">
        <f t="shared" si="82"/>
        <v>#DIV/0!</v>
      </c>
      <c r="R104" s="179" t="e">
        <f t="shared" si="82"/>
        <v>#DIV/0!</v>
      </c>
      <c r="S104" s="169" t="e">
        <f t="shared" si="84"/>
        <v>#DIV/0!</v>
      </c>
      <c r="T104" s="179" t="e">
        <f t="shared" si="85"/>
        <v>#DIV/0!</v>
      </c>
      <c r="U104" s="180" t="e">
        <f t="shared" si="73"/>
        <v>#DIV/0!</v>
      </c>
      <c r="V104" s="178" t="e">
        <f t="shared" si="73"/>
        <v>#DIV/0!</v>
      </c>
      <c r="W104" s="178" t="e">
        <f t="shared" si="73"/>
        <v>#DIV/0!</v>
      </c>
      <c r="X104" s="178" t="e">
        <f t="shared" si="73"/>
        <v>#DIV/0!</v>
      </c>
      <c r="Y104" s="178" t="e">
        <f t="shared" si="73"/>
        <v>#DIV/0!</v>
      </c>
      <c r="Z104" s="178" t="e">
        <f t="shared" si="73"/>
        <v>#DIV/0!</v>
      </c>
      <c r="AA104" s="178" t="e">
        <f t="shared" si="73"/>
        <v>#DIV/0!</v>
      </c>
      <c r="AB104" s="178" t="e">
        <f t="shared" si="73"/>
        <v>#DIV/0!</v>
      </c>
      <c r="AC104" s="178" t="e">
        <f t="shared" si="73"/>
        <v>#DIV/0!</v>
      </c>
      <c r="AD104" s="178" t="e">
        <f t="shared" si="73"/>
        <v>#DIV/0!</v>
      </c>
      <c r="AE104" s="178" t="e">
        <f t="shared" si="73"/>
        <v>#DIV/0!</v>
      </c>
      <c r="AF104" s="168" t="e">
        <f t="shared" si="73"/>
        <v>#DIV/0!</v>
      </c>
      <c r="AG104" s="169" t="e">
        <f t="shared" si="86"/>
        <v>#DIV/0!</v>
      </c>
      <c r="AH104" s="179" t="e">
        <f t="shared" si="87"/>
        <v>#DIV/0!</v>
      </c>
      <c r="AI104" s="180" t="e">
        <f t="shared" si="104"/>
        <v>#DIV/0!</v>
      </c>
      <c r="AJ104" s="178" t="e">
        <f t="shared" si="102"/>
        <v>#DIV/0!</v>
      </c>
      <c r="AK104" s="178" t="e">
        <f t="shared" si="102"/>
        <v>#DIV/0!</v>
      </c>
      <c r="AL104" s="178" t="e">
        <f t="shared" si="102"/>
        <v>#DIV/0!</v>
      </c>
      <c r="AM104" s="178" t="e">
        <f t="shared" si="102"/>
        <v>#DIV/0!</v>
      </c>
      <c r="AN104" s="178" t="e">
        <f t="shared" si="102"/>
        <v>#DIV/0!</v>
      </c>
      <c r="AO104" s="178" t="e">
        <f t="shared" si="102"/>
        <v>#DIV/0!</v>
      </c>
      <c r="AP104" s="178" t="e">
        <f t="shared" si="102"/>
        <v>#DIV/0!</v>
      </c>
      <c r="AQ104" s="178" t="e">
        <f t="shared" si="102"/>
        <v>#DIV/0!</v>
      </c>
      <c r="AR104" s="178" t="e">
        <f t="shared" si="102"/>
        <v>#DIV/0!</v>
      </c>
      <c r="AS104" s="178" t="e">
        <f t="shared" si="102"/>
        <v>#DIV/0!</v>
      </c>
      <c r="AT104" s="168" t="e">
        <f t="shared" si="102"/>
        <v>#DIV/0!</v>
      </c>
      <c r="AU104" s="169" t="e">
        <f t="shared" si="88"/>
        <v>#DIV/0!</v>
      </c>
      <c r="AV104" s="179" t="e">
        <f t="shared" si="89"/>
        <v>#DIV/0!</v>
      </c>
      <c r="AW104" s="180" t="e">
        <f t="shared" si="75"/>
        <v>#DIV/0!</v>
      </c>
      <c r="AX104" s="178" t="e">
        <f t="shared" si="75"/>
        <v>#DIV/0!</v>
      </c>
      <c r="AY104" s="178" t="e">
        <f t="shared" si="75"/>
        <v>#DIV/0!</v>
      </c>
      <c r="AZ104" s="178" t="e">
        <f t="shared" si="75"/>
        <v>#DIV/0!</v>
      </c>
      <c r="BA104" s="178" t="e">
        <f t="shared" si="75"/>
        <v>#DIV/0!</v>
      </c>
      <c r="BB104" s="178" t="e">
        <f t="shared" si="75"/>
        <v>#DIV/0!</v>
      </c>
      <c r="BC104" s="178" t="e">
        <f t="shared" si="75"/>
        <v>#DIV/0!</v>
      </c>
      <c r="BD104" s="178" t="e">
        <f t="shared" si="75"/>
        <v>#DIV/0!</v>
      </c>
      <c r="BE104" s="178" t="e">
        <f t="shared" si="75"/>
        <v>#DIV/0!</v>
      </c>
      <c r="BF104" s="178" t="e">
        <f t="shared" si="75"/>
        <v>#DIV/0!</v>
      </c>
      <c r="BG104" s="178" t="e">
        <f t="shared" si="75"/>
        <v>#DIV/0!</v>
      </c>
      <c r="BH104" s="168" t="e">
        <f t="shared" si="75"/>
        <v>#DIV/0!</v>
      </c>
      <c r="BI104" s="169" t="e">
        <f t="shared" si="90"/>
        <v>#DIV/0!</v>
      </c>
      <c r="BJ104" s="179" t="e">
        <f t="shared" si="91"/>
        <v>#DIV/0!</v>
      </c>
      <c r="BK104" s="180" t="e">
        <f t="shared" si="76"/>
        <v>#DIV/0!</v>
      </c>
      <c r="BL104" s="178" t="e">
        <f t="shared" si="76"/>
        <v>#DIV/0!</v>
      </c>
      <c r="BM104" s="178" t="e">
        <f t="shared" si="76"/>
        <v>#DIV/0!</v>
      </c>
      <c r="BN104" s="178" t="e">
        <f t="shared" si="76"/>
        <v>#DIV/0!</v>
      </c>
      <c r="BO104" s="178" t="e">
        <f t="shared" si="76"/>
        <v>#DIV/0!</v>
      </c>
      <c r="BP104" s="178" t="e">
        <f t="shared" si="76"/>
        <v>#DIV/0!</v>
      </c>
      <c r="BQ104" s="178" t="e">
        <f t="shared" si="76"/>
        <v>#DIV/0!</v>
      </c>
      <c r="BR104" s="178" t="e">
        <f t="shared" si="76"/>
        <v>#DIV/0!</v>
      </c>
      <c r="BS104" s="178" t="e">
        <f t="shared" si="76"/>
        <v>#DIV/0!</v>
      </c>
      <c r="BT104" s="178" t="e">
        <f t="shared" si="76"/>
        <v>#DIV/0!</v>
      </c>
      <c r="BU104" s="178" t="e">
        <f t="shared" si="76"/>
        <v>#DIV/0!</v>
      </c>
      <c r="BV104" s="168" t="e">
        <f t="shared" si="76"/>
        <v>#DIV/0!</v>
      </c>
      <c r="BW104" s="169" t="e">
        <f t="shared" si="92"/>
        <v>#DIV/0!</v>
      </c>
      <c r="BX104" s="179" t="e">
        <f t="shared" si="93"/>
        <v>#DIV/0!</v>
      </c>
      <c r="BY104" s="180" t="e">
        <f t="shared" si="77"/>
        <v>#DIV/0!</v>
      </c>
      <c r="BZ104" s="178" t="e">
        <f t="shared" si="77"/>
        <v>#DIV/0!</v>
      </c>
      <c r="CA104" s="178" t="e">
        <f t="shared" si="77"/>
        <v>#DIV/0!</v>
      </c>
      <c r="CB104" s="178" t="e">
        <f t="shared" si="77"/>
        <v>#DIV/0!</v>
      </c>
      <c r="CC104" s="178" t="e">
        <f t="shared" si="77"/>
        <v>#DIV/0!</v>
      </c>
      <c r="CD104" s="178" t="e">
        <f t="shared" si="77"/>
        <v>#DIV/0!</v>
      </c>
      <c r="CE104" s="178" t="e">
        <f t="shared" si="77"/>
        <v>#DIV/0!</v>
      </c>
      <c r="CF104" s="178" t="e">
        <f t="shared" si="77"/>
        <v>#DIV/0!</v>
      </c>
      <c r="CG104" s="178" t="e">
        <f t="shared" si="77"/>
        <v>#DIV/0!</v>
      </c>
      <c r="CH104" s="178" t="e">
        <f t="shared" si="77"/>
        <v>#DIV/0!</v>
      </c>
      <c r="CI104" s="178" t="e">
        <f t="shared" si="77"/>
        <v>#DIV/0!</v>
      </c>
      <c r="CJ104" s="168" t="e">
        <f t="shared" si="77"/>
        <v>#DIV/0!</v>
      </c>
      <c r="CK104" s="169" t="e">
        <f t="shared" si="94"/>
        <v>#DIV/0!</v>
      </c>
      <c r="CL104" s="179" t="e">
        <f t="shared" si="95"/>
        <v>#DIV/0!</v>
      </c>
      <c r="CM104" s="180" t="e">
        <f t="shared" si="78"/>
        <v>#DIV/0!</v>
      </c>
      <c r="CN104" s="178" t="e">
        <f t="shared" si="78"/>
        <v>#DIV/0!</v>
      </c>
      <c r="CO104" s="178" t="e">
        <f t="shared" si="78"/>
        <v>#DIV/0!</v>
      </c>
      <c r="CP104" s="178" t="e">
        <f t="shared" si="78"/>
        <v>#DIV/0!</v>
      </c>
      <c r="CQ104" s="178" t="e">
        <f t="shared" si="78"/>
        <v>#DIV/0!</v>
      </c>
      <c r="CR104" s="178" t="e">
        <f t="shared" si="78"/>
        <v>#DIV/0!</v>
      </c>
      <c r="CS104" s="178" t="e">
        <f t="shared" si="78"/>
        <v>#DIV/0!</v>
      </c>
      <c r="CT104" s="178" t="e">
        <f t="shared" si="78"/>
        <v>#DIV/0!</v>
      </c>
      <c r="CU104" s="178" t="e">
        <f t="shared" si="78"/>
        <v>#DIV/0!</v>
      </c>
      <c r="CV104" s="178" t="e">
        <f t="shared" si="78"/>
        <v>#DIV/0!</v>
      </c>
      <c r="CW104" s="178" t="e">
        <f t="shared" si="78"/>
        <v>#DIV/0!</v>
      </c>
      <c r="CX104" s="168" t="e">
        <f t="shared" si="78"/>
        <v>#DIV/0!</v>
      </c>
      <c r="CY104" s="169" t="e">
        <f t="shared" si="96"/>
        <v>#DIV/0!</v>
      </c>
      <c r="CZ104" s="179" t="e">
        <f t="shared" si="97"/>
        <v>#DIV/0!</v>
      </c>
      <c r="DA104" s="180" t="e">
        <f t="shared" si="79"/>
        <v>#DIV/0!</v>
      </c>
      <c r="DB104" s="178" t="e">
        <f t="shared" si="79"/>
        <v>#DIV/0!</v>
      </c>
      <c r="DC104" s="178" t="e">
        <f t="shared" si="79"/>
        <v>#DIV/0!</v>
      </c>
      <c r="DD104" s="178" t="e">
        <f t="shared" si="79"/>
        <v>#DIV/0!</v>
      </c>
      <c r="DE104" s="178" t="e">
        <f t="shared" si="79"/>
        <v>#DIV/0!</v>
      </c>
      <c r="DF104" s="178" t="e">
        <f t="shared" si="79"/>
        <v>#DIV/0!</v>
      </c>
      <c r="DG104" s="178" t="e">
        <f t="shared" si="79"/>
        <v>#DIV/0!</v>
      </c>
      <c r="DH104" s="178" t="e">
        <f t="shared" si="79"/>
        <v>#DIV/0!</v>
      </c>
      <c r="DI104" s="178" t="e">
        <f t="shared" si="79"/>
        <v>#DIV/0!</v>
      </c>
      <c r="DJ104" s="178" t="e">
        <f t="shared" si="79"/>
        <v>#DIV/0!</v>
      </c>
      <c r="DK104" s="178" t="e">
        <f t="shared" si="79"/>
        <v>#DIV/0!</v>
      </c>
      <c r="DL104" s="168" t="e">
        <f t="shared" si="79"/>
        <v>#DIV/0!</v>
      </c>
      <c r="DM104" s="169" t="e">
        <f t="shared" si="98"/>
        <v>#DIV/0!</v>
      </c>
      <c r="DN104" s="171" t="e">
        <f t="shared" si="99"/>
        <v>#DIV/0!</v>
      </c>
      <c r="DO104" s="180" t="e">
        <f t="shared" si="80"/>
        <v>#DIV/0!</v>
      </c>
      <c r="DP104" s="178" t="e">
        <f t="shared" si="80"/>
        <v>#DIV/0!</v>
      </c>
      <c r="DQ104" s="178" t="e">
        <f t="shared" si="80"/>
        <v>#DIV/0!</v>
      </c>
      <c r="DR104" s="178" t="e">
        <f t="shared" si="80"/>
        <v>#DIV/0!</v>
      </c>
      <c r="DS104" s="178" t="e">
        <f t="shared" si="80"/>
        <v>#DIV/0!</v>
      </c>
      <c r="DT104" s="178" t="e">
        <f t="shared" si="80"/>
        <v>#DIV/0!</v>
      </c>
      <c r="DU104" s="178" t="e">
        <f t="shared" si="80"/>
        <v>#DIV/0!</v>
      </c>
      <c r="DV104" s="178" t="e">
        <f t="shared" si="80"/>
        <v>#DIV/0!</v>
      </c>
      <c r="DW104" s="178" t="e">
        <f t="shared" si="80"/>
        <v>#DIV/0!</v>
      </c>
      <c r="DX104" s="178" t="e">
        <f t="shared" si="80"/>
        <v>#DIV/0!</v>
      </c>
      <c r="DY104" s="178" t="e">
        <f t="shared" si="80"/>
        <v>#DIV/0!</v>
      </c>
      <c r="DZ104" s="168" t="e">
        <f t="shared" si="80"/>
        <v>#DIV/0!</v>
      </c>
      <c r="EA104" s="169" t="e">
        <f t="shared" si="100"/>
        <v>#DIV/0!</v>
      </c>
      <c r="EB104" s="171" t="e">
        <f t="shared" si="101"/>
        <v>#DIV/0!</v>
      </c>
    </row>
    <row r="105" spans="1:132" s="177" customFormat="1" ht="15.75">
      <c r="A105" s="163"/>
      <c r="B105" s="181"/>
      <c r="C105" s="165"/>
      <c r="D105" s="182"/>
      <c r="E105" s="167"/>
      <c r="F105" s="168" t="e">
        <f t="shared" si="83"/>
        <v>#DIV/0!</v>
      </c>
      <c r="G105" s="169" t="e">
        <f t="shared" si="82"/>
        <v>#DIV/0!</v>
      </c>
      <c r="H105" s="178" t="e">
        <f t="shared" si="82"/>
        <v>#DIV/0!</v>
      </c>
      <c r="I105" s="178" t="e">
        <f t="shared" si="82"/>
        <v>#DIV/0!</v>
      </c>
      <c r="J105" s="178" t="e">
        <f t="shared" si="82"/>
        <v>#DIV/0!</v>
      </c>
      <c r="K105" s="178" t="e">
        <f t="shared" si="82"/>
        <v>#DIV/0!</v>
      </c>
      <c r="L105" s="178" t="e">
        <f t="shared" si="82"/>
        <v>#DIV/0!</v>
      </c>
      <c r="M105" s="178" t="e">
        <f t="shared" si="82"/>
        <v>#DIV/0!</v>
      </c>
      <c r="N105" s="178" t="e">
        <f t="shared" si="82"/>
        <v>#DIV/0!</v>
      </c>
      <c r="O105" s="178" t="e">
        <f t="shared" si="82"/>
        <v>#DIV/0!</v>
      </c>
      <c r="P105" s="178" t="e">
        <f t="shared" si="82"/>
        <v>#DIV/0!</v>
      </c>
      <c r="Q105" s="178" t="e">
        <f t="shared" si="82"/>
        <v>#DIV/0!</v>
      </c>
      <c r="R105" s="179" t="e">
        <f t="shared" si="82"/>
        <v>#DIV/0!</v>
      </c>
      <c r="S105" s="169" t="e">
        <f t="shared" si="84"/>
        <v>#DIV/0!</v>
      </c>
      <c r="T105" s="179" t="e">
        <f t="shared" si="85"/>
        <v>#DIV/0!</v>
      </c>
      <c r="U105" s="180" t="e">
        <f t="shared" si="73"/>
        <v>#DIV/0!</v>
      </c>
      <c r="V105" s="178" t="e">
        <f t="shared" si="73"/>
        <v>#DIV/0!</v>
      </c>
      <c r="W105" s="178" t="e">
        <f t="shared" si="73"/>
        <v>#DIV/0!</v>
      </c>
      <c r="X105" s="178" t="e">
        <f t="shared" si="73"/>
        <v>#DIV/0!</v>
      </c>
      <c r="Y105" s="178" t="e">
        <f t="shared" si="73"/>
        <v>#DIV/0!</v>
      </c>
      <c r="Z105" s="178" t="e">
        <f t="shared" si="73"/>
        <v>#DIV/0!</v>
      </c>
      <c r="AA105" s="178" t="e">
        <f t="shared" si="73"/>
        <v>#DIV/0!</v>
      </c>
      <c r="AB105" s="178" t="e">
        <f t="shared" si="73"/>
        <v>#DIV/0!</v>
      </c>
      <c r="AC105" s="178" t="e">
        <f t="shared" si="73"/>
        <v>#DIV/0!</v>
      </c>
      <c r="AD105" s="178" t="e">
        <f t="shared" si="73"/>
        <v>#DIV/0!</v>
      </c>
      <c r="AE105" s="178" t="e">
        <f t="shared" si="73"/>
        <v>#DIV/0!</v>
      </c>
      <c r="AF105" s="168" t="e">
        <f t="shared" si="73"/>
        <v>#DIV/0!</v>
      </c>
      <c r="AG105" s="169" t="e">
        <f t="shared" si="86"/>
        <v>#DIV/0!</v>
      </c>
      <c r="AH105" s="179" t="e">
        <f t="shared" si="87"/>
        <v>#DIV/0!</v>
      </c>
      <c r="AI105" s="180" t="e">
        <f t="shared" si="104"/>
        <v>#DIV/0!</v>
      </c>
      <c r="AJ105" s="178" t="e">
        <f t="shared" si="102"/>
        <v>#DIV/0!</v>
      </c>
      <c r="AK105" s="178" t="e">
        <f t="shared" si="102"/>
        <v>#DIV/0!</v>
      </c>
      <c r="AL105" s="178" t="e">
        <f t="shared" si="102"/>
        <v>#DIV/0!</v>
      </c>
      <c r="AM105" s="178" t="e">
        <f t="shared" si="102"/>
        <v>#DIV/0!</v>
      </c>
      <c r="AN105" s="178" t="e">
        <f t="shared" si="102"/>
        <v>#DIV/0!</v>
      </c>
      <c r="AO105" s="178" t="e">
        <f t="shared" si="102"/>
        <v>#DIV/0!</v>
      </c>
      <c r="AP105" s="178" t="e">
        <f t="shared" si="102"/>
        <v>#DIV/0!</v>
      </c>
      <c r="AQ105" s="178" t="e">
        <f t="shared" si="102"/>
        <v>#DIV/0!</v>
      </c>
      <c r="AR105" s="178" t="e">
        <f t="shared" si="102"/>
        <v>#DIV/0!</v>
      </c>
      <c r="AS105" s="178" t="e">
        <f t="shared" si="102"/>
        <v>#DIV/0!</v>
      </c>
      <c r="AT105" s="168" t="e">
        <f t="shared" si="102"/>
        <v>#DIV/0!</v>
      </c>
      <c r="AU105" s="169" t="e">
        <f t="shared" si="88"/>
        <v>#DIV/0!</v>
      </c>
      <c r="AV105" s="179" t="e">
        <f t="shared" si="89"/>
        <v>#DIV/0!</v>
      </c>
      <c r="AW105" s="180" t="e">
        <f t="shared" si="75"/>
        <v>#DIV/0!</v>
      </c>
      <c r="AX105" s="178" t="e">
        <f t="shared" si="75"/>
        <v>#DIV/0!</v>
      </c>
      <c r="AY105" s="178" t="e">
        <f t="shared" si="75"/>
        <v>#DIV/0!</v>
      </c>
      <c r="AZ105" s="178" t="e">
        <f t="shared" si="75"/>
        <v>#DIV/0!</v>
      </c>
      <c r="BA105" s="178" t="e">
        <f t="shared" si="75"/>
        <v>#DIV/0!</v>
      </c>
      <c r="BB105" s="178" t="e">
        <f t="shared" si="75"/>
        <v>#DIV/0!</v>
      </c>
      <c r="BC105" s="178" t="e">
        <f t="shared" si="75"/>
        <v>#DIV/0!</v>
      </c>
      <c r="BD105" s="178" t="e">
        <f t="shared" si="75"/>
        <v>#DIV/0!</v>
      </c>
      <c r="BE105" s="178" t="e">
        <f t="shared" si="75"/>
        <v>#DIV/0!</v>
      </c>
      <c r="BF105" s="178" t="e">
        <f t="shared" si="75"/>
        <v>#DIV/0!</v>
      </c>
      <c r="BG105" s="178" t="e">
        <f t="shared" si="75"/>
        <v>#DIV/0!</v>
      </c>
      <c r="BH105" s="168" t="e">
        <f t="shared" si="75"/>
        <v>#DIV/0!</v>
      </c>
      <c r="BI105" s="169" t="e">
        <f t="shared" si="90"/>
        <v>#DIV/0!</v>
      </c>
      <c r="BJ105" s="179" t="e">
        <f t="shared" si="91"/>
        <v>#DIV/0!</v>
      </c>
      <c r="BK105" s="180" t="e">
        <f t="shared" si="76"/>
        <v>#DIV/0!</v>
      </c>
      <c r="BL105" s="178" t="e">
        <f t="shared" si="76"/>
        <v>#DIV/0!</v>
      </c>
      <c r="BM105" s="178" t="e">
        <f t="shared" si="76"/>
        <v>#DIV/0!</v>
      </c>
      <c r="BN105" s="178" t="e">
        <f t="shared" si="76"/>
        <v>#DIV/0!</v>
      </c>
      <c r="BO105" s="178" t="e">
        <f t="shared" si="76"/>
        <v>#DIV/0!</v>
      </c>
      <c r="BP105" s="178" t="e">
        <f t="shared" si="76"/>
        <v>#DIV/0!</v>
      </c>
      <c r="BQ105" s="178" t="e">
        <f t="shared" si="76"/>
        <v>#DIV/0!</v>
      </c>
      <c r="BR105" s="178" t="e">
        <f t="shared" si="76"/>
        <v>#DIV/0!</v>
      </c>
      <c r="BS105" s="178" t="e">
        <f t="shared" si="76"/>
        <v>#DIV/0!</v>
      </c>
      <c r="BT105" s="178" t="e">
        <f t="shared" si="76"/>
        <v>#DIV/0!</v>
      </c>
      <c r="BU105" s="178" t="e">
        <f t="shared" si="76"/>
        <v>#DIV/0!</v>
      </c>
      <c r="BV105" s="168" t="e">
        <f t="shared" si="76"/>
        <v>#DIV/0!</v>
      </c>
      <c r="BW105" s="169" t="e">
        <f t="shared" si="92"/>
        <v>#DIV/0!</v>
      </c>
      <c r="BX105" s="179" t="e">
        <f t="shared" si="93"/>
        <v>#DIV/0!</v>
      </c>
      <c r="BY105" s="180" t="e">
        <f t="shared" si="77"/>
        <v>#DIV/0!</v>
      </c>
      <c r="BZ105" s="178" t="e">
        <f t="shared" si="77"/>
        <v>#DIV/0!</v>
      </c>
      <c r="CA105" s="178" t="e">
        <f t="shared" si="77"/>
        <v>#DIV/0!</v>
      </c>
      <c r="CB105" s="178" t="e">
        <f t="shared" si="77"/>
        <v>#DIV/0!</v>
      </c>
      <c r="CC105" s="178" t="e">
        <f t="shared" si="77"/>
        <v>#DIV/0!</v>
      </c>
      <c r="CD105" s="178" t="e">
        <f t="shared" si="77"/>
        <v>#DIV/0!</v>
      </c>
      <c r="CE105" s="178" t="e">
        <f t="shared" si="77"/>
        <v>#DIV/0!</v>
      </c>
      <c r="CF105" s="178" t="e">
        <f t="shared" si="77"/>
        <v>#DIV/0!</v>
      </c>
      <c r="CG105" s="178" t="e">
        <f t="shared" si="77"/>
        <v>#DIV/0!</v>
      </c>
      <c r="CH105" s="178" t="e">
        <f t="shared" si="77"/>
        <v>#DIV/0!</v>
      </c>
      <c r="CI105" s="178" t="e">
        <f t="shared" si="77"/>
        <v>#DIV/0!</v>
      </c>
      <c r="CJ105" s="168" t="e">
        <f t="shared" si="77"/>
        <v>#DIV/0!</v>
      </c>
      <c r="CK105" s="169" t="e">
        <f t="shared" si="94"/>
        <v>#DIV/0!</v>
      </c>
      <c r="CL105" s="179" t="e">
        <f t="shared" si="95"/>
        <v>#DIV/0!</v>
      </c>
      <c r="CM105" s="180" t="e">
        <f t="shared" si="78"/>
        <v>#DIV/0!</v>
      </c>
      <c r="CN105" s="178" t="e">
        <f t="shared" si="78"/>
        <v>#DIV/0!</v>
      </c>
      <c r="CO105" s="178" t="e">
        <f t="shared" si="78"/>
        <v>#DIV/0!</v>
      </c>
      <c r="CP105" s="178" t="e">
        <f t="shared" si="78"/>
        <v>#DIV/0!</v>
      </c>
      <c r="CQ105" s="178" t="e">
        <f t="shared" si="78"/>
        <v>#DIV/0!</v>
      </c>
      <c r="CR105" s="178" t="e">
        <f t="shared" si="78"/>
        <v>#DIV/0!</v>
      </c>
      <c r="CS105" s="178" t="e">
        <f t="shared" si="78"/>
        <v>#DIV/0!</v>
      </c>
      <c r="CT105" s="178" t="e">
        <f t="shared" si="78"/>
        <v>#DIV/0!</v>
      </c>
      <c r="CU105" s="178" t="e">
        <f t="shared" si="78"/>
        <v>#DIV/0!</v>
      </c>
      <c r="CV105" s="178" t="e">
        <f t="shared" si="78"/>
        <v>#DIV/0!</v>
      </c>
      <c r="CW105" s="178" t="e">
        <f t="shared" si="78"/>
        <v>#DIV/0!</v>
      </c>
      <c r="CX105" s="168" t="e">
        <f t="shared" si="78"/>
        <v>#DIV/0!</v>
      </c>
      <c r="CY105" s="169" t="e">
        <f t="shared" si="96"/>
        <v>#DIV/0!</v>
      </c>
      <c r="CZ105" s="179" t="e">
        <f t="shared" si="97"/>
        <v>#DIV/0!</v>
      </c>
      <c r="DA105" s="180" t="e">
        <f t="shared" si="79"/>
        <v>#DIV/0!</v>
      </c>
      <c r="DB105" s="178" t="e">
        <f t="shared" si="79"/>
        <v>#DIV/0!</v>
      </c>
      <c r="DC105" s="178" t="e">
        <f t="shared" si="79"/>
        <v>#DIV/0!</v>
      </c>
      <c r="DD105" s="178" t="e">
        <f t="shared" si="79"/>
        <v>#DIV/0!</v>
      </c>
      <c r="DE105" s="178" t="e">
        <f t="shared" si="79"/>
        <v>#DIV/0!</v>
      </c>
      <c r="DF105" s="178" t="e">
        <f t="shared" si="79"/>
        <v>#DIV/0!</v>
      </c>
      <c r="DG105" s="178" t="e">
        <f t="shared" si="79"/>
        <v>#DIV/0!</v>
      </c>
      <c r="DH105" s="178" t="e">
        <f t="shared" si="79"/>
        <v>#DIV/0!</v>
      </c>
      <c r="DI105" s="178" t="e">
        <f t="shared" si="79"/>
        <v>#DIV/0!</v>
      </c>
      <c r="DJ105" s="178" t="e">
        <f t="shared" si="79"/>
        <v>#DIV/0!</v>
      </c>
      <c r="DK105" s="178" t="e">
        <f t="shared" si="79"/>
        <v>#DIV/0!</v>
      </c>
      <c r="DL105" s="168" t="e">
        <f t="shared" si="79"/>
        <v>#DIV/0!</v>
      </c>
      <c r="DM105" s="169" t="e">
        <f t="shared" si="98"/>
        <v>#DIV/0!</v>
      </c>
      <c r="DN105" s="171" t="e">
        <f t="shared" si="99"/>
        <v>#DIV/0!</v>
      </c>
      <c r="DO105" s="180" t="e">
        <f t="shared" si="80"/>
        <v>#DIV/0!</v>
      </c>
      <c r="DP105" s="178" t="e">
        <f t="shared" si="80"/>
        <v>#DIV/0!</v>
      </c>
      <c r="DQ105" s="178" t="e">
        <f t="shared" si="80"/>
        <v>#DIV/0!</v>
      </c>
      <c r="DR105" s="178" t="e">
        <f t="shared" si="80"/>
        <v>#DIV/0!</v>
      </c>
      <c r="DS105" s="178" t="e">
        <f t="shared" si="80"/>
        <v>#DIV/0!</v>
      </c>
      <c r="DT105" s="178" t="e">
        <f t="shared" si="80"/>
        <v>#DIV/0!</v>
      </c>
      <c r="DU105" s="178" t="e">
        <f t="shared" si="80"/>
        <v>#DIV/0!</v>
      </c>
      <c r="DV105" s="178" t="e">
        <f t="shared" si="80"/>
        <v>#DIV/0!</v>
      </c>
      <c r="DW105" s="178" t="e">
        <f t="shared" si="80"/>
        <v>#DIV/0!</v>
      </c>
      <c r="DX105" s="178" t="e">
        <f t="shared" si="80"/>
        <v>#DIV/0!</v>
      </c>
      <c r="DY105" s="178" t="e">
        <f t="shared" si="80"/>
        <v>#DIV/0!</v>
      </c>
      <c r="DZ105" s="168" t="e">
        <f t="shared" si="80"/>
        <v>#DIV/0!</v>
      </c>
      <c r="EA105" s="169" t="e">
        <f t="shared" si="100"/>
        <v>#DIV/0!</v>
      </c>
      <c r="EB105" s="171" t="e">
        <f t="shared" si="101"/>
        <v>#DIV/0!</v>
      </c>
    </row>
    <row r="106" spans="1:132" s="177" customFormat="1" ht="15.75">
      <c r="A106" s="163"/>
      <c r="B106" s="181"/>
      <c r="C106" s="165"/>
      <c r="D106" s="182"/>
      <c r="E106" s="167"/>
      <c r="F106" s="168" t="e">
        <f t="shared" si="83"/>
        <v>#DIV/0!</v>
      </c>
      <c r="G106" s="169" t="e">
        <f t="shared" si="82"/>
        <v>#DIV/0!</v>
      </c>
      <c r="H106" s="178" t="e">
        <f t="shared" si="82"/>
        <v>#DIV/0!</v>
      </c>
      <c r="I106" s="178" t="e">
        <f t="shared" si="82"/>
        <v>#DIV/0!</v>
      </c>
      <c r="J106" s="178" t="e">
        <f t="shared" si="82"/>
        <v>#DIV/0!</v>
      </c>
      <c r="K106" s="178" t="e">
        <f t="shared" si="82"/>
        <v>#DIV/0!</v>
      </c>
      <c r="L106" s="178" t="e">
        <f t="shared" si="82"/>
        <v>#DIV/0!</v>
      </c>
      <c r="M106" s="178" t="e">
        <f t="shared" si="82"/>
        <v>#DIV/0!</v>
      </c>
      <c r="N106" s="178" t="e">
        <f t="shared" si="82"/>
        <v>#DIV/0!</v>
      </c>
      <c r="O106" s="178" t="e">
        <f t="shared" si="82"/>
        <v>#DIV/0!</v>
      </c>
      <c r="P106" s="178" t="e">
        <f t="shared" si="82"/>
        <v>#DIV/0!</v>
      </c>
      <c r="Q106" s="178" t="e">
        <f t="shared" si="82"/>
        <v>#DIV/0!</v>
      </c>
      <c r="R106" s="179" t="e">
        <f t="shared" si="82"/>
        <v>#DIV/0!</v>
      </c>
      <c r="S106" s="169" t="e">
        <f t="shared" si="84"/>
        <v>#DIV/0!</v>
      </c>
      <c r="T106" s="179" t="e">
        <f t="shared" si="85"/>
        <v>#DIV/0!</v>
      </c>
      <c r="U106" s="180" t="e">
        <f t="shared" si="73"/>
        <v>#DIV/0!</v>
      </c>
      <c r="V106" s="178" t="e">
        <f t="shared" si="73"/>
        <v>#DIV/0!</v>
      </c>
      <c r="W106" s="178" t="e">
        <f t="shared" si="73"/>
        <v>#DIV/0!</v>
      </c>
      <c r="X106" s="178" t="e">
        <f t="shared" si="73"/>
        <v>#DIV/0!</v>
      </c>
      <c r="Y106" s="178" t="e">
        <f t="shared" si="73"/>
        <v>#DIV/0!</v>
      </c>
      <c r="Z106" s="178" t="e">
        <f t="shared" si="73"/>
        <v>#DIV/0!</v>
      </c>
      <c r="AA106" s="178" t="e">
        <f t="shared" si="73"/>
        <v>#DIV/0!</v>
      </c>
      <c r="AB106" s="178" t="e">
        <f t="shared" si="73"/>
        <v>#DIV/0!</v>
      </c>
      <c r="AC106" s="178" t="e">
        <f t="shared" si="73"/>
        <v>#DIV/0!</v>
      </c>
      <c r="AD106" s="178" t="e">
        <f t="shared" si="73"/>
        <v>#DIV/0!</v>
      </c>
      <c r="AE106" s="178" t="e">
        <f t="shared" si="73"/>
        <v>#DIV/0!</v>
      </c>
      <c r="AF106" s="168" t="e">
        <f t="shared" si="73"/>
        <v>#DIV/0!</v>
      </c>
      <c r="AG106" s="169" t="e">
        <f t="shared" si="86"/>
        <v>#DIV/0!</v>
      </c>
      <c r="AH106" s="179" t="e">
        <f t="shared" si="87"/>
        <v>#DIV/0!</v>
      </c>
      <c r="AI106" s="180" t="e">
        <f t="shared" si="104"/>
        <v>#DIV/0!</v>
      </c>
      <c r="AJ106" s="178" t="e">
        <f t="shared" si="102"/>
        <v>#DIV/0!</v>
      </c>
      <c r="AK106" s="178" t="e">
        <f t="shared" si="102"/>
        <v>#DIV/0!</v>
      </c>
      <c r="AL106" s="178" t="e">
        <f t="shared" si="102"/>
        <v>#DIV/0!</v>
      </c>
      <c r="AM106" s="178" t="e">
        <f t="shared" si="102"/>
        <v>#DIV/0!</v>
      </c>
      <c r="AN106" s="178" t="e">
        <f t="shared" si="102"/>
        <v>#DIV/0!</v>
      </c>
      <c r="AO106" s="178" t="e">
        <f t="shared" si="102"/>
        <v>#DIV/0!</v>
      </c>
      <c r="AP106" s="178" t="e">
        <f t="shared" si="102"/>
        <v>#DIV/0!</v>
      </c>
      <c r="AQ106" s="178" t="e">
        <f t="shared" si="102"/>
        <v>#DIV/0!</v>
      </c>
      <c r="AR106" s="178" t="e">
        <f t="shared" si="102"/>
        <v>#DIV/0!</v>
      </c>
      <c r="AS106" s="178" t="e">
        <f t="shared" si="102"/>
        <v>#DIV/0!</v>
      </c>
      <c r="AT106" s="168" t="e">
        <f t="shared" si="102"/>
        <v>#DIV/0!</v>
      </c>
      <c r="AU106" s="169" t="e">
        <f t="shared" si="88"/>
        <v>#DIV/0!</v>
      </c>
      <c r="AV106" s="179" t="e">
        <f t="shared" si="89"/>
        <v>#DIV/0!</v>
      </c>
      <c r="AW106" s="180" t="e">
        <f t="shared" si="75"/>
        <v>#DIV/0!</v>
      </c>
      <c r="AX106" s="178" t="e">
        <f t="shared" si="75"/>
        <v>#DIV/0!</v>
      </c>
      <c r="AY106" s="178" t="e">
        <f t="shared" si="75"/>
        <v>#DIV/0!</v>
      </c>
      <c r="AZ106" s="178" t="e">
        <f t="shared" si="75"/>
        <v>#DIV/0!</v>
      </c>
      <c r="BA106" s="178" t="e">
        <f t="shared" si="75"/>
        <v>#DIV/0!</v>
      </c>
      <c r="BB106" s="178" t="e">
        <f t="shared" si="75"/>
        <v>#DIV/0!</v>
      </c>
      <c r="BC106" s="178" t="e">
        <f t="shared" si="75"/>
        <v>#DIV/0!</v>
      </c>
      <c r="BD106" s="178" t="e">
        <f t="shared" si="75"/>
        <v>#DIV/0!</v>
      </c>
      <c r="BE106" s="178" t="e">
        <f t="shared" si="75"/>
        <v>#DIV/0!</v>
      </c>
      <c r="BF106" s="178" t="e">
        <f t="shared" si="75"/>
        <v>#DIV/0!</v>
      </c>
      <c r="BG106" s="178" t="e">
        <f t="shared" si="75"/>
        <v>#DIV/0!</v>
      </c>
      <c r="BH106" s="168" t="e">
        <f t="shared" si="75"/>
        <v>#DIV/0!</v>
      </c>
      <c r="BI106" s="169" t="e">
        <f t="shared" si="90"/>
        <v>#DIV/0!</v>
      </c>
      <c r="BJ106" s="179" t="e">
        <f t="shared" si="91"/>
        <v>#DIV/0!</v>
      </c>
      <c r="BK106" s="180" t="e">
        <f t="shared" si="76"/>
        <v>#DIV/0!</v>
      </c>
      <c r="BL106" s="178" t="e">
        <f t="shared" si="76"/>
        <v>#DIV/0!</v>
      </c>
      <c r="BM106" s="178" t="e">
        <f t="shared" si="76"/>
        <v>#DIV/0!</v>
      </c>
      <c r="BN106" s="178" t="e">
        <f t="shared" si="76"/>
        <v>#DIV/0!</v>
      </c>
      <c r="BO106" s="178" t="e">
        <f t="shared" si="76"/>
        <v>#DIV/0!</v>
      </c>
      <c r="BP106" s="178" t="e">
        <f t="shared" si="76"/>
        <v>#DIV/0!</v>
      </c>
      <c r="BQ106" s="178" t="e">
        <f t="shared" si="76"/>
        <v>#DIV/0!</v>
      </c>
      <c r="BR106" s="178" t="e">
        <f t="shared" si="76"/>
        <v>#DIV/0!</v>
      </c>
      <c r="BS106" s="178" t="e">
        <f t="shared" si="76"/>
        <v>#DIV/0!</v>
      </c>
      <c r="BT106" s="178" t="e">
        <f t="shared" si="76"/>
        <v>#DIV/0!</v>
      </c>
      <c r="BU106" s="178" t="e">
        <f t="shared" si="76"/>
        <v>#DIV/0!</v>
      </c>
      <c r="BV106" s="168" t="e">
        <f t="shared" si="76"/>
        <v>#DIV/0!</v>
      </c>
      <c r="BW106" s="169" t="e">
        <f t="shared" si="92"/>
        <v>#DIV/0!</v>
      </c>
      <c r="BX106" s="179" t="e">
        <f t="shared" si="93"/>
        <v>#DIV/0!</v>
      </c>
      <c r="BY106" s="180" t="e">
        <f t="shared" si="77"/>
        <v>#DIV/0!</v>
      </c>
      <c r="BZ106" s="178" t="e">
        <f t="shared" si="77"/>
        <v>#DIV/0!</v>
      </c>
      <c r="CA106" s="178" t="e">
        <f t="shared" si="77"/>
        <v>#DIV/0!</v>
      </c>
      <c r="CB106" s="178" t="e">
        <f t="shared" si="77"/>
        <v>#DIV/0!</v>
      </c>
      <c r="CC106" s="178" t="e">
        <f t="shared" si="77"/>
        <v>#DIV/0!</v>
      </c>
      <c r="CD106" s="178" t="e">
        <f t="shared" si="77"/>
        <v>#DIV/0!</v>
      </c>
      <c r="CE106" s="178" t="e">
        <f t="shared" si="77"/>
        <v>#DIV/0!</v>
      </c>
      <c r="CF106" s="178" t="e">
        <f t="shared" si="77"/>
        <v>#DIV/0!</v>
      </c>
      <c r="CG106" s="178" t="e">
        <f t="shared" si="77"/>
        <v>#DIV/0!</v>
      </c>
      <c r="CH106" s="178" t="e">
        <f t="shared" si="77"/>
        <v>#DIV/0!</v>
      </c>
      <c r="CI106" s="178" t="e">
        <f t="shared" si="77"/>
        <v>#DIV/0!</v>
      </c>
      <c r="CJ106" s="168" t="e">
        <f t="shared" si="77"/>
        <v>#DIV/0!</v>
      </c>
      <c r="CK106" s="169" t="e">
        <f t="shared" si="94"/>
        <v>#DIV/0!</v>
      </c>
      <c r="CL106" s="179" t="e">
        <f t="shared" si="95"/>
        <v>#DIV/0!</v>
      </c>
      <c r="CM106" s="180" t="e">
        <f t="shared" si="78"/>
        <v>#DIV/0!</v>
      </c>
      <c r="CN106" s="178" t="e">
        <f t="shared" si="78"/>
        <v>#DIV/0!</v>
      </c>
      <c r="CO106" s="178" t="e">
        <f t="shared" si="78"/>
        <v>#DIV/0!</v>
      </c>
      <c r="CP106" s="178" t="e">
        <f t="shared" si="78"/>
        <v>#DIV/0!</v>
      </c>
      <c r="CQ106" s="178" t="e">
        <f t="shared" si="78"/>
        <v>#DIV/0!</v>
      </c>
      <c r="CR106" s="178" t="e">
        <f t="shared" si="78"/>
        <v>#DIV/0!</v>
      </c>
      <c r="CS106" s="178" t="e">
        <f t="shared" si="78"/>
        <v>#DIV/0!</v>
      </c>
      <c r="CT106" s="178" t="e">
        <f t="shared" si="78"/>
        <v>#DIV/0!</v>
      </c>
      <c r="CU106" s="178" t="e">
        <f t="shared" si="78"/>
        <v>#DIV/0!</v>
      </c>
      <c r="CV106" s="178" t="e">
        <f t="shared" si="78"/>
        <v>#DIV/0!</v>
      </c>
      <c r="CW106" s="178" t="e">
        <f t="shared" si="78"/>
        <v>#DIV/0!</v>
      </c>
      <c r="CX106" s="168" t="e">
        <f t="shared" si="78"/>
        <v>#DIV/0!</v>
      </c>
      <c r="CY106" s="169" t="e">
        <f t="shared" si="96"/>
        <v>#DIV/0!</v>
      </c>
      <c r="CZ106" s="179" t="e">
        <f t="shared" si="97"/>
        <v>#DIV/0!</v>
      </c>
      <c r="DA106" s="180" t="e">
        <f t="shared" si="79"/>
        <v>#DIV/0!</v>
      </c>
      <c r="DB106" s="178" t="e">
        <f t="shared" si="79"/>
        <v>#DIV/0!</v>
      </c>
      <c r="DC106" s="178" t="e">
        <f t="shared" si="79"/>
        <v>#DIV/0!</v>
      </c>
      <c r="DD106" s="178" t="e">
        <f t="shared" si="79"/>
        <v>#DIV/0!</v>
      </c>
      <c r="DE106" s="178" t="e">
        <f t="shared" si="79"/>
        <v>#DIV/0!</v>
      </c>
      <c r="DF106" s="178" t="e">
        <f t="shared" si="79"/>
        <v>#DIV/0!</v>
      </c>
      <c r="DG106" s="178" t="e">
        <f t="shared" si="79"/>
        <v>#DIV/0!</v>
      </c>
      <c r="DH106" s="178" t="e">
        <f t="shared" si="79"/>
        <v>#DIV/0!</v>
      </c>
      <c r="DI106" s="178" t="e">
        <f t="shared" si="79"/>
        <v>#DIV/0!</v>
      </c>
      <c r="DJ106" s="178" t="e">
        <f t="shared" si="79"/>
        <v>#DIV/0!</v>
      </c>
      <c r="DK106" s="178" t="e">
        <f t="shared" si="79"/>
        <v>#DIV/0!</v>
      </c>
      <c r="DL106" s="168" t="e">
        <f t="shared" si="79"/>
        <v>#DIV/0!</v>
      </c>
      <c r="DM106" s="169" t="e">
        <f t="shared" si="98"/>
        <v>#DIV/0!</v>
      </c>
      <c r="DN106" s="171" t="e">
        <f t="shared" si="99"/>
        <v>#DIV/0!</v>
      </c>
      <c r="DO106" s="180" t="e">
        <f t="shared" si="80"/>
        <v>#DIV/0!</v>
      </c>
      <c r="DP106" s="178" t="e">
        <f t="shared" si="80"/>
        <v>#DIV/0!</v>
      </c>
      <c r="DQ106" s="178" t="e">
        <f t="shared" si="80"/>
        <v>#DIV/0!</v>
      </c>
      <c r="DR106" s="178" t="e">
        <f t="shared" si="80"/>
        <v>#DIV/0!</v>
      </c>
      <c r="DS106" s="178" t="e">
        <f t="shared" si="80"/>
        <v>#DIV/0!</v>
      </c>
      <c r="DT106" s="178" t="e">
        <f t="shared" si="80"/>
        <v>#DIV/0!</v>
      </c>
      <c r="DU106" s="178" t="e">
        <f t="shared" si="80"/>
        <v>#DIV/0!</v>
      </c>
      <c r="DV106" s="178" t="e">
        <f t="shared" si="80"/>
        <v>#DIV/0!</v>
      </c>
      <c r="DW106" s="178" t="e">
        <f t="shared" si="80"/>
        <v>#DIV/0!</v>
      </c>
      <c r="DX106" s="178" t="e">
        <f t="shared" si="80"/>
        <v>#DIV/0!</v>
      </c>
      <c r="DY106" s="178" t="e">
        <f t="shared" si="80"/>
        <v>#DIV/0!</v>
      </c>
      <c r="DZ106" s="168" t="e">
        <f t="shared" si="80"/>
        <v>#DIV/0!</v>
      </c>
      <c r="EA106" s="169" t="e">
        <f t="shared" si="100"/>
        <v>#DIV/0!</v>
      </c>
      <c r="EB106" s="171" t="e">
        <f t="shared" si="101"/>
        <v>#DIV/0!</v>
      </c>
    </row>
    <row r="107" spans="1:132" s="177" customFormat="1" ht="15.75">
      <c r="A107" s="163"/>
      <c r="B107" s="181"/>
      <c r="C107" s="165"/>
      <c r="D107" s="182"/>
      <c r="E107" s="167"/>
      <c r="F107" s="168" t="e">
        <f t="shared" si="83"/>
        <v>#DIV/0!</v>
      </c>
      <c r="G107" s="169" t="e">
        <f t="shared" si="82"/>
        <v>#DIV/0!</v>
      </c>
      <c r="H107" s="178" t="e">
        <f t="shared" si="82"/>
        <v>#DIV/0!</v>
      </c>
      <c r="I107" s="178" t="e">
        <f t="shared" si="82"/>
        <v>#DIV/0!</v>
      </c>
      <c r="J107" s="178" t="e">
        <f t="shared" si="82"/>
        <v>#DIV/0!</v>
      </c>
      <c r="K107" s="178" t="e">
        <f t="shared" si="82"/>
        <v>#DIV/0!</v>
      </c>
      <c r="L107" s="178" t="e">
        <f t="shared" si="82"/>
        <v>#DIV/0!</v>
      </c>
      <c r="M107" s="178" t="e">
        <f t="shared" si="82"/>
        <v>#DIV/0!</v>
      </c>
      <c r="N107" s="178" t="e">
        <f t="shared" si="82"/>
        <v>#DIV/0!</v>
      </c>
      <c r="O107" s="178" t="e">
        <f t="shared" si="82"/>
        <v>#DIV/0!</v>
      </c>
      <c r="P107" s="178" t="e">
        <f t="shared" si="82"/>
        <v>#DIV/0!</v>
      </c>
      <c r="Q107" s="178" t="e">
        <f t="shared" si="82"/>
        <v>#DIV/0!</v>
      </c>
      <c r="R107" s="179" t="e">
        <f t="shared" si="82"/>
        <v>#DIV/0!</v>
      </c>
      <c r="S107" s="169" t="e">
        <f t="shared" si="84"/>
        <v>#DIV/0!</v>
      </c>
      <c r="T107" s="179" t="e">
        <f t="shared" si="85"/>
        <v>#DIV/0!</v>
      </c>
      <c r="U107" s="180" t="e">
        <f t="shared" si="73"/>
        <v>#DIV/0!</v>
      </c>
      <c r="V107" s="178" t="e">
        <f t="shared" si="73"/>
        <v>#DIV/0!</v>
      </c>
      <c r="W107" s="178" t="e">
        <f t="shared" si="73"/>
        <v>#DIV/0!</v>
      </c>
      <c r="X107" s="178" t="e">
        <f t="shared" si="73"/>
        <v>#DIV/0!</v>
      </c>
      <c r="Y107" s="178" t="e">
        <f t="shared" ref="Y107:AF107" si="112">IF(OR($F107&lt;=0,(Y$9-$A107)&gt;(365*$E107)),0,IF($A107&lt;=Y$9,$F107/12,0))</f>
        <v>#DIV/0!</v>
      </c>
      <c r="Z107" s="178" t="e">
        <f t="shared" si="112"/>
        <v>#DIV/0!</v>
      </c>
      <c r="AA107" s="178" t="e">
        <f t="shared" si="112"/>
        <v>#DIV/0!</v>
      </c>
      <c r="AB107" s="178" t="e">
        <f t="shared" si="112"/>
        <v>#DIV/0!</v>
      </c>
      <c r="AC107" s="178" t="e">
        <f t="shared" si="112"/>
        <v>#DIV/0!</v>
      </c>
      <c r="AD107" s="178" t="e">
        <f t="shared" si="112"/>
        <v>#DIV/0!</v>
      </c>
      <c r="AE107" s="178" t="e">
        <f t="shared" si="112"/>
        <v>#DIV/0!</v>
      </c>
      <c r="AF107" s="168" t="e">
        <f t="shared" si="112"/>
        <v>#DIV/0!</v>
      </c>
      <c r="AG107" s="169" t="e">
        <f t="shared" si="86"/>
        <v>#DIV/0!</v>
      </c>
      <c r="AH107" s="179" t="e">
        <f t="shared" si="87"/>
        <v>#DIV/0!</v>
      </c>
      <c r="AI107" s="180" t="e">
        <f t="shared" si="104"/>
        <v>#DIV/0!</v>
      </c>
      <c r="AJ107" s="178" t="e">
        <f t="shared" si="102"/>
        <v>#DIV/0!</v>
      </c>
      <c r="AK107" s="178" t="e">
        <f t="shared" si="102"/>
        <v>#DIV/0!</v>
      </c>
      <c r="AL107" s="178" t="e">
        <f t="shared" si="102"/>
        <v>#DIV/0!</v>
      </c>
      <c r="AM107" s="178" t="e">
        <f t="shared" si="102"/>
        <v>#DIV/0!</v>
      </c>
      <c r="AN107" s="178" t="e">
        <f t="shared" si="102"/>
        <v>#DIV/0!</v>
      </c>
      <c r="AO107" s="178" t="e">
        <f t="shared" si="102"/>
        <v>#DIV/0!</v>
      </c>
      <c r="AP107" s="178" t="e">
        <f t="shared" si="102"/>
        <v>#DIV/0!</v>
      </c>
      <c r="AQ107" s="178" t="e">
        <f t="shared" si="102"/>
        <v>#DIV/0!</v>
      </c>
      <c r="AR107" s="178" t="e">
        <f t="shared" si="102"/>
        <v>#DIV/0!</v>
      </c>
      <c r="AS107" s="178" t="e">
        <f t="shared" si="102"/>
        <v>#DIV/0!</v>
      </c>
      <c r="AT107" s="168" t="e">
        <f t="shared" si="102"/>
        <v>#DIV/0!</v>
      </c>
      <c r="AU107" s="169" t="e">
        <f t="shared" si="88"/>
        <v>#DIV/0!</v>
      </c>
      <c r="AV107" s="179" t="e">
        <f t="shared" si="89"/>
        <v>#DIV/0!</v>
      </c>
      <c r="AW107" s="180" t="e">
        <f t="shared" si="75"/>
        <v>#DIV/0!</v>
      </c>
      <c r="AX107" s="178" t="e">
        <f t="shared" si="75"/>
        <v>#DIV/0!</v>
      </c>
      <c r="AY107" s="178" t="e">
        <f t="shared" si="75"/>
        <v>#DIV/0!</v>
      </c>
      <c r="AZ107" s="178" t="e">
        <f t="shared" si="75"/>
        <v>#DIV/0!</v>
      </c>
      <c r="BA107" s="178" t="e">
        <f t="shared" ref="BA107:BH107" si="113">IF(OR($F107&lt;=0,(BA$9-$A107)&gt;(365*$E107)),0,IF($A107&lt;=BA$9,$F107/12,0))</f>
        <v>#DIV/0!</v>
      </c>
      <c r="BB107" s="178" t="e">
        <f t="shared" si="113"/>
        <v>#DIV/0!</v>
      </c>
      <c r="BC107" s="178" t="e">
        <f t="shared" si="113"/>
        <v>#DIV/0!</v>
      </c>
      <c r="BD107" s="178" t="e">
        <f t="shared" si="113"/>
        <v>#DIV/0!</v>
      </c>
      <c r="BE107" s="178" t="e">
        <f t="shared" si="113"/>
        <v>#DIV/0!</v>
      </c>
      <c r="BF107" s="178" t="e">
        <f t="shared" si="113"/>
        <v>#DIV/0!</v>
      </c>
      <c r="BG107" s="178" t="e">
        <f t="shared" si="113"/>
        <v>#DIV/0!</v>
      </c>
      <c r="BH107" s="168" t="e">
        <f t="shared" si="113"/>
        <v>#DIV/0!</v>
      </c>
      <c r="BI107" s="169" t="e">
        <f t="shared" si="90"/>
        <v>#DIV/0!</v>
      </c>
      <c r="BJ107" s="179" t="e">
        <f t="shared" si="91"/>
        <v>#DIV/0!</v>
      </c>
      <c r="BK107" s="180" t="e">
        <f t="shared" si="76"/>
        <v>#DIV/0!</v>
      </c>
      <c r="BL107" s="178" t="e">
        <f t="shared" si="76"/>
        <v>#DIV/0!</v>
      </c>
      <c r="BM107" s="178" t="e">
        <f t="shared" si="76"/>
        <v>#DIV/0!</v>
      </c>
      <c r="BN107" s="178" t="e">
        <f t="shared" si="76"/>
        <v>#DIV/0!</v>
      </c>
      <c r="BO107" s="178" t="e">
        <f t="shared" ref="BO107:BV107" si="114">IF(OR($BJ107&lt;=0,(BO$9-$A107)&gt;($E107*365)),0,IF($A107&lt;=BO$9,$F107/12))</f>
        <v>#DIV/0!</v>
      </c>
      <c r="BP107" s="178" t="e">
        <f t="shared" si="114"/>
        <v>#DIV/0!</v>
      </c>
      <c r="BQ107" s="178" t="e">
        <f t="shared" si="114"/>
        <v>#DIV/0!</v>
      </c>
      <c r="BR107" s="178" t="e">
        <f t="shared" si="114"/>
        <v>#DIV/0!</v>
      </c>
      <c r="BS107" s="178" t="e">
        <f t="shared" si="114"/>
        <v>#DIV/0!</v>
      </c>
      <c r="BT107" s="178" t="e">
        <f t="shared" si="114"/>
        <v>#DIV/0!</v>
      </c>
      <c r="BU107" s="178" t="e">
        <f t="shared" si="114"/>
        <v>#DIV/0!</v>
      </c>
      <c r="BV107" s="168" t="e">
        <f t="shared" si="114"/>
        <v>#DIV/0!</v>
      </c>
      <c r="BW107" s="169" t="e">
        <f t="shared" si="92"/>
        <v>#DIV/0!</v>
      </c>
      <c r="BX107" s="179" t="e">
        <f t="shared" si="93"/>
        <v>#DIV/0!</v>
      </c>
      <c r="BY107" s="180" t="e">
        <f t="shared" si="77"/>
        <v>#DIV/0!</v>
      </c>
      <c r="BZ107" s="178" t="e">
        <f t="shared" si="77"/>
        <v>#DIV/0!</v>
      </c>
      <c r="CA107" s="178" t="e">
        <f t="shared" si="77"/>
        <v>#DIV/0!</v>
      </c>
      <c r="CB107" s="178" t="e">
        <f t="shared" si="77"/>
        <v>#DIV/0!</v>
      </c>
      <c r="CC107" s="178" t="e">
        <f t="shared" ref="CC107:CJ107" si="115">IF(OR($BX107&lt;=0,(CC$9-$A107)&gt;($E107*365)),0,IF($A107&lt;=CC$9,$F107/12))</f>
        <v>#DIV/0!</v>
      </c>
      <c r="CD107" s="178" t="e">
        <f t="shared" si="115"/>
        <v>#DIV/0!</v>
      </c>
      <c r="CE107" s="178" t="e">
        <f t="shared" si="115"/>
        <v>#DIV/0!</v>
      </c>
      <c r="CF107" s="178" t="e">
        <f t="shared" si="115"/>
        <v>#DIV/0!</v>
      </c>
      <c r="CG107" s="178" t="e">
        <f t="shared" si="115"/>
        <v>#DIV/0!</v>
      </c>
      <c r="CH107" s="178" t="e">
        <f t="shared" si="115"/>
        <v>#DIV/0!</v>
      </c>
      <c r="CI107" s="178" t="e">
        <f t="shared" si="115"/>
        <v>#DIV/0!</v>
      </c>
      <c r="CJ107" s="168" t="e">
        <f t="shared" si="115"/>
        <v>#DIV/0!</v>
      </c>
      <c r="CK107" s="169" t="e">
        <f t="shared" si="94"/>
        <v>#DIV/0!</v>
      </c>
      <c r="CL107" s="179" t="e">
        <f t="shared" si="95"/>
        <v>#DIV/0!</v>
      </c>
      <c r="CM107" s="180" t="e">
        <f t="shared" si="78"/>
        <v>#DIV/0!</v>
      </c>
      <c r="CN107" s="178" t="e">
        <f t="shared" si="78"/>
        <v>#DIV/0!</v>
      </c>
      <c r="CO107" s="178" t="e">
        <f t="shared" si="78"/>
        <v>#DIV/0!</v>
      </c>
      <c r="CP107" s="178" t="e">
        <f t="shared" si="78"/>
        <v>#DIV/0!</v>
      </c>
      <c r="CQ107" s="178" t="e">
        <f t="shared" ref="CQ107:CX107" si="116">IF(OR($CL107&lt;=0,(CQ$9-$A107)&gt;($E107*365)),0,IF($A107&lt;=CQ$9,$F107/12))</f>
        <v>#DIV/0!</v>
      </c>
      <c r="CR107" s="178" t="e">
        <f t="shared" si="116"/>
        <v>#DIV/0!</v>
      </c>
      <c r="CS107" s="178" t="e">
        <f t="shared" si="116"/>
        <v>#DIV/0!</v>
      </c>
      <c r="CT107" s="178" t="e">
        <f t="shared" si="116"/>
        <v>#DIV/0!</v>
      </c>
      <c r="CU107" s="178" t="e">
        <f t="shared" si="116"/>
        <v>#DIV/0!</v>
      </c>
      <c r="CV107" s="178" t="e">
        <f t="shared" si="116"/>
        <v>#DIV/0!</v>
      </c>
      <c r="CW107" s="178" t="e">
        <f t="shared" si="116"/>
        <v>#DIV/0!</v>
      </c>
      <c r="CX107" s="168" t="e">
        <f t="shared" si="116"/>
        <v>#DIV/0!</v>
      </c>
      <c r="CY107" s="169" t="e">
        <f t="shared" si="96"/>
        <v>#DIV/0!</v>
      </c>
      <c r="CZ107" s="179" t="e">
        <f t="shared" si="97"/>
        <v>#DIV/0!</v>
      </c>
      <c r="DA107" s="180" t="e">
        <f t="shared" si="79"/>
        <v>#DIV/0!</v>
      </c>
      <c r="DB107" s="178" t="e">
        <f t="shared" si="79"/>
        <v>#DIV/0!</v>
      </c>
      <c r="DC107" s="178" t="e">
        <f t="shared" si="79"/>
        <v>#DIV/0!</v>
      </c>
      <c r="DD107" s="178" t="e">
        <f t="shared" si="79"/>
        <v>#DIV/0!</v>
      </c>
      <c r="DE107" s="178" t="e">
        <f t="shared" ref="DE107:DL107" si="117">IF(OR($CZ107&lt;=0,(DE$9-$A107)&gt;($E107*365)),0,IF($A107&lt;=DE$9,$F107/12))</f>
        <v>#DIV/0!</v>
      </c>
      <c r="DF107" s="178" t="e">
        <f t="shared" si="117"/>
        <v>#DIV/0!</v>
      </c>
      <c r="DG107" s="178" t="e">
        <f t="shared" si="117"/>
        <v>#DIV/0!</v>
      </c>
      <c r="DH107" s="178" t="e">
        <f t="shared" si="117"/>
        <v>#DIV/0!</v>
      </c>
      <c r="DI107" s="178" t="e">
        <f t="shared" si="117"/>
        <v>#DIV/0!</v>
      </c>
      <c r="DJ107" s="178" t="e">
        <f t="shared" si="117"/>
        <v>#DIV/0!</v>
      </c>
      <c r="DK107" s="178" t="e">
        <f t="shared" si="117"/>
        <v>#DIV/0!</v>
      </c>
      <c r="DL107" s="168" t="e">
        <f t="shared" si="117"/>
        <v>#DIV/0!</v>
      </c>
      <c r="DM107" s="169" t="e">
        <f t="shared" si="98"/>
        <v>#DIV/0!</v>
      </c>
      <c r="DN107" s="171" t="e">
        <f t="shared" si="99"/>
        <v>#DIV/0!</v>
      </c>
      <c r="DO107" s="180" t="e">
        <f t="shared" si="80"/>
        <v>#DIV/0!</v>
      </c>
      <c r="DP107" s="178" t="e">
        <f t="shared" si="80"/>
        <v>#DIV/0!</v>
      </c>
      <c r="DQ107" s="178" t="e">
        <f t="shared" si="80"/>
        <v>#DIV/0!</v>
      </c>
      <c r="DR107" s="178" t="e">
        <f t="shared" si="80"/>
        <v>#DIV/0!</v>
      </c>
      <c r="DS107" s="178" t="e">
        <f t="shared" ref="DS107:DZ107" si="118">IF(OR($DN107&lt;=0,(DS$9-$A107)&gt;($E107*365)),0,IF($A107&lt;=DS$9,$F107/12))</f>
        <v>#DIV/0!</v>
      </c>
      <c r="DT107" s="178" t="e">
        <f t="shared" si="118"/>
        <v>#DIV/0!</v>
      </c>
      <c r="DU107" s="178" t="e">
        <f t="shared" si="118"/>
        <v>#DIV/0!</v>
      </c>
      <c r="DV107" s="178" t="e">
        <f t="shared" si="118"/>
        <v>#DIV/0!</v>
      </c>
      <c r="DW107" s="178" t="e">
        <f t="shared" si="118"/>
        <v>#DIV/0!</v>
      </c>
      <c r="DX107" s="178" t="e">
        <f t="shared" si="118"/>
        <v>#DIV/0!</v>
      </c>
      <c r="DY107" s="178" t="e">
        <f t="shared" si="118"/>
        <v>#DIV/0!</v>
      </c>
      <c r="DZ107" s="168" t="e">
        <f t="shared" si="118"/>
        <v>#DIV/0!</v>
      </c>
      <c r="EA107" s="169" t="e">
        <f t="shared" si="100"/>
        <v>#DIV/0!</v>
      </c>
      <c r="EB107" s="171" t="e">
        <f t="shared" si="101"/>
        <v>#DIV/0!</v>
      </c>
    </row>
    <row r="108" spans="1:132" s="177" customFormat="1" ht="15.75">
      <c r="A108" s="163"/>
      <c r="B108" s="181"/>
      <c r="C108" s="165"/>
      <c r="D108" s="182"/>
      <c r="E108" s="167"/>
      <c r="F108" s="168" t="e">
        <f t="shared" si="83"/>
        <v>#DIV/0!</v>
      </c>
      <c r="G108" s="169" t="e">
        <f t="shared" si="82"/>
        <v>#DIV/0!</v>
      </c>
      <c r="H108" s="178" t="e">
        <f t="shared" si="82"/>
        <v>#DIV/0!</v>
      </c>
      <c r="I108" s="178" t="e">
        <f t="shared" si="82"/>
        <v>#DIV/0!</v>
      </c>
      <c r="J108" s="178" t="e">
        <f t="shared" si="82"/>
        <v>#DIV/0!</v>
      </c>
      <c r="K108" s="178" t="e">
        <f t="shared" si="82"/>
        <v>#DIV/0!</v>
      </c>
      <c r="L108" s="178" t="e">
        <f t="shared" si="82"/>
        <v>#DIV/0!</v>
      </c>
      <c r="M108" s="178" t="e">
        <f t="shared" si="82"/>
        <v>#DIV/0!</v>
      </c>
      <c r="N108" s="178" t="e">
        <f t="shared" si="82"/>
        <v>#DIV/0!</v>
      </c>
      <c r="O108" s="178" t="e">
        <f t="shared" si="82"/>
        <v>#DIV/0!</v>
      </c>
      <c r="P108" s="178" t="e">
        <f t="shared" si="82"/>
        <v>#DIV/0!</v>
      </c>
      <c r="Q108" s="178" t="e">
        <f t="shared" si="82"/>
        <v>#DIV/0!</v>
      </c>
      <c r="R108" s="179" t="e">
        <f t="shared" si="82"/>
        <v>#DIV/0!</v>
      </c>
      <c r="S108" s="169" t="e">
        <f t="shared" si="84"/>
        <v>#DIV/0!</v>
      </c>
      <c r="T108" s="179" t="e">
        <f t="shared" si="85"/>
        <v>#DIV/0!</v>
      </c>
      <c r="U108" s="180" t="e">
        <f t="shared" ref="U108:AF129" si="119">IF(OR($F108&lt;=0,(U$9-$A108)&gt;(365*$E108)),0,IF($A108&lt;=U$9,$F108/12,0))</f>
        <v>#DIV/0!</v>
      </c>
      <c r="V108" s="178" t="e">
        <f t="shared" si="119"/>
        <v>#DIV/0!</v>
      </c>
      <c r="W108" s="178" t="e">
        <f t="shared" si="119"/>
        <v>#DIV/0!</v>
      </c>
      <c r="X108" s="178" t="e">
        <f t="shared" si="119"/>
        <v>#DIV/0!</v>
      </c>
      <c r="Y108" s="178" t="e">
        <f t="shared" si="119"/>
        <v>#DIV/0!</v>
      </c>
      <c r="Z108" s="178" t="e">
        <f t="shared" si="119"/>
        <v>#DIV/0!</v>
      </c>
      <c r="AA108" s="178" t="e">
        <f t="shared" si="119"/>
        <v>#DIV/0!</v>
      </c>
      <c r="AB108" s="178" t="e">
        <f t="shared" si="119"/>
        <v>#DIV/0!</v>
      </c>
      <c r="AC108" s="178" t="e">
        <f t="shared" si="119"/>
        <v>#DIV/0!</v>
      </c>
      <c r="AD108" s="178" t="e">
        <f t="shared" si="119"/>
        <v>#DIV/0!</v>
      </c>
      <c r="AE108" s="178" t="e">
        <f t="shared" si="119"/>
        <v>#DIV/0!</v>
      </c>
      <c r="AF108" s="168" t="e">
        <f t="shared" si="119"/>
        <v>#DIV/0!</v>
      </c>
      <c r="AG108" s="169" t="e">
        <f t="shared" si="86"/>
        <v>#DIV/0!</v>
      </c>
      <c r="AH108" s="179" t="e">
        <f t="shared" si="87"/>
        <v>#DIV/0!</v>
      </c>
      <c r="AI108" s="180" t="e">
        <f t="shared" si="104"/>
        <v>#DIV/0!</v>
      </c>
      <c r="AJ108" s="178" t="e">
        <f t="shared" si="102"/>
        <v>#DIV/0!</v>
      </c>
      <c r="AK108" s="178" t="e">
        <f t="shared" si="102"/>
        <v>#DIV/0!</v>
      </c>
      <c r="AL108" s="178" t="e">
        <f t="shared" si="102"/>
        <v>#DIV/0!</v>
      </c>
      <c r="AM108" s="178" t="e">
        <f t="shared" si="102"/>
        <v>#DIV/0!</v>
      </c>
      <c r="AN108" s="178" t="e">
        <f t="shared" si="102"/>
        <v>#DIV/0!</v>
      </c>
      <c r="AO108" s="178" t="e">
        <f t="shared" si="102"/>
        <v>#DIV/0!</v>
      </c>
      <c r="AP108" s="178" t="e">
        <f t="shared" si="102"/>
        <v>#DIV/0!</v>
      </c>
      <c r="AQ108" s="178" t="e">
        <f t="shared" si="102"/>
        <v>#DIV/0!</v>
      </c>
      <c r="AR108" s="178" t="e">
        <f t="shared" si="102"/>
        <v>#DIV/0!</v>
      </c>
      <c r="AS108" s="178" t="e">
        <f t="shared" si="102"/>
        <v>#DIV/0!</v>
      </c>
      <c r="AT108" s="168" t="e">
        <f t="shared" si="102"/>
        <v>#DIV/0!</v>
      </c>
      <c r="AU108" s="169" t="e">
        <f t="shared" si="88"/>
        <v>#DIV/0!</v>
      </c>
      <c r="AV108" s="179" t="e">
        <f t="shared" si="89"/>
        <v>#DIV/0!</v>
      </c>
      <c r="AW108" s="180" t="e">
        <f t="shared" ref="AW108:BH129" si="120">IF(OR($F108&lt;=0,(AW$9-$A108)&gt;(365*$E108)),0,IF($A108&lt;=AW$9,$F108/12,0))</f>
        <v>#DIV/0!</v>
      </c>
      <c r="AX108" s="178" t="e">
        <f t="shared" si="120"/>
        <v>#DIV/0!</v>
      </c>
      <c r="AY108" s="178" t="e">
        <f t="shared" si="120"/>
        <v>#DIV/0!</v>
      </c>
      <c r="AZ108" s="178" t="e">
        <f t="shared" si="120"/>
        <v>#DIV/0!</v>
      </c>
      <c r="BA108" s="178" t="e">
        <f t="shared" si="120"/>
        <v>#DIV/0!</v>
      </c>
      <c r="BB108" s="178" t="e">
        <f t="shared" si="120"/>
        <v>#DIV/0!</v>
      </c>
      <c r="BC108" s="178" t="e">
        <f t="shared" si="120"/>
        <v>#DIV/0!</v>
      </c>
      <c r="BD108" s="178" t="e">
        <f t="shared" si="120"/>
        <v>#DIV/0!</v>
      </c>
      <c r="BE108" s="178" t="e">
        <f t="shared" si="120"/>
        <v>#DIV/0!</v>
      </c>
      <c r="BF108" s="178" t="e">
        <f t="shared" si="120"/>
        <v>#DIV/0!</v>
      </c>
      <c r="BG108" s="178" t="e">
        <f t="shared" si="120"/>
        <v>#DIV/0!</v>
      </c>
      <c r="BH108" s="168" t="e">
        <f t="shared" si="120"/>
        <v>#DIV/0!</v>
      </c>
      <c r="BI108" s="169" t="e">
        <f t="shared" si="90"/>
        <v>#DIV/0!</v>
      </c>
      <c r="BJ108" s="179" t="e">
        <f t="shared" si="91"/>
        <v>#DIV/0!</v>
      </c>
      <c r="BK108" s="180" t="e">
        <f t="shared" ref="BK108:BV129" si="121">IF(OR($BJ108&lt;=0,(BK$9-$A108)&gt;($E108*365)),0,IF($A108&lt;=BK$9,$F108/12))</f>
        <v>#DIV/0!</v>
      </c>
      <c r="BL108" s="178" t="e">
        <f t="shared" si="121"/>
        <v>#DIV/0!</v>
      </c>
      <c r="BM108" s="178" t="e">
        <f t="shared" si="121"/>
        <v>#DIV/0!</v>
      </c>
      <c r="BN108" s="178" t="e">
        <f t="shared" si="121"/>
        <v>#DIV/0!</v>
      </c>
      <c r="BO108" s="178" t="e">
        <f t="shared" si="121"/>
        <v>#DIV/0!</v>
      </c>
      <c r="BP108" s="178" t="e">
        <f t="shared" si="121"/>
        <v>#DIV/0!</v>
      </c>
      <c r="BQ108" s="178" t="e">
        <f t="shared" si="121"/>
        <v>#DIV/0!</v>
      </c>
      <c r="BR108" s="178" t="e">
        <f t="shared" si="121"/>
        <v>#DIV/0!</v>
      </c>
      <c r="BS108" s="178" t="e">
        <f t="shared" si="121"/>
        <v>#DIV/0!</v>
      </c>
      <c r="BT108" s="178" t="e">
        <f t="shared" si="121"/>
        <v>#DIV/0!</v>
      </c>
      <c r="BU108" s="178" t="e">
        <f t="shared" si="121"/>
        <v>#DIV/0!</v>
      </c>
      <c r="BV108" s="168" t="e">
        <f t="shared" si="121"/>
        <v>#DIV/0!</v>
      </c>
      <c r="BW108" s="169" t="e">
        <f t="shared" si="92"/>
        <v>#DIV/0!</v>
      </c>
      <c r="BX108" s="179" t="e">
        <f t="shared" si="93"/>
        <v>#DIV/0!</v>
      </c>
      <c r="BY108" s="180" t="e">
        <f t="shared" ref="BY108:CJ129" si="122">IF(OR($BX108&lt;=0,(BY$9-$A108)&gt;($E108*365)),0,IF($A108&lt;=BY$9,$F108/12))</f>
        <v>#DIV/0!</v>
      </c>
      <c r="BZ108" s="178" t="e">
        <f t="shared" si="122"/>
        <v>#DIV/0!</v>
      </c>
      <c r="CA108" s="178" t="e">
        <f t="shared" si="122"/>
        <v>#DIV/0!</v>
      </c>
      <c r="CB108" s="178" t="e">
        <f t="shared" si="122"/>
        <v>#DIV/0!</v>
      </c>
      <c r="CC108" s="178" t="e">
        <f t="shared" si="122"/>
        <v>#DIV/0!</v>
      </c>
      <c r="CD108" s="178" t="e">
        <f t="shared" si="122"/>
        <v>#DIV/0!</v>
      </c>
      <c r="CE108" s="178" t="e">
        <f t="shared" si="122"/>
        <v>#DIV/0!</v>
      </c>
      <c r="CF108" s="178" t="e">
        <f t="shared" si="122"/>
        <v>#DIV/0!</v>
      </c>
      <c r="CG108" s="178" t="e">
        <f t="shared" si="122"/>
        <v>#DIV/0!</v>
      </c>
      <c r="CH108" s="178" t="e">
        <f t="shared" si="122"/>
        <v>#DIV/0!</v>
      </c>
      <c r="CI108" s="178" t="e">
        <f t="shared" si="122"/>
        <v>#DIV/0!</v>
      </c>
      <c r="CJ108" s="168" t="e">
        <f t="shared" si="122"/>
        <v>#DIV/0!</v>
      </c>
      <c r="CK108" s="169" t="e">
        <f t="shared" si="94"/>
        <v>#DIV/0!</v>
      </c>
      <c r="CL108" s="179" t="e">
        <f t="shared" si="95"/>
        <v>#DIV/0!</v>
      </c>
      <c r="CM108" s="180" t="e">
        <f t="shared" ref="CM108:CX129" si="123">IF(OR($CL108&lt;=0,(CM$9-$A108)&gt;($E108*365)),0,IF($A108&lt;=CM$9,$F108/12))</f>
        <v>#DIV/0!</v>
      </c>
      <c r="CN108" s="178" t="e">
        <f t="shared" si="123"/>
        <v>#DIV/0!</v>
      </c>
      <c r="CO108" s="178" t="e">
        <f t="shared" si="123"/>
        <v>#DIV/0!</v>
      </c>
      <c r="CP108" s="178" t="e">
        <f t="shared" si="123"/>
        <v>#DIV/0!</v>
      </c>
      <c r="CQ108" s="178" t="e">
        <f t="shared" si="123"/>
        <v>#DIV/0!</v>
      </c>
      <c r="CR108" s="178" t="e">
        <f t="shared" si="123"/>
        <v>#DIV/0!</v>
      </c>
      <c r="CS108" s="178" t="e">
        <f t="shared" si="123"/>
        <v>#DIV/0!</v>
      </c>
      <c r="CT108" s="178" t="e">
        <f t="shared" si="123"/>
        <v>#DIV/0!</v>
      </c>
      <c r="CU108" s="178" t="e">
        <f t="shared" si="123"/>
        <v>#DIV/0!</v>
      </c>
      <c r="CV108" s="178" t="e">
        <f t="shared" si="123"/>
        <v>#DIV/0!</v>
      </c>
      <c r="CW108" s="178" t="e">
        <f t="shared" si="123"/>
        <v>#DIV/0!</v>
      </c>
      <c r="CX108" s="168" t="e">
        <f t="shared" si="123"/>
        <v>#DIV/0!</v>
      </c>
      <c r="CY108" s="169" t="e">
        <f t="shared" si="96"/>
        <v>#DIV/0!</v>
      </c>
      <c r="CZ108" s="179" t="e">
        <f t="shared" si="97"/>
        <v>#DIV/0!</v>
      </c>
      <c r="DA108" s="180" t="e">
        <f t="shared" ref="DA108:DL129" si="124">IF(OR($CZ108&lt;=0,(DA$9-$A108)&gt;($E108*365)),0,IF($A108&lt;=DA$9,$F108/12))</f>
        <v>#DIV/0!</v>
      </c>
      <c r="DB108" s="178" t="e">
        <f t="shared" si="124"/>
        <v>#DIV/0!</v>
      </c>
      <c r="DC108" s="178" t="e">
        <f t="shared" si="124"/>
        <v>#DIV/0!</v>
      </c>
      <c r="DD108" s="178" t="e">
        <f t="shared" si="124"/>
        <v>#DIV/0!</v>
      </c>
      <c r="DE108" s="178" t="e">
        <f t="shared" si="124"/>
        <v>#DIV/0!</v>
      </c>
      <c r="DF108" s="178" t="e">
        <f t="shared" si="124"/>
        <v>#DIV/0!</v>
      </c>
      <c r="DG108" s="178" t="e">
        <f t="shared" si="124"/>
        <v>#DIV/0!</v>
      </c>
      <c r="DH108" s="178" t="e">
        <f t="shared" si="124"/>
        <v>#DIV/0!</v>
      </c>
      <c r="DI108" s="178" t="e">
        <f t="shared" si="124"/>
        <v>#DIV/0!</v>
      </c>
      <c r="DJ108" s="178" t="e">
        <f t="shared" si="124"/>
        <v>#DIV/0!</v>
      </c>
      <c r="DK108" s="178" t="e">
        <f t="shared" si="124"/>
        <v>#DIV/0!</v>
      </c>
      <c r="DL108" s="168" t="e">
        <f t="shared" si="124"/>
        <v>#DIV/0!</v>
      </c>
      <c r="DM108" s="169" t="e">
        <f t="shared" si="98"/>
        <v>#DIV/0!</v>
      </c>
      <c r="DN108" s="171" t="e">
        <f t="shared" si="99"/>
        <v>#DIV/0!</v>
      </c>
      <c r="DO108" s="180" t="e">
        <f t="shared" ref="DO108:DZ129" si="125">IF(OR($DN108&lt;=0,(DO$9-$A108)&gt;($E108*365)),0,IF($A108&lt;=DO$9,$F108/12))</f>
        <v>#DIV/0!</v>
      </c>
      <c r="DP108" s="178" t="e">
        <f t="shared" si="125"/>
        <v>#DIV/0!</v>
      </c>
      <c r="DQ108" s="178" t="e">
        <f t="shared" si="125"/>
        <v>#DIV/0!</v>
      </c>
      <c r="DR108" s="178" t="e">
        <f t="shared" si="125"/>
        <v>#DIV/0!</v>
      </c>
      <c r="DS108" s="178" t="e">
        <f t="shared" si="125"/>
        <v>#DIV/0!</v>
      </c>
      <c r="DT108" s="178" t="e">
        <f t="shared" si="125"/>
        <v>#DIV/0!</v>
      </c>
      <c r="DU108" s="178" t="e">
        <f t="shared" si="125"/>
        <v>#DIV/0!</v>
      </c>
      <c r="DV108" s="178" t="e">
        <f t="shared" si="125"/>
        <v>#DIV/0!</v>
      </c>
      <c r="DW108" s="178" t="e">
        <f t="shared" si="125"/>
        <v>#DIV/0!</v>
      </c>
      <c r="DX108" s="178" t="e">
        <f t="shared" si="125"/>
        <v>#DIV/0!</v>
      </c>
      <c r="DY108" s="178" t="e">
        <f t="shared" si="125"/>
        <v>#DIV/0!</v>
      </c>
      <c r="DZ108" s="168" t="e">
        <f t="shared" si="125"/>
        <v>#DIV/0!</v>
      </c>
      <c r="EA108" s="169" t="e">
        <f t="shared" si="100"/>
        <v>#DIV/0!</v>
      </c>
      <c r="EB108" s="171" t="e">
        <f t="shared" si="101"/>
        <v>#DIV/0!</v>
      </c>
    </row>
    <row r="109" spans="1:132" s="177" customFormat="1" ht="15.75">
      <c r="A109" s="163"/>
      <c r="B109" s="164"/>
      <c r="C109" s="165"/>
      <c r="D109" s="182"/>
      <c r="E109" s="167"/>
      <c r="F109" s="168" t="e">
        <f t="shared" si="83"/>
        <v>#DIV/0!</v>
      </c>
      <c r="G109" s="169" t="e">
        <f t="shared" si="82"/>
        <v>#DIV/0!</v>
      </c>
      <c r="H109" s="178" t="e">
        <f t="shared" si="82"/>
        <v>#DIV/0!</v>
      </c>
      <c r="I109" s="178" t="e">
        <f t="shared" si="82"/>
        <v>#DIV/0!</v>
      </c>
      <c r="J109" s="178" t="e">
        <f t="shared" si="82"/>
        <v>#DIV/0!</v>
      </c>
      <c r="K109" s="178" t="e">
        <f t="shared" si="82"/>
        <v>#DIV/0!</v>
      </c>
      <c r="L109" s="178" t="e">
        <f t="shared" si="82"/>
        <v>#DIV/0!</v>
      </c>
      <c r="M109" s="178" t="e">
        <f t="shared" si="82"/>
        <v>#DIV/0!</v>
      </c>
      <c r="N109" s="178" t="e">
        <f t="shared" si="82"/>
        <v>#DIV/0!</v>
      </c>
      <c r="O109" s="178" t="e">
        <f t="shared" si="82"/>
        <v>#DIV/0!</v>
      </c>
      <c r="P109" s="178" t="e">
        <f t="shared" si="82"/>
        <v>#DIV/0!</v>
      </c>
      <c r="Q109" s="178" t="e">
        <f t="shared" si="82"/>
        <v>#DIV/0!</v>
      </c>
      <c r="R109" s="179" t="e">
        <f t="shared" si="82"/>
        <v>#DIV/0!</v>
      </c>
      <c r="S109" s="169" t="e">
        <f t="shared" si="84"/>
        <v>#DIV/0!</v>
      </c>
      <c r="T109" s="179" t="e">
        <f t="shared" si="85"/>
        <v>#DIV/0!</v>
      </c>
      <c r="U109" s="180" t="e">
        <f t="shared" si="119"/>
        <v>#DIV/0!</v>
      </c>
      <c r="V109" s="178" t="e">
        <f t="shared" si="119"/>
        <v>#DIV/0!</v>
      </c>
      <c r="W109" s="178" t="e">
        <f t="shared" si="119"/>
        <v>#DIV/0!</v>
      </c>
      <c r="X109" s="178" t="e">
        <f t="shared" si="119"/>
        <v>#DIV/0!</v>
      </c>
      <c r="Y109" s="178" t="e">
        <f t="shared" si="119"/>
        <v>#DIV/0!</v>
      </c>
      <c r="Z109" s="178" t="e">
        <f t="shared" si="119"/>
        <v>#DIV/0!</v>
      </c>
      <c r="AA109" s="178" t="e">
        <f t="shared" si="119"/>
        <v>#DIV/0!</v>
      </c>
      <c r="AB109" s="178" t="e">
        <f t="shared" si="119"/>
        <v>#DIV/0!</v>
      </c>
      <c r="AC109" s="178" t="e">
        <f t="shared" si="119"/>
        <v>#DIV/0!</v>
      </c>
      <c r="AD109" s="178" t="e">
        <f t="shared" si="119"/>
        <v>#DIV/0!</v>
      </c>
      <c r="AE109" s="178" t="e">
        <f t="shared" si="119"/>
        <v>#DIV/0!</v>
      </c>
      <c r="AF109" s="168" t="e">
        <f t="shared" si="119"/>
        <v>#DIV/0!</v>
      </c>
      <c r="AG109" s="169" t="e">
        <f t="shared" si="86"/>
        <v>#DIV/0!</v>
      </c>
      <c r="AH109" s="179" t="e">
        <f t="shared" si="87"/>
        <v>#DIV/0!</v>
      </c>
      <c r="AI109" s="180" t="e">
        <f t="shared" si="104"/>
        <v>#DIV/0!</v>
      </c>
      <c r="AJ109" s="178" t="e">
        <f t="shared" si="102"/>
        <v>#DIV/0!</v>
      </c>
      <c r="AK109" s="178" t="e">
        <f t="shared" si="102"/>
        <v>#DIV/0!</v>
      </c>
      <c r="AL109" s="178" t="e">
        <f t="shared" si="102"/>
        <v>#DIV/0!</v>
      </c>
      <c r="AM109" s="178" t="e">
        <f t="shared" si="102"/>
        <v>#DIV/0!</v>
      </c>
      <c r="AN109" s="178" t="e">
        <f t="shared" ref="AN109:AT109" si="126">IF(OR($F109&lt;=0,(AN$9-$A109)&gt;(365*$E109)),0,IF($A109&lt;=AN$9,$F109/12,0))</f>
        <v>#DIV/0!</v>
      </c>
      <c r="AO109" s="178" t="e">
        <f t="shared" si="126"/>
        <v>#DIV/0!</v>
      </c>
      <c r="AP109" s="178" t="e">
        <f t="shared" si="126"/>
        <v>#DIV/0!</v>
      </c>
      <c r="AQ109" s="178" t="e">
        <f t="shared" si="126"/>
        <v>#DIV/0!</v>
      </c>
      <c r="AR109" s="178" t="e">
        <f t="shared" si="126"/>
        <v>#DIV/0!</v>
      </c>
      <c r="AS109" s="178" t="e">
        <f t="shared" si="126"/>
        <v>#DIV/0!</v>
      </c>
      <c r="AT109" s="168" t="e">
        <f t="shared" si="126"/>
        <v>#DIV/0!</v>
      </c>
      <c r="AU109" s="169" t="e">
        <f t="shared" si="88"/>
        <v>#DIV/0!</v>
      </c>
      <c r="AV109" s="179" t="e">
        <f t="shared" si="89"/>
        <v>#DIV/0!</v>
      </c>
      <c r="AW109" s="180" t="e">
        <f t="shared" si="120"/>
        <v>#DIV/0!</v>
      </c>
      <c r="AX109" s="178" t="e">
        <f t="shared" si="120"/>
        <v>#DIV/0!</v>
      </c>
      <c r="AY109" s="178" t="e">
        <f t="shared" si="120"/>
        <v>#DIV/0!</v>
      </c>
      <c r="AZ109" s="178" t="e">
        <f t="shared" si="120"/>
        <v>#DIV/0!</v>
      </c>
      <c r="BA109" s="178" t="e">
        <f t="shared" si="120"/>
        <v>#DIV/0!</v>
      </c>
      <c r="BB109" s="178" t="e">
        <f t="shared" si="120"/>
        <v>#DIV/0!</v>
      </c>
      <c r="BC109" s="178" t="e">
        <f t="shared" si="120"/>
        <v>#DIV/0!</v>
      </c>
      <c r="BD109" s="178" t="e">
        <f t="shared" si="120"/>
        <v>#DIV/0!</v>
      </c>
      <c r="BE109" s="178" t="e">
        <f t="shared" si="120"/>
        <v>#DIV/0!</v>
      </c>
      <c r="BF109" s="178" t="e">
        <f t="shared" si="120"/>
        <v>#DIV/0!</v>
      </c>
      <c r="BG109" s="178" t="e">
        <f t="shared" si="120"/>
        <v>#DIV/0!</v>
      </c>
      <c r="BH109" s="168" t="e">
        <f t="shared" si="120"/>
        <v>#DIV/0!</v>
      </c>
      <c r="BI109" s="169" t="e">
        <f t="shared" si="90"/>
        <v>#DIV/0!</v>
      </c>
      <c r="BJ109" s="179" t="e">
        <f t="shared" si="91"/>
        <v>#DIV/0!</v>
      </c>
      <c r="BK109" s="180" t="e">
        <f t="shared" si="121"/>
        <v>#DIV/0!</v>
      </c>
      <c r="BL109" s="178" t="e">
        <f t="shared" si="121"/>
        <v>#DIV/0!</v>
      </c>
      <c r="BM109" s="178" t="e">
        <f t="shared" si="121"/>
        <v>#DIV/0!</v>
      </c>
      <c r="BN109" s="178" t="e">
        <f t="shared" si="121"/>
        <v>#DIV/0!</v>
      </c>
      <c r="BO109" s="178" t="e">
        <f t="shared" si="121"/>
        <v>#DIV/0!</v>
      </c>
      <c r="BP109" s="178" t="e">
        <f t="shared" si="121"/>
        <v>#DIV/0!</v>
      </c>
      <c r="BQ109" s="178" t="e">
        <f t="shared" si="121"/>
        <v>#DIV/0!</v>
      </c>
      <c r="BR109" s="178" t="e">
        <f t="shared" si="121"/>
        <v>#DIV/0!</v>
      </c>
      <c r="BS109" s="178" t="e">
        <f t="shared" si="121"/>
        <v>#DIV/0!</v>
      </c>
      <c r="BT109" s="178" t="e">
        <f t="shared" si="121"/>
        <v>#DIV/0!</v>
      </c>
      <c r="BU109" s="178" t="e">
        <f t="shared" si="121"/>
        <v>#DIV/0!</v>
      </c>
      <c r="BV109" s="168" t="e">
        <f t="shared" si="121"/>
        <v>#DIV/0!</v>
      </c>
      <c r="BW109" s="169" t="e">
        <f t="shared" si="92"/>
        <v>#DIV/0!</v>
      </c>
      <c r="BX109" s="179" t="e">
        <f t="shared" si="93"/>
        <v>#DIV/0!</v>
      </c>
      <c r="BY109" s="180" t="e">
        <f t="shared" si="122"/>
        <v>#DIV/0!</v>
      </c>
      <c r="BZ109" s="178" t="e">
        <f t="shared" si="122"/>
        <v>#DIV/0!</v>
      </c>
      <c r="CA109" s="178" t="e">
        <f t="shared" si="122"/>
        <v>#DIV/0!</v>
      </c>
      <c r="CB109" s="178" t="e">
        <f t="shared" si="122"/>
        <v>#DIV/0!</v>
      </c>
      <c r="CC109" s="178" t="e">
        <f t="shared" si="122"/>
        <v>#DIV/0!</v>
      </c>
      <c r="CD109" s="178" t="e">
        <f t="shared" si="122"/>
        <v>#DIV/0!</v>
      </c>
      <c r="CE109" s="178" t="e">
        <f t="shared" si="122"/>
        <v>#DIV/0!</v>
      </c>
      <c r="CF109" s="178" t="e">
        <f t="shared" si="122"/>
        <v>#DIV/0!</v>
      </c>
      <c r="CG109" s="178" t="e">
        <f t="shared" si="122"/>
        <v>#DIV/0!</v>
      </c>
      <c r="CH109" s="178" t="e">
        <f t="shared" si="122"/>
        <v>#DIV/0!</v>
      </c>
      <c r="CI109" s="178" t="e">
        <f t="shared" si="122"/>
        <v>#DIV/0!</v>
      </c>
      <c r="CJ109" s="168" t="e">
        <f t="shared" si="122"/>
        <v>#DIV/0!</v>
      </c>
      <c r="CK109" s="169" t="e">
        <f t="shared" si="94"/>
        <v>#DIV/0!</v>
      </c>
      <c r="CL109" s="179" t="e">
        <f t="shared" si="95"/>
        <v>#DIV/0!</v>
      </c>
      <c r="CM109" s="180" t="e">
        <f t="shared" si="123"/>
        <v>#DIV/0!</v>
      </c>
      <c r="CN109" s="178" t="e">
        <f t="shared" si="123"/>
        <v>#DIV/0!</v>
      </c>
      <c r="CO109" s="178" t="e">
        <f t="shared" si="123"/>
        <v>#DIV/0!</v>
      </c>
      <c r="CP109" s="178" t="e">
        <f t="shared" si="123"/>
        <v>#DIV/0!</v>
      </c>
      <c r="CQ109" s="178" t="e">
        <f t="shared" si="123"/>
        <v>#DIV/0!</v>
      </c>
      <c r="CR109" s="178" t="e">
        <f t="shared" si="123"/>
        <v>#DIV/0!</v>
      </c>
      <c r="CS109" s="178" t="e">
        <f t="shared" si="123"/>
        <v>#DIV/0!</v>
      </c>
      <c r="CT109" s="178" t="e">
        <f t="shared" si="123"/>
        <v>#DIV/0!</v>
      </c>
      <c r="CU109" s="178" t="e">
        <f t="shared" si="123"/>
        <v>#DIV/0!</v>
      </c>
      <c r="CV109" s="178" t="e">
        <f t="shared" si="123"/>
        <v>#DIV/0!</v>
      </c>
      <c r="CW109" s="178" t="e">
        <f t="shared" si="123"/>
        <v>#DIV/0!</v>
      </c>
      <c r="CX109" s="168" t="e">
        <f t="shared" si="123"/>
        <v>#DIV/0!</v>
      </c>
      <c r="CY109" s="169" t="e">
        <f t="shared" si="96"/>
        <v>#DIV/0!</v>
      </c>
      <c r="CZ109" s="179" t="e">
        <f t="shared" si="97"/>
        <v>#DIV/0!</v>
      </c>
      <c r="DA109" s="180" t="e">
        <f t="shared" si="124"/>
        <v>#DIV/0!</v>
      </c>
      <c r="DB109" s="178" t="e">
        <f t="shared" si="124"/>
        <v>#DIV/0!</v>
      </c>
      <c r="DC109" s="178" t="e">
        <f t="shared" si="124"/>
        <v>#DIV/0!</v>
      </c>
      <c r="DD109" s="178" t="e">
        <f t="shared" si="124"/>
        <v>#DIV/0!</v>
      </c>
      <c r="DE109" s="178" t="e">
        <f t="shared" si="124"/>
        <v>#DIV/0!</v>
      </c>
      <c r="DF109" s="178" t="e">
        <f t="shared" si="124"/>
        <v>#DIV/0!</v>
      </c>
      <c r="DG109" s="178" t="e">
        <f t="shared" si="124"/>
        <v>#DIV/0!</v>
      </c>
      <c r="DH109" s="178" t="e">
        <f t="shared" si="124"/>
        <v>#DIV/0!</v>
      </c>
      <c r="DI109" s="178" t="e">
        <f t="shared" si="124"/>
        <v>#DIV/0!</v>
      </c>
      <c r="DJ109" s="178" t="e">
        <f t="shared" si="124"/>
        <v>#DIV/0!</v>
      </c>
      <c r="DK109" s="178" t="e">
        <f t="shared" si="124"/>
        <v>#DIV/0!</v>
      </c>
      <c r="DL109" s="168" t="e">
        <f t="shared" si="124"/>
        <v>#DIV/0!</v>
      </c>
      <c r="DM109" s="169" t="e">
        <f t="shared" si="98"/>
        <v>#DIV/0!</v>
      </c>
      <c r="DN109" s="171" t="e">
        <f t="shared" si="99"/>
        <v>#DIV/0!</v>
      </c>
      <c r="DO109" s="180" t="e">
        <f t="shared" si="125"/>
        <v>#DIV/0!</v>
      </c>
      <c r="DP109" s="178" t="e">
        <f t="shared" si="125"/>
        <v>#DIV/0!</v>
      </c>
      <c r="DQ109" s="178" t="e">
        <f t="shared" si="125"/>
        <v>#DIV/0!</v>
      </c>
      <c r="DR109" s="178" t="e">
        <f t="shared" si="125"/>
        <v>#DIV/0!</v>
      </c>
      <c r="DS109" s="178" t="e">
        <f t="shared" si="125"/>
        <v>#DIV/0!</v>
      </c>
      <c r="DT109" s="178" t="e">
        <f t="shared" si="125"/>
        <v>#DIV/0!</v>
      </c>
      <c r="DU109" s="178" t="e">
        <f t="shared" si="125"/>
        <v>#DIV/0!</v>
      </c>
      <c r="DV109" s="178" t="e">
        <f t="shared" si="125"/>
        <v>#DIV/0!</v>
      </c>
      <c r="DW109" s="178" t="e">
        <f t="shared" si="125"/>
        <v>#DIV/0!</v>
      </c>
      <c r="DX109" s="178" t="e">
        <f t="shared" si="125"/>
        <v>#DIV/0!</v>
      </c>
      <c r="DY109" s="178" t="e">
        <f t="shared" si="125"/>
        <v>#DIV/0!</v>
      </c>
      <c r="DZ109" s="168" t="e">
        <f t="shared" si="125"/>
        <v>#DIV/0!</v>
      </c>
      <c r="EA109" s="169" t="e">
        <f t="shared" si="100"/>
        <v>#DIV/0!</v>
      </c>
      <c r="EB109" s="171" t="e">
        <f t="shared" si="101"/>
        <v>#DIV/0!</v>
      </c>
    </row>
    <row r="110" spans="1:132" s="177" customFormat="1" ht="15.75">
      <c r="A110" s="163"/>
      <c r="B110" s="164"/>
      <c r="C110" s="165"/>
      <c r="D110" s="182"/>
      <c r="E110" s="167"/>
      <c r="F110" s="168" t="e">
        <f t="shared" si="83"/>
        <v>#DIV/0!</v>
      </c>
      <c r="G110" s="169" t="e">
        <f t="shared" si="82"/>
        <v>#DIV/0!</v>
      </c>
      <c r="H110" s="178" t="e">
        <f t="shared" si="82"/>
        <v>#DIV/0!</v>
      </c>
      <c r="I110" s="178" t="e">
        <f t="shared" si="82"/>
        <v>#DIV/0!</v>
      </c>
      <c r="J110" s="178" t="e">
        <f t="shared" si="82"/>
        <v>#DIV/0!</v>
      </c>
      <c r="K110" s="178" t="e">
        <f t="shared" ref="K110:R110" si="127">IF(OR($F110&lt;=0,(K$9-$A110)&gt;(365*$E110)),0,IF($A110&lt;=K$9,$F110/12,0))</f>
        <v>#DIV/0!</v>
      </c>
      <c r="L110" s="178" t="e">
        <f t="shared" si="127"/>
        <v>#DIV/0!</v>
      </c>
      <c r="M110" s="178" t="e">
        <f t="shared" si="127"/>
        <v>#DIV/0!</v>
      </c>
      <c r="N110" s="178" t="e">
        <f t="shared" si="127"/>
        <v>#DIV/0!</v>
      </c>
      <c r="O110" s="178" t="e">
        <f t="shared" si="127"/>
        <v>#DIV/0!</v>
      </c>
      <c r="P110" s="178" t="e">
        <f t="shared" si="127"/>
        <v>#DIV/0!</v>
      </c>
      <c r="Q110" s="178" t="e">
        <f t="shared" si="127"/>
        <v>#DIV/0!</v>
      </c>
      <c r="R110" s="179" t="e">
        <f t="shared" si="127"/>
        <v>#DIV/0!</v>
      </c>
      <c r="S110" s="169" t="e">
        <f t="shared" si="84"/>
        <v>#DIV/0!</v>
      </c>
      <c r="T110" s="179" t="e">
        <f t="shared" si="85"/>
        <v>#DIV/0!</v>
      </c>
      <c r="U110" s="180" t="e">
        <f t="shared" si="119"/>
        <v>#DIV/0!</v>
      </c>
      <c r="V110" s="178" t="e">
        <f t="shared" si="119"/>
        <v>#DIV/0!</v>
      </c>
      <c r="W110" s="178" t="e">
        <f t="shared" si="119"/>
        <v>#DIV/0!</v>
      </c>
      <c r="X110" s="178" t="e">
        <f t="shared" si="119"/>
        <v>#DIV/0!</v>
      </c>
      <c r="Y110" s="178" t="e">
        <f t="shared" si="119"/>
        <v>#DIV/0!</v>
      </c>
      <c r="Z110" s="178" t="e">
        <f t="shared" si="119"/>
        <v>#DIV/0!</v>
      </c>
      <c r="AA110" s="178" t="e">
        <f t="shared" si="119"/>
        <v>#DIV/0!</v>
      </c>
      <c r="AB110" s="178" t="e">
        <f t="shared" si="119"/>
        <v>#DIV/0!</v>
      </c>
      <c r="AC110" s="178" t="e">
        <f t="shared" si="119"/>
        <v>#DIV/0!</v>
      </c>
      <c r="AD110" s="178" t="e">
        <f t="shared" si="119"/>
        <v>#DIV/0!</v>
      </c>
      <c r="AE110" s="178" t="e">
        <f t="shared" si="119"/>
        <v>#DIV/0!</v>
      </c>
      <c r="AF110" s="168" t="e">
        <f t="shared" si="119"/>
        <v>#DIV/0!</v>
      </c>
      <c r="AG110" s="169" t="e">
        <f t="shared" si="86"/>
        <v>#DIV/0!</v>
      </c>
      <c r="AH110" s="179" t="e">
        <f t="shared" si="87"/>
        <v>#DIV/0!</v>
      </c>
      <c r="AI110" s="180" t="e">
        <f t="shared" si="104"/>
        <v>#DIV/0!</v>
      </c>
      <c r="AJ110" s="178" t="e">
        <f t="shared" si="104"/>
        <v>#DIV/0!</v>
      </c>
      <c r="AK110" s="178" t="e">
        <f t="shared" si="104"/>
        <v>#DIV/0!</v>
      </c>
      <c r="AL110" s="178" t="e">
        <f t="shared" si="104"/>
        <v>#DIV/0!</v>
      </c>
      <c r="AM110" s="178" t="e">
        <f t="shared" si="104"/>
        <v>#DIV/0!</v>
      </c>
      <c r="AN110" s="178" t="e">
        <f t="shared" si="104"/>
        <v>#DIV/0!</v>
      </c>
      <c r="AO110" s="178" t="e">
        <f t="shared" si="104"/>
        <v>#DIV/0!</v>
      </c>
      <c r="AP110" s="178" t="e">
        <f t="shared" si="104"/>
        <v>#DIV/0!</v>
      </c>
      <c r="AQ110" s="178" t="e">
        <f t="shared" si="104"/>
        <v>#DIV/0!</v>
      </c>
      <c r="AR110" s="178" t="e">
        <f t="shared" si="104"/>
        <v>#DIV/0!</v>
      </c>
      <c r="AS110" s="178" t="e">
        <f t="shared" si="104"/>
        <v>#DIV/0!</v>
      </c>
      <c r="AT110" s="168" t="e">
        <f t="shared" si="104"/>
        <v>#DIV/0!</v>
      </c>
      <c r="AU110" s="169" t="e">
        <f t="shared" si="88"/>
        <v>#DIV/0!</v>
      </c>
      <c r="AV110" s="179" t="e">
        <f t="shared" si="89"/>
        <v>#DIV/0!</v>
      </c>
      <c r="AW110" s="180" t="e">
        <f t="shared" si="120"/>
        <v>#DIV/0!</v>
      </c>
      <c r="AX110" s="178" t="e">
        <f t="shared" si="120"/>
        <v>#DIV/0!</v>
      </c>
      <c r="AY110" s="178" t="e">
        <f t="shared" si="120"/>
        <v>#DIV/0!</v>
      </c>
      <c r="AZ110" s="178" t="e">
        <f t="shared" si="120"/>
        <v>#DIV/0!</v>
      </c>
      <c r="BA110" s="178" t="e">
        <f t="shared" si="120"/>
        <v>#DIV/0!</v>
      </c>
      <c r="BB110" s="178" t="e">
        <f t="shared" si="120"/>
        <v>#DIV/0!</v>
      </c>
      <c r="BC110" s="178" t="e">
        <f t="shared" si="120"/>
        <v>#DIV/0!</v>
      </c>
      <c r="BD110" s="178" t="e">
        <f t="shared" si="120"/>
        <v>#DIV/0!</v>
      </c>
      <c r="BE110" s="178" t="e">
        <f t="shared" si="120"/>
        <v>#DIV/0!</v>
      </c>
      <c r="BF110" s="178" t="e">
        <f t="shared" si="120"/>
        <v>#DIV/0!</v>
      </c>
      <c r="BG110" s="178" t="e">
        <f t="shared" si="120"/>
        <v>#DIV/0!</v>
      </c>
      <c r="BH110" s="168" t="e">
        <f t="shared" si="120"/>
        <v>#DIV/0!</v>
      </c>
      <c r="BI110" s="169" t="e">
        <f t="shared" si="90"/>
        <v>#DIV/0!</v>
      </c>
      <c r="BJ110" s="179" t="e">
        <f t="shared" si="91"/>
        <v>#DIV/0!</v>
      </c>
      <c r="BK110" s="180" t="e">
        <f t="shared" si="121"/>
        <v>#DIV/0!</v>
      </c>
      <c r="BL110" s="178" t="e">
        <f t="shared" si="121"/>
        <v>#DIV/0!</v>
      </c>
      <c r="BM110" s="178" t="e">
        <f t="shared" si="121"/>
        <v>#DIV/0!</v>
      </c>
      <c r="BN110" s="178" t="e">
        <f t="shared" si="121"/>
        <v>#DIV/0!</v>
      </c>
      <c r="BO110" s="178" t="e">
        <f t="shared" si="121"/>
        <v>#DIV/0!</v>
      </c>
      <c r="BP110" s="178" t="e">
        <f t="shared" si="121"/>
        <v>#DIV/0!</v>
      </c>
      <c r="BQ110" s="178" t="e">
        <f t="shared" si="121"/>
        <v>#DIV/0!</v>
      </c>
      <c r="BR110" s="178" t="e">
        <f t="shared" si="121"/>
        <v>#DIV/0!</v>
      </c>
      <c r="BS110" s="178" t="e">
        <f t="shared" si="121"/>
        <v>#DIV/0!</v>
      </c>
      <c r="BT110" s="178" t="e">
        <f t="shared" si="121"/>
        <v>#DIV/0!</v>
      </c>
      <c r="BU110" s="178" t="e">
        <f t="shared" si="121"/>
        <v>#DIV/0!</v>
      </c>
      <c r="BV110" s="168" t="e">
        <f t="shared" si="121"/>
        <v>#DIV/0!</v>
      </c>
      <c r="BW110" s="169" t="e">
        <f t="shared" si="92"/>
        <v>#DIV/0!</v>
      </c>
      <c r="BX110" s="179" t="e">
        <f t="shared" si="93"/>
        <v>#DIV/0!</v>
      </c>
      <c r="BY110" s="180" t="e">
        <f t="shared" si="122"/>
        <v>#DIV/0!</v>
      </c>
      <c r="BZ110" s="178" t="e">
        <f t="shared" si="122"/>
        <v>#DIV/0!</v>
      </c>
      <c r="CA110" s="178" t="e">
        <f t="shared" si="122"/>
        <v>#DIV/0!</v>
      </c>
      <c r="CB110" s="178" t="e">
        <f t="shared" si="122"/>
        <v>#DIV/0!</v>
      </c>
      <c r="CC110" s="178" t="e">
        <f t="shared" si="122"/>
        <v>#DIV/0!</v>
      </c>
      <c r="CD110" s="178" t="e">
        <f t="shared" si="122"/>
        <v>#DIV/0!</v>
      </c>
      <c r="CE110" s="178" t="e">
        <f t="shared" si="122"/>
        <v>#DIV/0!</v>
      </c>
      <c r="CF110" s="178" t="e">
        <f t="shared" si="122"/>
        <v>#DIV/0!</v>
      </c>
      <c r="CG110" s="178" t="e">
        <f t="shared" si="122"/>
        <v>#DIV/0!</v>
      </c>
      <c r="CH110" s="178" t="e">
        <f t="shared" si="122"/>
        <v>#DIV/0!</v>
      </c>
      <c r="CI110" s="178" t="e">
        <f t="shared" si="122"/>
        <v>#DIV/0!</v>
      </c>
      <c r="CJ110" s="168" t="e">
        <f t="shared" si="122"/>
        <v>#DIV/0!</v>
      </c>
      <c r="CK110" s="169" t="e">
        <f t="shared" si="94"/>
        <v>#DIV/0!</v>
      </c>
      <c r="CL110" s="179" t="e">
        <f t="shared" si="95"/>
        <v>#DIV/0!</v>
      </c>
      <c r="CM110" s="180" t="e">
        <f t="shared" si="123"/>
        <v>#DIV/0!</v>
      </c>
      <c r="CN110" s="178" t="e">
        <f t="shared" si="123"/>
        <v>#DIV/0!</v>
      </c>
      <c r="CO110" s="178" t="e">
        <f t="shared" si="123"/>
        <v>#DIV/0!</v>
      </c>
      <c r="CP110" s="178" t="e">
        <f t="shared" si="123"/>
        <v>#DIV/0!</v>
      </c>
      <c r="CQ110" s="178" t="e">
        <f t="shared" si="123"/>
        <v>#DIV/0!</v>
      </c>
      <c r="CR110" s="178" t="e">
        <f t="shared" si="123"/>
        <v>#DIV/0!</v>
      </c>
      <c r="CS110" s="178" t="e">
        <f t="shared" si="123"/>
        <v>#DIV/0!</v>
      </c>
      <c r="CT110" s="178" t="e">
        <f t="shared" si="123"/>
        <v>#DIV/0!</v>
      </c>
      <c r="CU110" s="178" t="e">
        <f t="shared" si="123"/>
        <v>#DIV/0!</v>
      </c>
      <c r="CV110" s="178" t="e">
        <f t="shared" si="123"/>
        <v>#DIV/0!</v>
      </c>
      <c r="CW110" s="178" t="e">
        <f t="shared" si="123"/>
        <v>#DIV/0!</v>
      </c>
      <c r="CX110" s="168" t="e">
        <f t="shared" si="123"/>
        <v>#DIV/0!</v>
      </c>
      <c r="CY110" s="169" t="e">
        <f t="shared" si="96"/>
        <v>#DIV/0!</v>
      </c>
      <c r="CZ110" s="179" t="e">
        <f t="shared" si="97"/>
        <v>#DIV/0!</v>
      </c>
      <c r="DA110" s="180" t="e">
        <f t="shared" si="124"/>
        <v>#DIV/0!</v>
      </c>
      <c r="DB110" s="178" t="e">
        <f t="shared" si="124"/>
        <v>#DIV/0!</v>
      </c>
      <c r="DC110" s="178" t="e">
        <f t="shared" si="124"/>
        <v>#DIV/0!</v>
      </c>
      <c r="DD110" s="178" t="e">
        <f t="shared" si="124"/>
        <v>#DIV/0!</v>
      </c>
      <c r="DE110" s="178" t="e">
        <f t="shared" si="124"/>
        <v>#DIV/0!</v>
      </c>
      <c r="DF110" s="178" t="e">
        <f t="shared" si="124"/>
        <v>#DIV/0!</v>
      </c>
      <c r="DG110" s="178" t="e">
        <f t="shared" si="124"/>
        <v>#DIV/0!</v>
      </c>
      <c r="DH110" s="178" t="e">
        <f t="shared" si="124"/>
        <v>#DIV/0!</v>
      </c>
      <c r="DI110" s="178" t="e">
        <f t="shared" si="124"/>
        <v>#DIV/0!</v>
      </c>
      <c r="DJ110" s="178" t="e">
        <f t="shared" si="124"/>
        <v>#DIV/0!</v>
      </c>
      <c r="DK110" s="178" t="e">
        <f t="shared" si="124"/>
        <v>#DIV/0!</v>
      </c>
      <c r="DL110" s="168" t="e">
        <f t="shared" si="124"/>
        <v>#DIV/0!</v>
      </c>
      <c r="DM110" s="169" t="e">
        <f t="shared" si="98"/>
        <v>#DIV/0!</v>
      </c>
      <c r="DN110" s="171" t="e">
        <f t="shared" si="99"/>
        <v>#DIV/0!</v>
      </c>
      <c r="DO110" s="180" t="e">
        <f t="shared" si="125"/>
        <v>#DIV/0!</v>
      </c>
      <c r="DP110" s="178" t="e">
        <f t="shared" si="125"/>
        <v>#DIV/0!</v>
      </c>
      <c r="DQ110" s="178" t="e">
        <f t="shared" si="125"/>
        <v>#DIV/0!</v>
      </c>
      <c r="DR110" s="178" t="e">
        <f t="shared" si="125"/>
        <v>#DIV/0!</v>
      </c>
      <c r="DS110" s="178" t="e">
        <f t="shared" si="125"/>
        <v>#DIV/0!</v>
      </c>
      <c r="DT110" s="178" t="e">
        <f t="shared" si="125"/>
        <v>#DIV/0!</v>
      </c>
      <c r="DU110" s="178" t="e">
        <f t="shared" si="125"/>
        <v>#DIV/0!</v>
      </c>
      <c r="DV110" s="178" t="e">
        <f t="shared" si="125"/>
        <v>#DIV/0!</v>
      </c>
      <c r="DW110" s="178" t="e">
        <f t="shared" si="125"/>
        <v>#DIV/0!</v>
      </c>
      <c r="DX110" s="178" t="e">
        <f t="shared" si="125"/>
        <v>#DIV/0!</v>
      </c>
      <c r="DY110" s="178" t="e">
        <f t="shared" si="125"/>
        <v>#DIV/0!</v>
      </c>
      <c r="DZ110" s="168" t="e">
        <f t="shared" si="125"/>
        <v>#DIV/0!</v>
      </c>
      <c r="EA110" s="169" t="e">
        <f t="shared" si="100"/>
        <v>#DIV/0!</v>
      </c>
      <c r="EB110" s="171" t="e">
        <f t="shared" si="101"/>
        <v>#DIV/0!</v>
      </c>
    </row>
    <row r="111" spans="1:132" s="177" customFormat="1" ht="15.75">
      <c r="A111" s="183"/>
      <c r="B111" s="164"/>
      <c r="C111" s="184"/>
      <c r="D111" s="185"/>
      <c r="E111" s="167"/>
      <c r="F111" s="168" t="e">
        <f t="shared" si="83"/>
        <v>#DIV/0!</v>
      </c>
      <c r="G111" s="169" t="e">
        <f t="shared" ref="G111:R132" si="128">IF(OR($F111&lt;=0,(G$9-$A111)&gt;(365*$E111)),0,IF($A111&lt;=G$9,$F111/12,0))</f>
        <v>#DIV/0!</v>
      </c>
      <c r="H111" s="178" t="e">
        <f t="shared" si="128"/>
        <v>#DIV/0!</v>
      </c>
      <c r="I111" s="178" t="e">
        <f t="shared" si="128"/>
        <v>#DIV/0!</v>
      </c>
      <c r="J111" s="178" t="e">
        <f t="shared" si="128"/>
        <v>#DIV/0!</v>
      </c>
      <c r="K111" s="178" t="e">
        <f t="shared" si="128"/>
        <v>#DIV/0!</v>
      </c>
      <c r="L111" s="178" t="e">
        <f t="shared" si="128"/>
        <v>#DIV/0!</v>
      </c>
      <c r="M111" s="178" t="e">
        <f t="shared" si="128"/>
        <v>#DIV/0!</v>
      </c>
      <c r="N111" s="178" t="e">
        <f t="shared" si="128"/>
        <v>#DIV/0!</v>
      </c>
      <c r="O111" s="178" t="e">
        <f t="shared" si="128"/>
        <v>#DIV/0!</v>
      </c>
      <c r="P111" s="178" t="e">
        <f t="shared" si="128"/>
        <v>#DIV/0!</v>
      </c>
      <c r="Q111" s="178" t="e">
        <f t="shared" si="128"/>
        <v>#DIV/0!</v>
      </c>
      <c r="R111" s="179" t="e">
        <f t="shared" si="128"/>
        <v>#DIV/0!</v>
      </c>
      <c r="S111" s="169" t="e">
        <f t="shared" si="84"/>
        <v>#DIV/0!</v>
      </c>
      <c r="T111" s="179" t="e">
        <f t="shared" si="85"/>
        <v>#DIV/0!</v>
      </c>
      <c r="U111" s="180" t="e">
        <f t="shared" si="119"/>
        <v>#DIV/0!</v>
      </c>
      <c r="V111" s="178" t="e">
        <f t="shared" si="119"/>
        <v>#DIV/0!</v>
      </c>
      <c r="W111" s="178" t="e">
        <f t="shared" si="119"/>
        <v>#DIV/0!</v>
      </c>
      <c r="X111" s="178" t="e">
        <f t="shared" si="119"/>
        <v>#DIV/0!</v>
      </c>
      <c r="Y111" s="178" t="e">
        <f t="shared" si="119"/>
        <v>#DIV/0!</v>
      </c>
      <c r="Z111" s="178" t="e">
        <f t="shared" si="119"/>
        <v>#DIV/0!</v>
      </c>
      <c r="AA111" s="178" t="e">
        <f t="shared" si="119"/>
        <v>#DIV/0!</v>
      </c>
      <c r="AB111" s="178" t="e">
        <f t="shared" si="119"/>
        <v>#DIV/0!</v>
      </c>
      <c r="AC111" s="178" t="e">
        <f t="shared" si="119"/>
        <v>#DIV/0!</v>
      </c>
      <c r="AD111" s="178" t="e">
        <f t="shared" si="119"/>
        <v>#DIV/0!</v>
      </c>
      <c r="AE111" s="178" t="e">
        <f t="shared" si="119"/>
        <v>#DIV/0!</v>
      </c>
      <c r="AF111" s="168" t="e">
        <f t="shared" si="119"/>
        <v>#DIV/0!</v>
      </c>
      <c r="AG111" s="169" t="e">
        <f t="shared" si="86"/>
        <v>#DIV/0!</v>
      </c>
      <c r="AH111" s="179" t="e">
        <f t="shared" si="87"/>
        <v>#DIV/0!</v>
      </c>
      <c r="AI111" s="180" t="e">
        <f t="shared" si="104"/>
        <v>#DIV/0!</v>
      </c>
      <c r="AJ111" s="178" t="e">
        <f t="shared" si="104"/>
        <v>#DIV/0!</v>
      </c>
      <c r="AK111" s="178" t="e">
        <f t="shared" si="104"/>
        <v>#DIV/0!</v>
      </c>
      <c r="AL111" s="178" t="e">
        <f t="shared" si="104"/>
        <v>#DIV/0!</v>
      </c>
      <c r="AM111" s="178" t="e">
        <f t="shared" si="104"/>
        <v>#DIV/0!</v>
      </c>
      <c r="AN111" s="178" t="e">
        <f t="shared" si="104"/>
        <v>#DIV/0!</v>
      </c>
      <c r="AO111" s="178" t="e">
        <f t="shared" si="104"/>
        <v>#DIV/0!</v>
      </c>
      <c r="AP111" s="178" t="e">
        <f t="shared" si="104"/>
        <v>#DIV/0!</v>
      </c>
      <c r="AQ111" s="178" t="e">
        <f t="shared" si="104"/>
        <v>#DIV/0!</v>
      </c>
      <c r="AR111" s="178" t="e">
        <f t="shared" si="104"/>
        <v>#DIV/0!</v>
      </c>
      <c r="AS111" s="178" t="e">
        <f t="shared" si="104"/>
        <v>#DIV/0!</v>
      </c>
      <c r="AT111" s="168" t="e">
        <f t="shared" si="104"/>
        <v>#DIV/0!</v>
      </c>
      <c r="AU111" s="169" t="e">
        <f t="shared" si="88"/>
        <v>#DIV/0!</v>
      </c>
      <c r="AV111" s="179" t="e">
        <f t="shared" si="89"/>
        <v>#DIV/0!</v>
      </c>
      <c r="AW111" s="180" t="e">
        <f t="shared" si="120"/>
        <v>#DIV/0!</v>
      </c>
      <c r="AX111" s="178" t="e">
        <f t="shared" si="120"/>
        <v>#DIV/0!</v>
      </c>
      <c r="AY111" s="178" t="e">
        <f t="shared" si="120"/>
        <v>#DIV/0!</v>
      </c>
      <c r="AZ111" s="178" t="e">
        <f t="shared" si="120"/>
        <v>#DIV/0!</v>
      </c>
      <c r="BA111" s="178" t="e">
        <f t="shared" si="120"/>
        <v>#DIV/0!</v>
      </c>
      <c r="BB111" s="178" t="e">
        <f t="shared" si="120"/>
        <v>#DIV/0!</v>
      </c>
      <c r="BC111" s="178" t="e">
        <f t="shared" si="120"/>
        <v>#DIV/0!</v>
      </c>
      <c r="BD111" s="178" t="e">
        <f t="shared" si="120"/>
        <v>#DIV/0!</v>
      </c>
      <c r="BE111" s="178" t="e">
        <f t="shared" si="120"/>
        <v>#DIV/0!</v>
      </c>
      <c r="BF111" s="178" t="e">
        <f t="shared" si="120"/>
        <v>#DIV/0!</v>
      </c>
      <c r="BG111" s="178" t="e">
        <f t="shared" si="120"/>
        <v>#DIV/0!</v>
      </c>
      <c r="BH111" s="168" t="e">
        <f t="shared" si="120"/>
        <v>#DIV/0!</v>
      </c>
      <c r="BI111" s="169" t="e">
        <f t="shared" si="90"/>
        <v>#DIV/0!</v>
      </c>
      <c r="BJ111" s="179" t="e">
        <f t="shared" si="91"/>
        <v>#DIV/0!</v>
      </c>
      <c r="BK111" s="180" t="e">
        <f t="shared" si="121"/>
        <v>#DIV/0!</v>
      </c>
      <c r="BL111" s="178" t="e">
        <f t="shared" si="121"/>
        <v>#DIV/0!</v>
      </c>
      <c r="BM111" s="178" t="e">
        <f t="shared" si="121"/>
        <v>#DIV/0!</v>
      </c>
      <c r="BN111" s="178" t="e">
        <f t="shared" si="121"/>
        <v>#DIV/0!</v>
      </c>
      <c r="BO111" s="178" t="e">
        <f t="shared" si="121"/>
        <v>#DIV/0!</v>
      </c>
      <c r="BP111" s="178" t="e">
        <f t="shared" si="121"/>
        <v>#DIV/0!</v>
      </c>
      <c r="BQ111" s="178" t="e">
        <f t="shared" si="121"/>
        <v>#DIV/0!</v>
      </c>
      <c r="BR111" s="178" t="e">
        <f t="shared" si="121"/>
        <v>#DIV/0!</v>
      </c>
      <c r="BS111" s="178" t="e">
        <f t="shared" si="121"/>
        <v>#DIV/0!</v>
      </c>
      <c r="BT111" s="178" t="e">
        <f t="shared" si="121"/>
        <v>#DIV/0!</v>
      </c>
      <c r="BU111" s="178" t="e">
        <f t="shared" si="121"/>
        <v>#DIV/0!</v>
      </c>
      <c r="BV111" s="168" t="e">
        <f t="shared" si="121"/>
        <v>#DIV/0!</v>
      </c>
      <c r="BW111" s="169" t="e">
        <f t="shared" si="92"/>
        <v>#DIV/0!</v>
      </c>
      <c r="BX111" s="179" t="e">
        <f t="shared" si="93"/>
        <v>#DIV/0!</v>
      </c>
      <c r="BY111" s="180" t="e">
        <f t="shared" si="122"/>
        <v>#DIV/0!</v>
      </c>
      <c r="BZ111" s="178" t="e">
        <f t="shared" si="122"/>
        <v>#DIV/0!</v>
      </c>
      <c r="CA111" s="178" t="e">
        <f t="shared" si="122"/>
        <v>#DIV/0!</v>
      </c>
      <c r="CB111" s="178" t="e">
        <f t="shared" si="122"/>
        <v>#DIV/0!</v>
      </c>
      <c r="CC111" s="178" t="e">
        <f t="shared" si="122"/>
        <v>#DIV/0!</v>
      </c>
      <c r="CD111" s="178" t="e">
        <f t="shared" si="122"/>
        <v>#DIV/0!</v>
      </c>
      <c r="CE111" s="178" t="e">
        <f t="shared" si="122"/>
        <v>#DIV/0!</v>
      </c>
      <c r="CF111" s="178" t="e">
        <f t="shared" si="122"/>
        <v>#DIV/0!</v>
      </c>
      <c r="CG111" s="178" t="e">
        <f t="shared" si="122"/>
        <v>#DIV/0!</v>
      </c>
      <c r="CH111" s="178" t="e">
        <f t="shared" si="122"/>
        <v>#DIV/0!</v>
      </c>
      <c r="CI111" s="178" t="e">
        <f t="shared" si="122"/>
        <v>#DIV/0!</v>
      </c>
      <c r="CJ111" s="168" t="e">
        <f t="shared" si="122"/>
        <v>#DIV/0!</v>
      </c>
      <c r="CK111" s="169" t="e">
        <f t="shared" si="94"/>
        <v>#DIV/0!</v>
      </c>
      <c r="CL111" s="179" t="e">
        <f t="shared" si="95"/>
        <v>#DIV/0!</v>
      </c>
      <c r="CM111" s="180" t="e">
        <f t="shared" si="123"/>
        <v>#DIV/0!</v>
      </c>
      <c r="CN111" s="178" t="e">
        <f t="shared" si="123"/>
        <v>#DIV/0!</v>
      </c>
      <c r="CO111" s="178" t="e">
        <f t="shared" si="123"/>
        <v>#DIV/0!</v>
      </c>
      <c r="CP111" s="178" t="e">
        <f t="shared" si="123"/>
        <v>#DIV/0!</v>
      </c>
      <c r="CQ111" s="178" t="e">
        <f t="shared" si="123"/>
        <v>#DIV/0!</v>
      </c>
      <c r="CR111" s="178" t="e">
        <f t="shared" si="123"/>
        <v>#DIV/0!</v>
      </c>
      <c r="CS111" s="178" t="e">
        <f t="shared" si="123"/>
        <v>#DIV/0!</v>
      </c>
      <c r="CT111" s="178" t="e">
        <f t="shared" si="123"/>
        <v>#DIV/0!</v>
      </c>
      <c r="CU111" s="178" t="e">
        <f t="shared" si="123"/>
        <v>#DIV/0!</v>
      </c>
      <c r="CV111" s="178" t="e">
        <f t="shared" si="123"/>
        <v>#DIV/0!</v>
      </c>
      <c r="CW111" s="178" t="e">
        <f t="shared" si="123"/>
        <v>#DIV/0!</v>
      </c>
      <c r="CX111" s="168" t="e">
        <f t="shared" si="123"/>
        <v>#DIV/0!</v>
      </c>
      <c r="CY111" s="169" t="e">
        <f t="shared" si="96"/>
        <v>#DIV/0!</v>
      </c>
      <c r="CZ111" s="179" t="e">
        <f t="shared" si="97"/>
        <v>#DIV/0!</v>
      </c>
      <c r="DA111" s="180" t="e">
        <f t="shared" si="124"/>
        <v>#DIV/0!</v>
      </c>
      <c r="DB111" s="178" t="e">
        <f t="shared" si="124"/>
        <v>#DIV/0!</v>
      </c>
      <c r="DC111" s="178" t="e">
        <f t="shared" si="124"/>
        <v>#DIV/0!</v>
      </c>
      <c r="DD111" s="178" t="e">
        <f t="shared" si="124"/>
        <v>#DIV/0!</v>
      </c>
      <c r="DE111" s="178" t="e">
        <f t="shared" si="124"/>
        <v>#DIV/0!</v>
      </c>
      <c r="DF111" s="178" t="e">
        <f t="shared" si="124"/>
        <v>#DIV/0!</v>
      </c>
      <c r="DG111" s="178" t="e">
        <f t="shared" si="124"/>
        <v>#DIV/0!</v>
      </c>
      <c r="DH111" s="178" t="e">
        <f t="shared" si="124"/>
        <v>#DIV/0!</v>
      </c>
      <c r="DI111" s="178" t="e">
        <f t="shared" si="124"/>
        <v>#DIV/0!</v>
      </c>
      <c r="DJ111" s="178" t="e">
        <f t="shared" si="124"/>
        <v>#DIV/0!</v>
      </c>
      <c r="DK111" s="178" t="e">
        <f t="shared" si="124"/>
        <v>#DIV/0!</v>
      </c>
      <c r="DL111" s="168" t="e">
        <f t="shared" si="124"/>
        <v>#DIV/0!</v>
      </c>
      <c r="DM111" s="169" t="e">
        <f t="shared" si="98"/>
        <v>#DIV/0!</v>
      </c>
      <c r="DN111" s="171" t="e">
        <f t="shared" si="99"/>
        <v>#DIV/0!</v>
      </c>
      <c r="DO111" s="180" t="e">
        <f t="shared" si="125"/>
        <v>#DIV/0!</v>
      </c>
      <c r="DP111" s="178" t="e">
        <f t="shared" si="125"/>
        <v>#DIV/0!</v>
      </c>
      <c r="DQ111" s="178" t="e">
        <f t="shared" si="125"/>
        <v>#DIV/0!</v>
      </c>
      <c r="DR111" s="178" t="e">
        <f t="shared" si="125"/>
        <v>#DIV/0!</v>
      </c>
      <c r="DS111" s="178" t="e">
        <f t="shared" si="125"/>
        <v>#DIV/0!</v>
      </c>
      <c r="DT111" s="178" t="e">
        <f t="shared" si="125"/>
        <v>#DIV/0!</v>
      </c>
      <c r="DU111" s="178" t="e">
        <f t="shared" si="125"/>
        <v>#DIV/0!</v>
      </c>
      <c r="DV111" s="178" t="e">
        <f t="shared" si="125"/>
        <v>#DIV/0!</v>
      </c>
      <c r="DW111" s="178" t="e">
        <f t="shared" si="125"/>
        <v>#DIV/0!</v>
      </c>
      <c r="DX111" s="178" t="e">
        <f t="shared" si="125"/>
        <v>#DIV/0!</v>
      </c>
      <c r="DY111" s="178" t="e">
        <f t="shared" si="125"/>
        <v>#DIV/0!</v>
      </c>
      <c r="DZ111" s="168" t="e">
        <f t="shared" si="125"/>
        <v>#DIV/0!</v>
      </c>
      <c r="EA111" s="169" t="e">
        <f t="shared" si="100"/>
        <v>#DIV/0!</v>
      </c>
      <c r="EB111" s="171" t="e">
        <f t="shared" si="101"/>
        <v>#DIV/0!</v>
      </c>
    </row>
    <row r="112" spans="1:132" s="177" customFormat="1" ht="15.75">
      <c r="A112" s="183"/>
      <c r="B112" s="164"/>
      <c r="C112" s="184"/>
      <c r="D112" s="185"/>
      <c r="E112" s="167"/>
      <c r="F112" s="168" t="e">
        <f t="shared" si="83"/>
        <v>#DIV/0!</v>
      </c>
      <c r="G112" s="169" t="e">
        <f t="shared" si="128"/>
        <v>#DIV/0!</v>
      </c>
      <c r="H112" s="178" t="e">
        <f t="shared" si="128"/>
        <v>#DIV/0!</v>
      </c>
      <c r="I112" s="178" t="e">
        <f t="shared" si="128"/>
        <v>#DIV/0!</v>
      </c>
      <c r="J112" s="178" t="e">
        <f t="shared" si="128"/>
        <v>#DIV/0!</v>
      </c>
      <c r="K112" s="178" t="e">
        <f t="shared" si="128"/>
        <v>#DIV/0!</v>
      </c>
      <c r="L112" s="178" t="e">
        <f t="shared" si="128"/>
        <v>#DIV/0!</v>
      </c>
      <c r="M112" s="178" t="e">
        <f t="shared" si="128"/>
        <v>#DIV/0!</v>
      </c>
      <c r="N112" s="178" t="e">
        <f t="shared" si="128"/>
        <v>#DIV/0!</v>
      </c>
      <c r="O112" s="178" t="e">
        <f t="shared" si="128"/>
        <v>#DIV/0!</v>
      </c>
      <c r="P112" s="178" t="e">
        <f t="shared" si="128"/>
        <v>#DIV/0!</v>
      </c>
      <c r="Q112" s="178" t="e">
        <f t="shared" si="128"/>
        <v>#DIV/0!</v>
      </c>
      <c r="R112" s="179" t="e">
        <f t="shared" si="128"/>
        <v>#DIV/0!</v>
      </c>
      <c r="S112" s="169" t="e">
        <f t="shared" si="84"/>
        <v>#DIV/0!</v>
      </c>
      <c r="T112" s="179" t="e">
        <f t="shared" si="85"/>
        <v>#DIV/0!</v>
      </c>
      <c r="U112" s="180" t="e">
        <f t="shared" si="119"/>
        <v>#DIV/0!</v>
      </c>
      <c r="V112" s="178" t="e">
        <f t="shared" si="119"/>
        <v>#DIV/0!</v>
      </c>
      <c r="W112" s="178" t="e">
        <f t="shared" si="119"/>
        <v>#DIV/0!</v>
      </c>
      <c r="X112" s="178" t="e">
        <f t="shared" si="119"/>
        <v>#DIV/0!</v>
      </c>
      <c r="Y112" s="178" t="e">
        <f t="shared" si="119"/>
        <v>#DIV/0!</v>
      </c>
      <c r="Z112" s="178" t="e">
        <f t="shared" si="119"/>
        <v>#DIV/0!</v>
      </c>
      <c r="AA112" s="178" t="e">
        <f t="shared" si="119"/>
        <v>#DIV/0!</v>
      </c>
      <c r="AB112" s="178" t="e">
        <f t="shared" si="119"/>
        <v>#DIV/0!</v>
      </c>
      <c r="AC112" s="178" t="e">
        <f t="shared" si="119"/>
        <v>#DIV/0!</v>
      </c>
      <c r="AD112" s="178" t="e">
        <f t="shared" si="119"/>
        <v>#DIV/0!</v>
      </c>
      <c r="AE112" s="178" t="e">
        <f t="shared" si="119"/>
        <v>#DIV/0!</v>
      </c>
      <c r="AF112" s="168" t="e">
        <f t="shared" si="119"/>
        <v>#DIV/0!</v>
      </c>
      <c r="AG112" s="169" t="e">
        <f t="shared" si="86"/>
        <v>#DIV/0!</v>
      </c>
      <c r="AH112" s="179" t="e">
        <f t="shared" si="87"/>
        <v>#DIV/0!</v>
      </c>
      <c r="AI112" s="180" t="e">
        <f t="shared" si="104"/>
        <v>#DIV/0!</v>
      </c>
      <c r="AJ112" s="178" t="e">
        <f t="shared" si="104"/>
        <v>#DIV/0!</v>
      </c>
      <c r="AK112" s="178" t="e">
        <f t="shared" si="104"/>
        <v>#DIV/0!</v>
      </c>
      <c r="AL112" s="178" t="e">
        <f t="shared" si="104"/>
        <v>#DIV/0!</v>
      </c>
      <c r="AM112" s="178" t="e">
        <f t="shared" si="104"/>
        <v>#DIV/0!</v>
      </c>
      <c r="AN112" s="178" t="e">
        <f t="shared" si="104"/>
        <v>#DIV/0!</v>
      </c>
      <c r="AO112" s="178" t="e">
        <f t="shared" si="104"/>
        <v>#DIV/0!</v>
      </c>
      <c r="AP112" s="178" t="e">
        <f t="shared" si="104"/>
        <v>#DIV/0!</v>
      </c>
      <c r="AQ112" s="178" t="e">
        <f t="shared" si="104"/>
        <v>#DIV/0!</v>
      </c>
      <c r="AR112" s="178" t="e">
        <f t="shared" si="104"/>
        <v>#DIV/0!</v>
      </c>
      <c r="AS112" s="178" t="e">
        <f t="shared" si="104"/>
        <v>#DIV/0!</v>
      </c>
      <c r="AT112" s="168" t="e">
        <f t="shared" si="104"/>
        <v>#DIV/0!</v>
      </c>
      <c r="AU112" s="169" t="e">
        <f t="shared" si="88"/>
        <v>#DIV/0!</v>
      </c>
      <c r="AV112" s="179" t="e">
        <f t="shared" si="89"/>
        <v>#DIV/0!</v>
      </c>
      <c r="AW112" s="180" t="e">
        <f t="shared" si="120"/>
        <v>#DIV/0!</v>
      </c>
      <c r="AX112" s="178" t="e">
        <f t="shared" si="120"/>
        <v>#DIV/0!</v>
      </c>
      <c r="AY112" s="178" t="e">
        <f t="shared" si="120"/>
        <v>#DIV/0!</v>
      </c>
      <c r="AZ112" s="178" t="e">
        <f t="shared" si="120"/>
        <v>#DIV/0!</v>
      </c>
      <c r="BA112" s="178" t="e">
        <f t="shared" si="120"/>
        <v>#DIV/0!</v>
      </c>
      <c r="BB112" s="178" t="e">
        <f t="shared" si="120"/>
        <v>#DIV/0!</v>
      </c>
      <c r="BC112" s="178" t="e">
        <f t="shared" si="120"/>
        <v>#DIV/0!</v>
      </c>
      <c r="BD112" s="178" t="e">
        <f t="shared" si="120"/>
        <v>#DIV/0!</v>
      </c>
      <c r="BE112" s="178" t="e">
        <f t="shared" si="120"/>
        <v>#DIV/0!</v>
      </c>
      <c r="BF112" s="178" t="e">
        <f t="shared" si="120"/>
        <v>#DIV/0!</v>
      </c>
      <c r="BG112" s="178" t="e">
        <f t="shared" si="120"/>
        <v>#DIV/0!</v>
      </c>
      <c r="BH112" s="168" t="e">
        <f t="shared" si="120"/>
        <v>#DIV/0!</v>
      </c>
      <c r="BI112" s="169" t="e">
        <f t="shared" si="90"/>
        <v>#DIV/0!</v>
      </c>
      <c r="BJ112" s="179" t="e">
        <f t="shared" si="91"/>
        <v>#DIV/0!</v>
      </c>
      <c r="BK112" s="180" t="e">
        <f t="shared" si="121"/>
        <v>#DIV/0!</v>
      </c>
      <c r="BL112" s="178" t="e">
        <f t="shared" si="121"/>
        <v>#DIV/0!</v>
      </c>
      <c r="BM112" s="178" t="e">
        <f t="shared" si="121"/>
        <v>#DIV/0!</v>
      </c>
      <c r="BN112" s="178" t="e">
        <f t="shared" si="121"/>
        <v>#DIV/0!</v>
      </c>
      <c r="BO112" s="178" t="e">
        <f t="shared" si="121"/>
        <v>#DIV/0!</v>
      </c>
      <c r="BP112" s="178" t="e">
        <f t="shared" si="121"/>
        <v>#DIV/0!</v>
      </c>
      <c r="BQ112" s="178" t="e">
        <f t="shared" si="121"/>
        <v>#DIV/0!</v>
      </c>
      <c r="BR112" s="178" t="e">
        <f t="shared" si="121"/>
        <v>#DIV/0!</v>
      </c>
      <c r="BS112" s="178" t="e">
        <f t="shared" si="121"/>
        <v>#DIV/0!</v>
      </c>
      <c r="BT112" s="178" t="e">
        <f t="shared" si="121"/>
        <v>#DIV/0!</v>
      </c>
      <c r="BU112" s="178" t="e">
        <f t="shared" si="121"/>
        <v>#DIV/0!</v>
      </c>
      <c r="BV112" s="168" t="e">
        <f t="shared" si="121"/>
        <v>#DIV/0!</v>
      </c>
      <c r="BW112" s="169" t="e">
        <f t="shared" si="92"/>
        <v>#DIV/0!</v>
      </c>
      <c r="BX112" s="179" t="e">
        <f t="shared" si="93"/>
        <v>#DIV/0!</v>
      </c>
      <c r="BY112" s="180" t="e">
        <f t="shared" si="122"/>
        <v>#DIV/0!</v>
      </c>
      <c r="BZ112" s="178" t="e">
        <f t="shared" si="122"/>
        <v>#DIV/0!</v>
      </c>
      <c r="CA112" s="178" t="e">
        <f t="shared" si="122"/>
        <v>#DIV/0!</v>
      </c>
      <c r="CB112" s="178" t="e">
        <f t="shared" si="122"/>
        <v>#DIV/0!</v>
      </c>
      <c r="CC112" s="178" t="e">
        <f t="shared" si="122"/>
        <v>#DIV/0!</v>
      </c>
      <c r="CD112" s="178" t="e">
        <f t="shared" si="122"/>
        <v>#DIV/0!</v>
      </c>
      <c r="CE112" s="178" t="e">
        <f t="shared" si="122"/>
        <v>#DIV/0!</v>
      </c>
      <c r="CF112" s="178" t="e">
        <f t="shared" si="122"/>
        <v>#DIV/0!</v>
      </c>
      <c r="CG112" s="178" t="e">
        <f t="shared" si="122"/>
        <v>#DIV/0!</v>
      </c>
      <c r="CH112" s="178" t="e">
        <f t="shared" si="122"/>
        <v>#DIV/0!</v>
      </c>
      <c r="CI112" s="178" t="e">
        <f t="shared" si="122"/>
        <v>#DIV/0!</v>
      </c>
      <c r="CJ112" s="168" t="e">
        <f t="shared" si="122"/>
        <v>#DIV/0!</v>
      </c>
      <c r="CK112" s="169" t="e">
        <f t="shared" si="94"/>
        <v>#DIV/0!</v>
      </c>
      <c r="CL112" s="179" t="e">
        <f t="shared" si="95"/>
        <v>#DIV/0!</v>
      </c>
      <c r="CM112" s="180" t="e">
        <f t="shared" si="123"/>
        <v>#DIV/0!</v>
      </c>
      <c r="CN112" s="178" t="e">
        <f t="shared" si="123"/>
        <v>#DIV/0!</v>
      </c>
      <c r="CO112" s="178" t="e">
        <f t="shared" si="123"/>
        <v>#DIV/0!</v>
      </c>
      <c r="CP112" s="178" t="e">
        <f t="shared" si="123"/>
        <v>#DIV/0!</v>
      </c>
      <c r="CQ112" s="178" t="e">
        <f t="shared" si="123"/>
        <v>#DIV/0!</v>
      </c>
      <c r="CR112" s="178" t="e">
        <f t="shared" si="123"/>
        <v>#DIV/0!</v>
      </c>
      <c r="CS112" s="178" t="e">
        <f t="shared" si="123"/>
        <v>#DIV/0!</v>
      </c>
      <c r="CT112" s="178" t="e">
        <f t="shared" si="123"/>
        <v>#DIV/0!</v>
      </c>
      <c r="CU112" s="178" t="e">
        <f t="shared" si="123"/>
        <v>#DIV/0!</v>
      </c>
      <c r="CV112" s="178" t="e">
        <f t="shared" si="123"/>
        <v>#DIV/0!</v>
      </c>
      <c r="CW112" s="178" t="e">
        <f t="shared" si="123"/>
        <v>#DIV/0!</v>
      </c>
      <c r="CX112" s="168" t="e">
        <f t="shared" si="123"/>
        <v>#DIV/0!</v>
      </c>
      <c r="CY112" s="169" t="e">
        <f t="shared" si="96"/>
        <v>#DIV/0!</v>
      </c>
      <c r="CZ112" s="179" t="e">
        <f t="shared" si="97"/>
        <v>#DIV/0!</v>
      </c>
      <c r="DA112" s="180" t="e">
        <f t="shared" si="124"/>
        <v>#DIV/0!</v>
      </c>
      <c r="DB112" s="178" t="e">
        <f t="shared" si="124"/>
        <v>#DIV/0!</v>
      </c>
      <c r="DC112" s="178" t="e">
        <f t="shared" si="124"/>
        <v>#DIV/0!</v>
      </c>
      <c r="DD112" s="178" t="e">
        <f t="shared" si="124"/>
        <v>#DIV/0!</v>
      </c>
      <c r="DE112" s="178" t="e">
        <f t="shared" si="124"/>
        <v>#DIV/0!</v>
      </c>
      <c r="DF112" s="178" t="e">
        <f t="shared" si="124"/>
        <v>#DIV/0!</v>
      </c>
      <c r="DG112" s="178" t="e">
        <f t="shared" si="124"/>
        <v>#DIV/0!</v>
      </c>
      <c r="DH112" s="178" t="e">
        <f t="shared" si="124"/>
        <v>#DIV/0!</v>
      </c>
      <c r="DI112" s="178" t="e">
        <f t="shared" si="124"/>
        <v>#DIV/0!</v>
      </c>
      <c r="DJ112" s="178" t="e">
        <f t="shared" si="124"/>
        <v>#DIV/0!</v>
      </c>
      <c r="DK112" s="178" t="e">
        <f t="shared" si="124"/>
        <v>#DIV/0!</v>
      </c>
      <c r="DL112" s="168" t="e">
        <f t="shared" si="124"/>
        <v>#DIV/0!</v>
      </c>
      <c r="DM112" s="169" t="e">
        <f t="shared" si="98"/>
        <v>#DIV/0!</v>
      </c>
      <c r="DN112" s="171" t="e">
        <f t="shared" si="99"/>
        <v>#DIV/0!</v>
      </c>
      <c r="DO112" s="180" t="e">
        <f t="shared" si="125"/>
        <v>#DIV/0!</v>
      </c>
      <c r="DP112" s="178" t="e">
        <f t="shared" si="125"/>
        <v>#DIV/0!</v>
      </c>
      <c r="DQ112" s="178" t="e">
        <f t="shared" si="125"/>
        <v>#DIV/0!</v>
      </c>
      <c r="DR112" s="178" t="e">
        <f t="shared" si="125"/>
        <v>#DIV/0!</v>
      </c>
      <c r="DS112" s="178" t="e">
        <f t="shared" si="125"/>
        <v>#DIV/0!</v>
      </c>
      <c r="DT112" s="178" t="e">
        <f t="shared" si="125"/>
        <v>#DIV/0!</v>
      </c>
      <c r="DU112" s="178" t="e">
        <f t="shared" si="125"/>
        <v>#DIV/0!</v>
      </c>
      <c r="DV112" s="178" t="e">
        <f t="shared" si="125"/>
        <v>#DIV/0!</v>
      </c>
      <c r="DW112" s="178" t="e">
        <f t="shared" si="125"/>
        <v>#DIV/0!</v>
      </c>
      <c r="DX112" s="178" t="e">
        <f t="shared" si="125"/>
        <v>#DIV/0!</v>
      </c>
      <c r="DY112" s="178" t="e">
        <f t="shared" si="125"/>
        <v>#DIV/0!</v>
      </c>
      <c r="DZ112" s="168" t="e">
        <f t="shared" si="125"/>
        <v>#DIV/0!</v>
      </c>
      <c r="EA112" s="169" t="e">
        <f t="shared" si="100"/>
        <v>#DIV/0!</v>
      </c>
      <c r="EB112" s="171" t="e">
        <f t="shared" si="101"/>
        <v>#DIV/0!</v>
      </c>
    </row>
    <row r="113" spans="1:132" s="177" customFormat="1" ht="15.75">
      <c r="A113" s="183"/>
      <c r="B113" s="164"/>
      <c r="C113" s="184"/>
      <c r="D113" s="185"/>
      <c r="E113" s="167"/>
      <c r="F113" s="168" t="e">
        <f t="shared" si="83"/>
        <v>#DIV/0!</v>
      </c>
      <c r="G113" s="169" t="e">
        <f t="shared" si="128"/>
        <v>#DIV/0!</v>
      </c>
      <c r="H113" s="178" t="e">
        <f t="shared" si="128"/>
        <v>#DIV/0!</v>
      </c>
      <c r="I113" s="178" t="e">
        <f t="shared" si="128"/>
        <v>#DIV/0!</v>
      </c>
      <c r="J113" s="178" t="e">
        <f t="shared" si="128"/>
        <v>#DIV/0!</v>
      </c>
      <c r="K113" s="178" t="e">
        <f t="shared" si="128"/>
        <v>#DIV/0!</v>
      </c>
      <c r="L113" s="178" t="e">
        <f t="shared" si="128"/>
        <v>#DIV/0!</v>
      </c>
      <c r="M113" s="178" t="e">
        <f t="shared" si="128"/>
        <v>#DIV/0!</v>
      </c>
      <c r="N113" s="178" t="e">
        <f t="shared" si="128"/>
        <v>#DIV/0!</v>
      </c>
      <c r="O113" s="178" t="e">
        <f t="shared" si="128"/>
        <v>#DIV/0!</v>
      </c>
      <c r="P113" s="178" t="e">
        <f t="shared" si="128"/>
        <v>#DIV/0!</v>
      </c>
      <c r="Q113" s="178" t="e">
        <f t="shared" si="128"/>
        <v>#DIV/0!</v>
      </c>
      <c r="R113" s="179" t="e">
        <f t="shared" si="128"/>
        <v>#DIV/0!</v>
      </c>
      <c r="S113" s="169" t="e">
        <f t="shared" si="84"/>
        <v>#DIV/0!</v>
      </c>
      <c r="T113" s="179" t="e">
        <f t="shared" si="85"/>
        <v>#DIV/0!</v>
      </c>
      <c r="U113" s="180" t="e">
        <f t="shared" si="119"/>
        <v>#DIV/0!</v>
      </c>
      <c r="V113" s="178" t="e">
        <f t="shared" si="119"/>
        <v>#DIV/0!</v>
      </c>
      <c r="W113" s="178" t="e">
        <f t="shared" si="119"/>
        <v>#DIV/0!</v>
      </c>
      <c r="X113" s="178" t="e">
        <f t="shared" si="119"/>
        <v>#DIV/0!</v>
      </c>
      <c r="Y113" s="178" t="e">
        <f t="shared" si="119"/>
        <v>#DIV/0!</v>
      </c>
      <c r="Z113" s="178" t="e">
        <f t="shared" si="119"/>
        <v>#DIV/0!</v>
      </c>
      <c r="AA113" s="178" t="e">
        <f t="shared" si="119"/>
        <v>#DIV/0!</v>
      </c>
      <c r="AB113" s="178" t="e">
        <f t="shared" si="119"/>
        <v>#DIV/0!</v>
      </c>
      <c r="AC113" s="178" t="e">
        <f t="shared" si="119"/>
        <v>#DIV/0!</v>
      </c>
      <c r="AD113" s="178" t="e">
        <f t="shared" si="119"/>
        <v>#DIV/0!</v>
      </c>
      <c r="AE113" s="178" t="e">
        <f t="shared" si="119"/>
        <v>#DIV/0!</v>
      </c>
      <c r="AF113" s="168" t="e">
        <f t="shared" si="119"/>
        <v>#DIV/0!</v>
      </c>
      <c r="AG113" s="169" t="e">
        <f t="shared" si="86"/>
        <v>#DIV/0!</v>
      </c>
      <c r="AH113" s="179" t="e">
        <f t="shared" si="87"/>
        <v>#DIV/0!</v>
      </c>
      <c r="AI113" s="180" t="e">
        <f t="shared" si="104"/>
        <v>#DIV/0!</v>
      </c>
      <c r="AJ113" s="178" t="e">
        <f t="shared" si="104"/>
        <v>#DIV/0!</v>
      </c>
      <c r="AK113" s="178" t="e">
        <f t="shared" si="104"/>
        <v>#DIV/0!</v>
      </c>
      <c r="AL113" s="178" t="e">
        <f t="shared" si="104"/>
        <v>#DIV/0!</v>
      </c>
      <c r="AM113" s="178" t="e">
        <f t="shared" si="104"/>
        <v>#DIV/0!</v>
      </c>
      <c r="AN113" s="178" t="e">
        <f t="shared" si="104"/>
        <v>#DIV/0!</v>
      </c>
      <c r="AO113" s="178" t="e">
        <f t="shared" si="104"/>
        <v>#DIV/0!</v>
      </c>
      <c r="AP113" s="178" t="e">
        <f t="shared" si="104"/>
        <v>#DIV/0!</v>
      </c>
      <c r="AQ113" s="178" t="e">
        <f t="shared" si="104"/>
        <v>#DIV/0!</v>
      </c>
      <c r="AR113" s="178" t="e">
        <f t="shared" si="104"/>
        <v>#DIV/0!</v>
      </c>
      <c r="AS113" s="178" t="e">
        <f t="shared" si="104"/>
        <v>#DIV/0!</v>
      </c>
      <c r="AT113" s="168" t="e">
        <f t="shared" si="104"/>
        <v>#DIV/0!</v>
      </c>
      <c r="AU113" s="169" t="e">
        <f t="shared" si="88"/>
        <v>#DIV/0!</v>
      </c>
      <c r="AV113" s="179" t="e">
        <f t="shared" si="89"/>
        <v>#DIV/0!</v>
      </c>
      <c r="AW113" s="180" t="e">
        <f t="shared" si="120"/>
        <v>#DIV/0!</v>
      </c>
      <c r="AX113" s="178" t="e">
        <f t="shared" si="120"/>
        <v>#DIV/0!</v>
      </c>
      <c r="AY113" s="178" t="e">
        <f t="shared" si="120"/>
        <v>#DIV/0!</v>
      </c>
      <c r="AZ113" s="178" t="e">
        <f t="shared" si="120"/>
        <v>#DIV/0!</v>
      </c>
      <c r="BA113" s="178" t="e">
        <f t="shared" si="120"/>
        <v>#DIV/0!</v>
      </c>
      <c r="BB113" s="178" t="e">
        <f t="shared" si="120"/>
        <v>#DIV/0!</v>
      </c>
      <c r="BC113" s="178" t="e">
        <f t="shared" si="120"/>
        <v>#DIV/0!</v>
      </c>
      <c r="BD113" s="178" t="e">
        <f t="shared" si="120"/>
        <v>#DIV/0!</v>
      </c>
      <c r="BE113" s="178" t="e">
        <f t="shared" si="120"/>
        <v>#DIV/0!</v>
      </c>
      <c r="BF113" s="178" t="e">
        <f t="shared" si="120"/>
        <v>#DIV/0!</v>
      </c>
      <c r="BG113" s="178" t="e">
        <f t="shared" si="120"/>
        <v>#DIV/0!</v>
      </c>
      <c r="BH113" s="168" t="e">
        <f t="shared" si="120"/>
        <v>#DIV/0!</v>
      </c>
      <c r="BI113" s="169" t="e">
        <f t="shared" si="90"/>
        <v>#DIV/0!</v>
      </c>
      <c r="BJ113" s="179" t="e">
        <f t="shared" si="91"/>
        <v>#DIV/0!</v>
      </c>
      <c r="BK113" s="180" t="e">
        <f t="shared" si="121"/>
        <v>#DIV/0!</v>
      </c>
      <c r="BL113" s="178" t="e">
        <f t="shared" si="121"/>
        <v>#DIV/0!</v>
      </c>
      <c r="BM113" s="178" t="e">
        <f t="shared" si="121"/>
        <v>#DIV/0!</v>
      </c>
      <c r="BN113" s="178" t="e">
        <f t="shared" si="121"/>
        <v>#DIV/0!</v>
      </c>
      <c r="BO113" s="178" t="e">
        <f t="shared" si="121"/>
        <v>#DIV/0!</v>
      </c>
      <c r="BP113" s="178" t="e">
        <f t="shared" si="121"/>
        <v>#DIV/0!</v>
      </c>
      <c r="BQ113" s="178" t="e">
        <f t="shared" si="121"/>
        <v>#DIV/0!</v>
      </c>
      <c r="BR113" s="178" t="e">
        <f t="shared" si="121"/>
        <v>#DIV/0!</v>
      </c>
      <c r="BS113" s="178" t="e">
        <f t="shared" si="121"/>
        <v>#DIV/0!</v>
      </c>
      <c r="BT113" s="178" t="e">
        <f t="shared" si="121"/>
        <v>#DIV/0!</v>
      </c>
      <c r="BU113" s="178" t="e">
        <f t="shared" si="121"/>
        <v>#DIV/0!</v>
      </c>
      <c r="BV113" s="168" t="e">
        <f t="shared" si="121"/>
        <v>#DIV/0!</v>
      </c>
      <c r="BW113" s="169" t="e">
        <f t="shared" si="92"/>
        <v>#DIV/0!</v>
      </c>
      <c r="BX113" s="179" t="e">
        <f t="shared" si="93"/>
        <v>#DIV/0!</v>
      </c>
      <c r="BY113" s="180" t="e">
        <f t="shared" si="122"/>
        <v>#DIV/0!</v>
      </c>
      <c r="BZ113" s="178" t="e">
        <f t="shared" si="122"/>
        <v>#DIV/0!</v>
      </c>
      <c r="CA113" s="178" t="e">
        <f t="shared" si="122"/>
        <v>#DIV/0!</v>
      </c>
      <c r="CB113" s="178" t="e">
        <f t="shared" si="122"/>
        <v>#DIV/0!</v>
      </c>
      <c r="CC113" s="178" t="e">
        <f t="shared" si="122"/>
        <v>#DIV/0!</v>
      </c>
      <c r="CD113" s="178" t="e">
        <f t="shared" si="122"/>
        <v>#DIV/0!</v>
      </c>
      <c r="CE113" s="178" t="e">
        <f t="shared" si="122"/>
        <v>#DIV/0!</v>
      </c>
      <c r="CF113" s="178" t="e">
        <f t="shared" si="122"/>
        <v>#DIV/0!</v>
      </c>
      <c r="CG113" s="178" t="e">
        <f t="shared" si="122"/>
        <v>#DIV/0!</v>
      </c>
      <c r="CH113" s="178" t="e">
        <f t="shared" si="122"/>
        <v>#DIV/0!</v>
      </c>
      <c r="CI113" s="178" t="e">
        <f t="shared" si="122"/>
        <v>#DIV/0!</v>
      </c>
      <c r="CJ113" s="168" t="e">
        <f t="shared" si="122"/>
        <v>#DIV/0!</v>
      </c>
      <c r="CK113" s="169" t="e">
        <f t="shared" si="94"/>
        <v>#DIV/0!</v>
      </c>
      <c r="CL113" s="179" t="e">
        <f t="shared" si="95"/>
        <v>#DIV/0!</v>
      </c>
      <c r="CM113" s="180" t="e">
        <f t="shared" si="123"/>
        <v>#DIV/0!</v>
      </c>
      <c r="CN113" s="178" t="e">
        <f t="shared" si="123"/>
        <v>#DIV/0!</v>
      </c>
      <c r="CO113" s="178" t="e">
        <f t="shared" si="123"/>
        <v>#DIV/0!</v>
      </c>
      <c r="CP113" s="178" t="e">
        <f t="shared" si="123"/>
        <v>#DIV/0!</v>
      </c>
      <c r="CQ113" s="178" t="e">
        <f t="shared" si="123"/>
        <v>#DIV/0!</v>
      </c>
      <c r="CR113" s="178" t="e">
        <f t="shared" si="123"/>
        <v>#DIV/0!</v>
      </c>
      <c r="CS113" s="178" t="e">
        <f t="shared" si="123"/>
        <v>#DIV/0!</v>
      </c>
      <c r="CT113" s="178" t="e">
        <f t="shared" si="123"/>
        <v>#DIV/0!</v>
      </c>
      <c r="CU113" s="178" t="e">
        <f t="shared" si="123"/>
        <v>#DIV/0!</v>
      </c>
      <c r="CV113" s="178" t="e">
        <f t="shared" si="123"/>
        <v>#DIV/0!</v>
      </c>
      <c r="CW113" s="178" t="e">
        <f t="shared" si="123"/>
        <v>#DIV/0!</v>
      </c>
      <c r="CX113" s="168" t="e">
        <f t="shared" si="123"/>
        <v>#DIV/0!</v>
      </c>
      <c r="CY113" s="169" t="e">
        <f t="shared" si="96"/>
        <v>#DIV/0!</v>
      </c>
      <c r="CZ113" s="179" t="e">
        <f t="shared" si="97"/>
        <v>#DIV/0!</v>
      </c>
      <c r="DA113" s="180" t="e">
        <f t="shared" si="124"/>
        <v>#DIV/0!</v>
      </c>
      <c r="DB113" s="178" t="e">
        <f t="shared" si="124"/>
        <v>#DIV/0!</v>
      </c>
      <c r="DC113" s="178" t="e">
        <f t="shared" si="124"/>
        <v>#DIV/0!</v>
      </c>
      <c r="DD113" s="178" t="e">
        <f t="shared" si="124"/>
        <v>#DIV/0!</v>
      </c>
      <c r="DE113" s="178" t="e">
        <f t="shared" si="124"/>
        <v>#DIV/0!</v>
      </c>
      <c r="DF113" s="178" t="e">
        <f t="shared" si="124"/>
        <v>#DIV/0!</v>
      </c>
      <c r="DG113" s="178" t="e">
        <f t="shared" si="124"/>
        <v>#DIV/0!</v>
      </c>
      <c r="DH113" s="178" t="e">
        <f t="shared" si="124"/>
        <v>#DIV/0!</v>
      </c>
      <c r="DI113" s="178" t="e">
        <f t="shared" si="124"/>
        <v>#DIV/0!</v>
      </c>
      <c r="DJ113" s="178" t="e">
        <f t="shared" si="124"/>
        <v>#DIV/0!</v>
      </c>
      <c r="DK113" s="178" t="e">
        <f t="shared" si="124"/>
        <v>#DIV/0!</v>
      </c>
      <c r="DL113" s="168" t="e">
        <f t="shared" si="124"/>
        <v>#DIV/0!</v>
      </c>
      <c r="DM113" s="169" t="e">
        <f t="shared" si="98"/>
        <v>#DIV/0!</v>
      </c>
      <c r="DN113" s="171" t="e">
        <f t="shared" si="99"/>
        <v>#DIV/0!</v>
      </c>
      <c r="DO113" s="180" t="e">
        <f t="shared" si="125"/>
        <v>#DIV/0!</v>
      </c>
      <c r="DP113" s="178" t="e">
        <f t="shared" si="125"/>
        <v>#DIV/0!</v>
      </c>
      <c r="DQ113" s="178" t="e">
        <f t="shared" si="125"/>
        <v>#DIV/0!</v>
      </c>
      <c r="DR113" s="178" t="e">
        <f t="shared" si="125"/>
        <v>#DIV/0!</v>
      </c>
      <c r="DS113" s="178" t="e">
        <f t="shared" si="125"/>
        <v>#DIV/0!</v>
      </c>
      <c r="DT113" s="178" t="e">
        <f t="shared" si="125"/>
        <v>#DIV/0!</v>
      </c>
      <c r="DU113" s="178" t="e">
        <f t="shared" si="125"/>
        <v>#DIV/0!</v>
      </c>
      <c r="DV113" s="178" t="e">
        <f t="shared" si="125"/>
        <v>#DIV/0!</v>
      </c>
      <c r="DW113" s="178" t="e">
        <f t="shared" si="125"/>
        <v>#DIV/0!</v>
      </c>
      <c r="DX113" s="178" t="e">
        <f t="shared" si="125"/>
        <v>#DIV/0!</v>
      </c>
      <c r="DY113" s="178" t="e">
        <f t="shared" si="125"/>
        <v>#DIV/0!</v>
      </c>
      <c r="DZ113" s="168" t="e">
        <f t="shared" si="125"/>
        <v>#DIV/0!</v>
      </c>
      <c r="EA113" s="169" t="e">
        <f t="shared" si="100"/>
        <v>#DIV/0!</v>
      </c>
      <c r="EB113" s="171" t="e">
        <f t="shared" si="101"/>
        <v>#DIV/0!</v>
      </c>
    </row>
    <row r="114" spans="1:132" s="177" customFormat="1" ht="15.75">
      <c r="A114" s="183"/>
      <c r="B114" s="164"/>
      <c r="C114" s="184"/>
      <c r="D114" s="186"/>
      <c r="E114" s="167"/>
      <c r="F114" s="168" t="e">
        <f t="shared" si="83"/>
        <v>#DIV/0!</v>
      </c>
      <c r="G114" s="169" t="e">
        <f t="shared" si="128"/>
        <v>#DIV/0!</v>
      </c>
      <c r="H114" s="178" t="e">
        <f t="shared" si="128"/>
        <v>#DIV/0!</v>
      </c>
      <c r="I114" s="178" t="e">
        <f t="shared" si="128"/>
        <v>#DIV/0!</v>
      </c>
      <c r="J114" s="178" t="e">
        <f t="shared" si="128"/>
        <v>#DIV/0!</v>
      </c>
      <c r="K114" s="178" t="e">
        <f t="shared" si="128"/>
        <v>#DIV/0!</v>
      </c>
      <c r="L114" s="178" t="e">
        <f t="shared" si="128"/>
        <v>#DIV/0!</v>
      </c>
      <c r="M114" s="178" t="e">
        <f t="shared" si="128"/>
        <v>#DIV/0!</v>
      </c>
      <c r="N114" s="178" t="e">
        <f t="shared" si="128"/>
        <v>#DIV/0!</v>
      </c>
      <c r="O114" s="178" t="e">
        <f t="shared" si="128"/>
        <v>#DIV/0!</v>
      </c>
      <c r="P114" s="178" t="e">
        <f t="shared" si="128"/>
        <v>#DIV/0!</v>
      </c>
      <c r="Q114" s="178" t="e">
        <f t="shared" si="128"/>
        <v>#DIV/0!</v>
      </c>
      <c r="R114" s="179" t="e">
        <f t="shared" si="128"/>
        <v>#DIV/0!</v>
      </c>
      <c r="S114" s="169" t="e">
        <f t="shared" si="84"/>
        <v>#DIV/0!</v>
      </c>
      <c r="T114" s="179" t="e">
        <f t="shared" si="85"/>
        <v>#DIV/0!</v>
      </c>
      <c r="U114" s="180" t="e">
        <f t="shared" si="119"/>
        <v>#DIV/0!</v>
      </c>
      <c r="V114" s="178" t="e">
        <f t="shared" si="119"/>
        <v>#DIV/0!</v>
      </c>
      <c r="W114" s="178" t="e">
        <f t="shared" si="119"/>
        <v>#DIV/0!</v>
      </c>
      <c r="X114" s="178" t="e">
        <f t="shared" si="119"/>
        <v>#DIV/0!</v>
      </c>
      <c r="Y114" s="178" t="e">
        <f t="shared" si="119"/>
        <v>#DIV/0!</v>
      </c>
      <c r="Z114" s="178" t="e">
        <f t="shared" si="119"/>
        <v>#DIV/0!</v>
      </c>
      <c r="AA114" s="178" t="e">
        <f t="shared" si="119"/>
        <v>#DIV/0!</v>
      </c>
      <c r="AB114" s="178" t="e">
        <f t="shared" si="119"/>
        <v>#DIV/0!</v>
      </c>
      <c r="AC114" s="178" t="e">
        <f t="shared" si="119"/>
        <v>#DIV/0!</v>
      </c>
      <c r="AD114" s="178" t="e">
        <f t="shared" si="119"/>
        <v>#DIV/0!</v>
      </c>
      <c r="AE114" s="178" t="e">
        <f t="shared" si="119"/>
        <v>#DIV/0!</v>
      </c>
      <c r="AF114" s="168" t="e">
        <f t="shared" si="119"/>
        <v>#DIV/0!</v>
      </c>
      <c r="AG114" s="169" t="e">
        <f t="shared" si="86"/>
        <v>#DIV/0!</v>
      </c>
      <c r="AH114" s="179" t="e">
        <f t="shared" si="87"/>
        <v>#DIV/0!</v>
      </c>
      <c r="AI114" s="180" t="e">
        <f t="shared" si="104"/>
        <v>#DIV/0!</v>
      </c>
      <c r="AJ114" s="178" t="e">
        <f t="shared" si="104"/>
        <v>#DIV/0!</v>
      </c>
      <c r="AK114" s="178" t="e">
        <f t="shared" si="104"/>
        <v>#DIV/0!</v>
      </c>
      <c r="AL114" s="178" t="e">
        <f t="shared" si="104"/>
        <v>#DIV/0!</v>
      </c>
      <c r="AM114" s="178" t="e">
        <f t="shared" si="104"/>
        <v>#DIV/0!</v>
      </c>
      <c r="AN114" s="178" t="e">
        <f t="shared" si="104"/>
        <v>#DIV/0!</v>
      </c>
      <c r="AO114" s="178" t="e">
        <f t="shared" si="104"/>
        <v>#DIV/0!</v>
      </c>
      <c r="AP114" s="178" t="e">
        <f t="shared" si="104"/>
        <v>#DIV/0!</v>
      </c>
      <c r="AQ114" s="178" t="e">
        <f t="shared" si="104"/>
        <v>#DIV/0!</v>
      </c>
      <c r="AR114" s="178" t="e">
        <f t="shared" si="104"/>
        <v>#DIV/0!</v>
      </c>
      <c r="AS114" s="178" t="e">
        <f t="shared" si="104"/>
        <v>#DIV/0!</v>
      </c>
      <c r="AT114" s="168" t="e">
        <f t="shared" si="104"/>
        <v>#DIV/0!</v>
      </c>
      <c r="AU114" s="169" t="e">
        <f t="shared" si="88"/>
        <v>#DIV/0!</v>
      </c>
      <c r="AV114" s="179" t="e">
        <f t="shared" si="89"/>
        <v>#DIV/0!</v>
      </c>
      <c r="AW114" s="180" t="e">
        <f t="shared" si="120"/>
        <v>#DIV/0!</v>
      </c>
      <c r="AX114" s="178" t="e">
        <f t="shared" si="120"/>
        <v>#DIV/0!</v>
      </c>
      <c r="AY114" s="178" t="e">
        <f t="shared" si="120"/>
        <v>#DIV/0!</v>
      </c>
      <c r="AZ114" s="178" t="e">
        <f t="shared" si="120"/>
        <v>#DIV/0!</v>
      </c>
      <c r="BA114" s="178" t="e">
        <f t="shared" si="120"/>
        <v>#DIV/0!</v>
      </c>
      <c r="BB114" s="178" t="e">
        <f t="shared" si="120"/>
        <v>#DIV/0!</v>
      </c>
      <c r="BC114" s="178" t="e">
        <f t="shared" si="120"/>
        <v>#DIV/0!</v>
      </c>
      <c r="BD114" s="178" t="e">
        <f t="shared" si="120"/>
        <v>#DIV/0!</v>
      </c>
      <c r="BE114" s="178" t="e">
        <f t="shared" si="120"/>
        <v>#DIV/0!</v>
      </c>
      <c r="BF114" s="178" t="e">
        <f t="shared" si="120"/>
        <v>#DIV/0!</v>
      </c>
      <c r="BG114" s="178" t="e">
        <f t="shared" si="120"/>
        <v>#DIV/0!</v>
      </c>
      <c r="BH114" s="168" t="e">
        <f t="shared" si="120"/>
        <v>#DIV/0!</v>
      </c>
      <c r="BI114" s="169" t="e">
        <f t="shared" si="90"/>
        <v>#DIV/0!</v>
      </c>
      <c r="BJ114" s="179" t="e">
        <f t="shared" si="91"/>
        <v>#DIV/0!</v>
      </c>
      <c r="BK114" s="180" t="e">
        <f t="shared" si="121"/>
        <v>#DIV/0!</v>
      </c>
      <c r="BL114" s="178" t="e">
        <f t="shared" si="121"/>
        <v>#DIV/0!</v>
      </c>
      <c r="BM114" s="178" t="e">
        <f t="shared" si="121"/>
        <v>#DIV/0!</v>
      </c>
      <c r="BN114" s="178" t="e">
        <f t="shared" si="121"/>
        <v>#DIV/0!</v>
      </c>
      <c r="BO114" s="178" t="e">
        <f t="shared" si="121"/>
        <v>#DIV/0!</v>
      </c>
      <c r="BP114" s="178" t="e">
        <f t="shared" si="121"/>
        <v>#DIV/0!</v>
      </c>
      <c r="BQ114" s="178" t="e">
        <f t="shared" si="121"/>
        <v>#DIV/0!</v>
      </c>
      <c r="BR114" s="178" t="e">
        <f t="shared" si="121"/>
        <v>#DIV/0!</v>
      </c>
      <c r="BS114" s="178" t="e">
        <f t="shared" si="121"/>
        <v>#DIV/0!</v>
      </c>
      <c r="BT114" s="178" t="e">
        <f t="shared" si="121"/>
        <v>#DIV/0!</v>
      </c>
      <c r="BU114" s="178" t="e">
        <f t="shared" si="121"/>
        <v>#DIV/0!</v>
      </c>
      <c r="BV114" s="168" t="e">
        <f t="shared" si="121"/>
        <v>#DIV/0!</v>
      </c>
      <c r="BW114" s="169" t="e">
        <f t="shared" si="92"/>
        <v>#DIV/0!</v>
      </c>
      <c r="BX114" s="179" t="e">
        <f t="shared" si="93"/>
        <v>#DIV/0!</v>
      </c>
      <c r="BY114" s="180" t="e">
        <f t="shared" si="122"/>
        <v>#DIV/0!</v>
      </c>
      <c r="BZ114" s="178" t="e">
        <f t="shared" si="122"/>
        <v>#DIV/0!</v>
      </c>
      <c r="CA114" s="178" t="e">
        <f t="shared" si="122"/>
        <v>#DIV/0!</v>
      </c>
      <c r="CB114" s="178" t="e">
        <f t="shared" si="122"/>
        <v>#DIV/0!</v>
      </c>
      <c r="CC114" s="178" t="e">
        <f t="shared" si="122"/>
        <v>#DIV/0!</v>
      </c>
      <c r="CD114" s="178" t="e">
        <f t="shared" si="122"/>
        <v>#DIV/0!</v>
      </c>
      <c r="CE114" s="178" t="e">
        <f t="shared" si="122"/>
        <v>#DIV/0!</v>
      </c>
      <c r="CF114" s="178" t="e">
        <f t="shared" si="122"/>
        <v>#DIV/0!</v>
      </c>
      <c r="CG114" s="178" t="e">
        <f t="shared" si="122"/>
        <v>#DIV/0!</v>
      </c>
      <c r="CH114" s="178" t="e">
        <f t="shared" si="122"/>
        <v>#DIV/0!</v>
      </c>
      <c r="CI114" s="178" t="e">
        <f t="shared" si="122"/>
        <v>#DIV/0!</v>
      </c>
      <c r="CJ114" s="168" t="e">
        <f t="shared" si="122"/>
        <v>#DIV/0!</v>
      </c>
      <c r="CK114" s="169" t="e">
        <f t="shared" si="94"/>
        <v>#DIV/0!</v>
      </c>
      <c r="CL114" s="179" t="e">
        <f t="shared" si="95"/>
        <v>#DIV/0!</v>
      </c>
      <c r="CM114" s="180" t="e">
        <f t="shared" si="123"/>
        <v>#DIV/0!</v>
      </c>
      <c r="CN114" s="178" t="e">
        <f t="shared" si="123"/>
        <v>#DIV/0!</v>
      </c>
      <c r="CO114" s="178" t="e">
        <f t="shared" si="123"/>
        <v>#DIV/0!</v>
      </c>
      <c r="CP114" s="178" t="e">
        <f t="shared" si="123"/>
        <v>#DIV/0!</v>
      </c>
      <c r="CQ114" s="178" t="e">
        <f t="shared" si="123"/>
        <v>#DIV/0!</v>
      </c>
      <c r="CR114" s="178" t="e">
        <f t="shared" si="123"/>
        <v>#DIV/0!</v>
      </c>
      <c r="CS114" s="178" t="e">
        <f t="shared" si="123"/>
        <v>#DIV/0!</v>
      </c>
      <c r="CT114" s="178" t="e">
        <f t="shared" si="123"/>
        <v>#DIV/0!</v>
      </c>
      <c r="CU114" s="178" t="e">
        <f t="shared" si="123"/>
        <v>#DIV/0!</v>
      </c>
      <c r="CV114" s="178" t="e">
        <f t="shared" si="123"/>
        <v>#DIV/0!</v>
      </c>
      <c r="CW114" s="178" t="e">
        <f t="shared" si="123"/>
        <v>#DIV/0!</v>
      </c>
      <c r="CX114" s="168" t="e">
        <f t="shared" si="123"/>
        <v>#DIV/0!</v>
      </c>
      <c r="CY114" s="169" t="e">
        <f t="shared" si="96"/>
        <v>#DIV/0!</v>
      </c>
      <c r="CZ114" s="179" t="e">
        <f t="shared" si="97"/>
        <v>#DIV/0!</v>
      </c>
      <c r="DA114" s="180" t="e">
        <f t="shared" si="124"/>
        <v>#DIV/0!</v>
      </c>
      <c r="DB114" s="178" t="e">
        <f t="shared" si="124"/>
        <v>#DIV/0!</v>
      </c>
      <c r="DC114" s="178" t="e">
        <f t="shared" si="124"/>
        <v>#DIV/0!</v>
      </c>
      <c r="DD114" s="178" t="e">
        <f t="shared" si="124"/>
        <v>#DIV/0!</v>
      </c>
      <c r="DE114" s="178" t="e">
        <f t="shared" si="124"/>
        <v>#DIV/0!</v>
      </c>
      <c r="DF114" s="178" t="e">
        <f t="shared" si="124"/>
        <v>#DIV/0!</v>
      </c>
      <c r="DG114" s="178" t="e">
        <f t="shared" si="124"/>
        <v>#DIV/0!</v>
      </c>
      <c r="DH114" s="178" t="e">
        <f t="shared" si="124"/>
        <v>#DIV/0!</v>
      </c>
      <c r="DI114" s="178" t="e">
        <f t="shared" si="124"/>
        <v>#DIV/0!</v>
      </c>
      <c r="DJ114" s="178" t="e">
        <f t="shared" si="124"/>
        <v>#DIV/0!</v>
      </c>
      <c r="DK114" s="178" t="e">
        <f t="shared" si="124"/>
        <v>#DIV/0!</v>
      </c>
      <c r="DL114" s="168" t="e">
        <f t="shared" si="124"/>
        <v>#DIV/0!</v>
      </c>
      <c r="DM114" s="169" t="e">
        <f t="shared" si="98"/>
        <v>#DIV/0!</v>
      </c>
      <c r="DN114" s="171" t="e">
        <f t="shared" si="99"/>
        <v>#DIV/0!</v>
      </c>
      <c r="DO114" s="180" t="e">
        <f t="shared" si="125"/>
        <v>#DIV/0!</v>
      </c>
      <c r="DP114" s="178" t="e">
        <f t="shared" si="125"/>
        <v>#DIV/0!</v>
      </c>
      <c r="DQ114" s="178" t="e">
        <f t="shared" si="125"/>
        <v>#DIV/0!</v>
      </c>
      <c r="DR114" s="178" t="e">
        <f t="shared" si="125"/>
        <v>#DIV/0!</v>
      </c>
      <c r="DS114" s="178" t="e">
        <f t="shared" si="125"/>
        <v>#DIV/0!</v>
      </c>
      <c r="DT114" s="178" t="e">
        <f t="shared" si="125"/>
        <v>#DIV/0!</v>
      </c>
      <c r="DU114" s="178" t="e">
        <f t="shared" si="125"/>
        <v>#DIV/0!</v>
      </c>
      <c r="DV114" s="178" t="e">
        <f t="shared" si="125"/>
        <v>#DIV/0!</v>
      </c>
      <c r="DW114" s="178" t="e">
        <f t="shared" si="125"/>
        <v>#DIV/0!</v>
      </c>
      <c r="DX114" s="178" t="e">
        <f t="shared" si="125"/>
        <v>#DIV/0!</v>
      </c>
      <c r="DY114" s="178" t="e">
        <f t="shared" si="125"/>
        <v>#DIV/0!</v>
      </c>
      <c r="DZ114" s="168" t="e">
        <f t="shared" si="125"/>
        <v>#DIV/0!</v>
      </c>
      <c r="EA114" s="169" t="e">
        <f t="shared" si="100"/>
        <v>#DIV/0!</v>
      </c>
      <c r="EB114" s="171" t="e">
        <f t="shared" si="101"/>
        <v>#DIV/0!</v>
      </c>
    </row>
    <row r="115" spans="1:132" s="177" customFormat="1" ht="15.75">
      <c r="A115" s="183"/>
      <c r="B115" s="164"/>
      <c r="C115" s="187"/>
      <c r="D115" s="185"/>
      <c r="E115" s="167"/>
      <c r="F115" s="168" t="e">
        <f t="shared" si="83"/>
        <v>#DIV/0!</v>
      </c>
      <c r="G115" s="169" t="e">
        <f t="shared" si="128"/>
        <v>#DIV/0!</v>
      </c>
      <c r="H115" s="178" t="e">
        <f t="shared" si="128"/>
        <v>#DIV/0!</v>
      </c>
      <c r="I115" s="178" t="e">
        <f t="shared" si="128"/>
        <v>#DIV/0!</v>
      </c>
      <c r="J115" s="178" t="e">
        <f t="shared" si="128"/>
        <v>#DIV/0!</v>
      </c>
      <c r="K115" s="178" t="e">
        <f t="shared" si="128"/>
        <v>#DIV/0!</v>
      </c>
      <c r="L115" s="178" t="e">
        <f t="shared" si="128"/>
        <v>#DIV/0!</v>
      </c>
      <c r="M115" s="178" t="e">
        <f t="shared" si="128"/>
        <v>#DIV/0!</v>
      </c>
      <c r="N115" s="178" t="e">
        <f t="shared" si="128"/>
        <v>#DIV/0!</v>
      </c>
      <c r="O115" s="178" t="e">
        <f t="shared" si="128"/>
        <v>#DIV/0!</v>
      </c>
      <c r="P115" s="178" t="e">
        <f t="shared" si="128"/>
        <v>#DIV/0!</v>
      </c>
      <c r="Q115" s="178" t="e">
        <f t="shared" si="128"/>
        <v>#DIV/0!</v>
      </c>
      <c r="R115" s="179" t="e">
        <f t="shared" si="128"/>
        <v>#DIV/0!</v>
      </c>
      <c r="S115" s="169" t="e">
        <f t="shared" si="84"/>
        <v>#DIV/0!</v>
      </c>
      <c r="T115" s="179" t="e">
        <f t="shared" si="85"/>
        <v>#DIV/0!</v>
      </c>
      <c r="U115" s="180" t="e">
        <f t="shared" si="119"/>
        <v>#DIV/0!</v>
      </c>
      <c r="V115" s="178" t="e">
        <f t="shared" si="119"/>
        <v>#DIV/0!</v>
      </c>
      <c r="W115" s="178" t="e">
        <f t="shared" si="119"/>
        <v>#DIV/0!</v>
      </c>
      <c r="X115" s="178" t="e">
        <f t="shared" si="119"/>
        <v>#DIV/0!</v>
      </c>
      <c r="Y115" s="178" t="e">
        <f t="shared" si="119"/>
        <v>#DIV/0!</v>
      </c>
      <c r="Z115" s="178" t="e">
        <f t="shared" si="119"/>
        <v>#DIV/0!</v>
      </c>
      <c r="AA115" s="178" t="e">
        <f t="shared" si="119"/>
        <v>#DIV/0!</v>
      </c>
      <c r="AB115" s="178" t="e">
        <f t="shared" si="119"/>
        <v>#DIV/0!</v>
      </c>
      <c r="AC115" s="178" t="e">
        <f t="shared" si="119"/>
        <v>#DIV/0!</v>
      </c>
      <c r="AD115" s="178" t="e">
        <f t="shared" si="119"/>
        <v>#DIV/0!</v>
      </c>
      <c r="AE115" s="178" t="e">
        <f t="shared" si="119"/>
        <v>#DIV/0!</v>
      </c>
      <c r="AF115" s="168" t="e">
        <f t="shared" si="119"/>
        <v>#DIV/0!</v>
      </c>
      <c r="AG115" s="169" t="e">
        <f t="shared" si="86"/>
        <v>#DIV/0!</v>
      </c>
      <c r="AH115" s="179" t="e">
        <f t="shared" si="87"/>
        <v>#DIV/0!</v>
      </c>
      <c r="AI115" s="180" t="e">
        <f t="shared" si="104"/>
        <v>#DIV/0!</v>
      </c>
      <c r="AJ115" s="178" t="e">
        <f t="shared" si="104"/>
        <v>#DIV/0!</v>
      </c>
      <c r="AK115" s="178" t="e">
        <f t="shared" si="104"/>
        <v>#DIV/0!</v>
      </c>
      <c r="AL115" s="178" t="e">
        <f t="shared" si="104"/>
        <v>#DIV/0!</v>
      </c>
      <c r="AM115" s="178" t="e">
        <f t="shared" si="104"/>
        <v>#DIV/0!</v>
      </c>
      <c r="AN115" s="178" t="e">
        <f t="shared" si="104"/>
        <v>#DIV/0!</v>
      </c>
      <c r="AO115" s="178" t="e">
        <f t="shared" si="104"/>
        <v>#DIV/0!</v>
      </c>
      <c r="AP115" s="178" t="e">
        <f t="shared" si="104"/>
        <v>#DIV/0!</v>
      </c>
      <c r="AQ115" s="178" t="e">
        <f t="shared" si="104"/>
        <v>#DIV/0!</v>
      </c>
      <c r="AR115" s="178" t="e">
        <f t="shared" si="104"/>
        <v>#DIV/0!</v>
      </c>
      <c r="AS115" s="178" t="e">
        <f t="shared" si="104"/>
        <v>#DIV/0!</v>
      </c>
      <c r="AT115" s="168" t="e">
        <f t="shared" si="104"/>
        <v>#DIV/0!</v>
      </c>
      <c r="AU115" s="169" t="e">
        <f t="shared" si="88"/>
        <v>#DIV/0!</v>
      </c>
      <c r="AV115" s="179" t="e">
        <f t="shared" si="89"/>
        <v>#DIV/0!</v>
      </c>
      <c r="AW115" s="180" t="e">
        <f t="shared" si="120"/>
        <v>#DIV/0!</v>
      </c>
      <c r="AX115" s="178" t="e">
        <f t="shared" si="120"/>
        <v>#DIV/0!</v>
      </c>
      <c r="AY115" s="178" t="e">
        <f t="shared" si="120"/>
        <v>#DIV/0!</v>
      </c>
      <c r="AZ115" s="178" t="e">
        <f t="shared" si="120"/>
        <v>#DIV/0!</v>
      </c>
      <c r="BA115" s="178" t="e">
        <f t="shared" si="120"/>
        <v>#DIV/0!</v>
      </c>
      <c r="BB115" s="178" t="e">
        <f t="shared" si="120"/>
        <v>#DIV/0!</v>
      </c>
      <c r="BC115" s="178" t="e">
        <f t="shared" si="120"/>
        <v>#DIV/0!</v>
      </c>
      <c r="BD115" s="178" t="e">
        <f t="shared" si="120"/>
        <v>#DIV/0!</v>
      </c>
      <c r="BE115" s="178" t="e">
        <f t="shared" si="120"/>
        <v>#DIV/0!</v>
      </c>
      <c r="BF115" s="178" t="e">
        <f t="shared" si="120"/>
        <v>#DIV/0!</v>
      </c>
      <c r="BG115" s="178" t="e">
        <f t="shared" si="120"/>
        <v>#DIV/0!</v>
      </c>
      <c r="BH115" s="168" t="e">
        <f t="shared" si="120"/>
        <v>#DIV/0!</v>
      </c>
      <c r="BI115" s="169" t="e">
        <f t="shared" si="90"/>
        <v>#DIV/0!</v>
      </c>
      <c r="BJ115" s="179" t="e">
        <f t="shared" si="91"/>
        <v>#DIV/0!</v>
      </c>
      <c r="BK115" s="180" t="e">
        <f t="shared" si="121"/>
        <v>#DIV/0!</v>
      </c>
      <c r="BL115" s="178" t="e">
        <f t="shared" si="121"/>
        <v>#DIV/0!</v>
      </c>
      <c r="BM115" s="178" t="e">
        <f t="shared" si="121"/>
        <v>#DIV/0!</v>
      </c>
      <c r="BN115" s="178" t="e">
        <f t="shared" si="121"/>
        <v>#DIV/0!</v>
      </c>
      <c r="BO115" s="178" t="e">
        <f t="shared" si="121"/>
        <v>#DIV/0!</v>
      </c>
      <c r="BP115" s="178" t="e">
        <f t="shared" si="121"/>
        <v>#DIV/0!</v>
      </c>
      <c r="BQ115" s="178" t="e">
        <f t="shared" si="121"/>
        <v>#DIV/0!</v>
      </c>
      <c r="BR115" s="178" t="e">
        <f t="shared" si="121"/>
        <v>#DIV/0!</v>
      </c>
      <c r="BS115" s="178" t="e">
        <f t="shared" si="121"/>
        <v>#DIV/0!</v>
      </c>
      <c r="BT115" s="178" t="e">
        <f t="shared" si="121"/>
        <v>#DIV/0!</v>
      </c>
      <c r="BU115" s="178" t="e">
        <f t="shared" si="121"/>
        <v>#DIV/0!</v>
      </c>
      <c r="BV115" s="168" t="e">
        <f t="shared" si="121"/>
        <v>#DIV/0!</v>
      </c>
      <c r="BW115" s="169" t="e">
        <f t="shared" si="92"/>
        <v>#DIV/0!</v>
      </c>
      <c r="BX115" s="179" t="e">
        <f t="shared" si="93"/>
        <v>#DIV/0!</v>
      </c>
      <c r="BY115" s="180" t="e">
        <f t="shared" si="122"/>
        <v>#DIV/0!</v>
      </c>
      <c r="BZ115" s="178" t="e">
        <f t="shared" si="122"/>
        <v>#DIV/0!</v>
      </c>
      <c r="CA115" s="178" t="e">
        <f t="shared" si="122"/>
        <v>#DIV/0!</v>
      </c>
      <c r="CB115" s="178" t="e">
        <f t="shared" si="122"/>
        <v>#DIV/0!</v>
      </c>
      <c r="CC115" s="178" t="e">
        <f t="shared" si="122"/>
        <v>#DIV/0!</v>
      </c>
      <c r="CD115" s="178" t="e">
        <f t="shared" si="122"/>
        <v>#DIV/0!</v>
      </c>
      <c r="CE115" s="178" t="e">
        <f t="shared" si="122"/>
        <v>#DIV/0!</v>
      </c>
      <c r="CF115" s="178" t="e">
        <f t="shared" si="122"/>
        <v>#DIV/0!</v>
      </c>
      <c r="CG115" s="178" t="e">
        <f t="shared" si="122"/>
        <v>#DIV/0!</v>
      </c>
      <c r="CH115" s="178" t="e">
        <f t="shared" si="122"/>
        <v>#DIV/0!</v>
      </c>
      <c r="CI115" s="178" t="e">
        <f t="shared" si="122"/>
        <v>#DIV/0!</v>
      </c>
      <c r="CJ115" s="168" t="e">
        <f t="shared" si="122"/>
        <v>#DIV/0!</v>
      </c>
      <c r="CK115" s="169" t="e">
        <f t="shared" si="94"/>
        <v>#DIV/0!</v>
      </c>
      <c r="CL115" s="179" t="e">
        <f t="shared" si="95"/>
        <v>#DIV/0!</v>
      </c>
      <c r="CM115" s="180" t="e">
        <f t="shared" si="123"/>
        <v>#DIV/0!</v>
      </c>
      <c r="CN115" s="178" t="e">
        <f t="shared" si="123"/>
        <v>#DIV/0!</v>
      </c>
      <c r="CO115" s="178" t="e">
        <f t="shared" si="123"/>
        <v>#DIV/0!</v>
      </c>
      <c r="CP115" s="178" t="e">
        <f t="shared" si="123"/>
        <v>#DIV/0!</v>
      </c>
      <c r="CQ115" s="178" t="e">
        <f t="shared" si="123"/>
        <v>#DIV/0!</v>
      </c>
      <c r="CR115" s="178" t="e">
        <f t="shared" si="123"/>
        <v>#DIV/0!</v>
      </c>
      <c r="CS115" s="178" t="e">
        <f t="shared" si="123"/>
        <v>#DIV/0!</v>
      </c>
      <c r="CT115" s="178" t="e">
        <f t="shared" si="123"/>
        <v>#DIV/0!</v>
      </c>
      <c r="CU115" s="178" t="e">
        <f t="shared" si="123"/>
        <v>#DIV/0!</v>
      </c>
      <c r="CV115" s="178" t="e">
        <f t="shared" si="123"/>
        <v>#DIV/0!</v>
      </c>
      <c r="CW115" s="178" t="e">
        <f t="shared" si="123"/>
        <v>#DIV/0!</v>
      </c>
      <c r="CX115" s="168" t="e">
        <f t="shared" si="123"/>
        <v>#DIV/0!</v>
      </c>
      <c r="CY115" s="169" t="e">
        <f t="shared" si="96"/>
        <v>#DIV/0!</v>
      </c>
      <c r="CZ115" s="179" t="e">
        <f t="shared" si="97"/>
        <v>#DIV/0!</v>
      </c>
      <c r="DA115" s="180" t="e">
        <f t="shared" si="124"/>
        <v>#DIV/0!</v>
      </c>
      <c r="DB115" s="178" t="e">
        <f t="shared" si="124"/>
        <v>#DIV/0!</v>
      </c>
      <c r="DC115" s="178" t="e">
        <f t="shared" si="124"/>
        <v>#DIV/0!</v>
      </c>
      <c r="DD115" s="178" t="e">
        <f t="shared" si="124"/>
        <v>#DIV/0!</v>
      </c>
      <c r="DE115" s="178" t="e">
        <f t="shared" si="124"/>
        <v>#DIV/0!</v>
      </c>
      <c r="DF115" s="178" t="e">
        <f t="shared" si="124"/>
        <v>#DIV/0!</v>
      </c>
      <c r="DG115" s="178" t="e">
        <f t="shared" si="124"/>
        <v>#DIV/0!</v>
      </c>
      <c r="DH115" s="178" t="e">
        <f t="shared" si="124"/>
        <v>#DIV/0!</v>
      </c>
      <c r="DI115" s="178" t="e">
        <f t="shared" si="124"/>
        <v>#DIV/0!</v>
      </c>
      <c r="DJ115" s="178" t="e">
        <f t="shared" si="124"/>
        <v>#DIV/0!</v>
      </c>
      <c r="DK115" s="178" t="e">
        <f t="shared" si="124"/>
        <v>#DIV/0!</v>
      </c>
      <c r="DL115" s="168" t="e">
        <f t="shared" si="124"/>
        <v>#DIV/0!</v>
      </c>
      <c r="DM115" s="169" t="e">
        <f t="shared" si="98"/>
        <v>#DIV/0!</v>
      </c>
      <c r="DN115" s="171" t="e">
        <f t="shared" si="99"/>
        <v>#DIV/0!</v>
      </c>
      <c r="DO115" s="180" t="e">
        <f t="shared" si="125"/>
        <v>#DIV/0!</v>
      </c>
      <c r="DP115" s="178" t="e">
        <f t="shared" si="125"/>
        <v>#DIV/0!</v>
      </c>
      <c r="DQ115" s="178" t="e">
        <f t="shared" si="125"/>
        <v>#DIV/0!</v>
      </c>
      <c r="DR115" s="178" t="e">
        <f t="shared" si="125"/>
        <v>#DIV/0!</v>
      </c>
      <c r="DS115" s="178" t="e">
        <f t="shared" si="125"/>
        <v>#DIV/0!</v>
      </c>
      <c r="DT115" s="178" t="e">
        <f t="shared" si="125"/>
        <v>#DIV/0!</v>
      </c>
      <c r="DU115" s="178" t="e">
        <f t="shared" si="125"/>
        <v>#DIV/0!</v>
      </c>
      <c r="DV115" s="178" t="e">
        <f t="shared" si="125"/>
        <v>#DIV/0!</v>
      </c>
      <c r="DW115" s="178" t="e">
        <f t="shared" si="125"/>
        <v>#DIV/0!</v>
      </c>
      <c r="DX115" s="178" t="e">
        <f t="shared" si="125"/>
        <v>#DIV/0!</v>
      </c>
      <c r="DY115" s="178" t="e">
        <f t="shared" si="125"/>
        <v>#DIV/0!</v>
      </c>
      <c r="DZ115" s="168" t="e">
        <f t="shared" si="125"/>
        <v>#DIV/0!</v>
      </c>
      <c r="EA115" s="169" t="e">
        <f t="shared" si="100"/>
        <v>#DIV/0!</v>
      </c>
      <c r="EB115" s="171" t="e">
        <f t="shared" si="101"/>
        <v>#DIV/0!</v>
      </c>
    </row>
    <row r="116" spans="1:132" s="177" customFormat="1" ht="15.75">
      <c r="A116" s="183"/>
      <c r="B116" s="164"/>
      <c r="C116" s="187"/>
      <c r="D116" s="185"/>
      <c r="E116" s="167"/>
      <c r="F116" s="168" t="e">
        <f t="shared" si="83"/>
        <v>#DIV/0!</v>
      </c>
      <c r="G116" s="169" t="e">
        <f t="shared" si="128"/>
        <v>#DIV/0!</v>
      </c>
      <c r="H116" s="178" t="e">
        <f t="shared" si="128"/>
        <v>#DIV/0!</v>
      </c>
      <c r="I116" s="178" t="e">
        <f t="shared" si="128"/>
        <v>#DIV/0!</v>
      </c>
      <c r="J116" s="178" t="e">
        <f t="shared" si="128"/>
        <v>#DIV/0!</v>
      </c>
      <c r="K116" s="178" t="e">
        <f t="shared" si="128"/>
        <v>#DIV/0!</v>
      </c>
      <c r="L116" s="178" t="e">
        <f t="shared" si="128"/>
        <v>#DIV/0!</v>
      </c>
      <c r="M116" s="178" t="e">
        <f t="shared" si="128"/>
        <v>#DIV/0!</v>
      </c>
      <c r="N116" s="178" t="e">
        <f t="shared" si="128"/>
        <v>#DIV/0!</v>
      </c>
      <c r="O116" s="178" t="e">
        <f t="shared" si="128"/>
        <v>#DIV/0!</v>
      </c>
      <c r="P116" s="178" t="e">
        <f t="shared" si="128"/>
        <v>#DIV/0!</v>
      </c>
      <c r="Q116" s="178" t="e">
        <f t="shared" si="128"/>
        <v>#DIV/0!</v>
      </c>
      <c r="R116" s="179" t="e">
        <f t="shared" si="128"/>
        <v>#DIV/0!</v>
      </c>
      <c r="S116" s="169" t="e">
        <f t="shared" si="84"/>
        <v>#DIV/0!</v>
      </c>
      <c r="T116" s="179" t="e">
        <f t="shared" si="85"/>
        <v>#DIV/0!</v>
      </c>
      <c r="U116" s="180" t="e">
        <f t="shared" si="119"/>
        <v>#DIV/0!</v>
      </c>
      <c r="V116" s="178" t="e">
        <f t="shared" si="119"/>
        <v>#DIV/0!</v>
      </c>
      <c r="W116" s="178" t="e">
        <f t="shared" si="119"/>
        <v>#DIV/0!</v>
      </c>
      <c r="X116" s="178" t="e">
        <f t="shared" si="119"/>
        <v>#DIV/0!</v>
      </c>
      <c r="Y116" s="178" t="e">
        <f t="shared" si="119"/>
        <v>#DIV/0!</v>
      </c>
      <c r="Z116" s="178" t="e">
        <f t="shared" si="119"/>
        <v>#DIV/0!</v>
      </c>
      <c r="AA116" s="178" t="e">
        <f t="shared" si="119"/>
        <v>#DIV/0!</v>
      </c>
      <c r="AB116" s="178" t="e">
        <f t="shared" si="119"/>
        <v>#DIV/0!</v>
      </c>
      <c r="AC116" s="178" t="e">
        <f t="shared" si="119"/>
        <v>#DIV/0!</v>
      </c>
      <c r="AD116" s="178" t="e">
        <f t="shared" si="119"/>
        <v>#DIV/0!</v>
      </c>
      <c r="AE116" s="178" t="e">
        <f t="shared" si="119"/>
        <v>#DIV/0!</v>
      </c>
      <c r="AF116" s="168" t="e">
        <f t="shared" si="119"/>
        <v>#DIV/0!</v>
      </c>
      <c r="AG116" s="169" t="e">
        <f t="shared" si="86"/>
        <v>#DIV/0!</v>
      </c>
      <c r="AH116" s="179" t="e">
        <f t="shared" si="87"/>
        <v>#DIV/0!</v>
      </c>
      <c r="AI116" s="180" t="e">
        <f t="shared" si="104"/>
        <v>#DIV/0!</v>
      </c>
      <c r="AJ116" s="178" t="e">
        <f t="shared" si="104"/>
        <v>#DIV/0!</v>
      </c>
      <c r="AK116" s="178" t="e">
        <f t="shared" si="104"/>
        <v>#DIV/0!</v>
      </c>
      <c r="AL116" s="178" t="e">
        <f t="shared" si="104"/>
        <v>#DIV/0!</v>
      </c>
      <c r="AM116" s="178" t="e">
        <f t="shared" si="104"/>
        <v>#DIV/0!</v>
      </c>
      <c r="AN116" s="178" t="e">
        <f t="shared" si="104"/>
        <v>#DIV/0!</v>
      </c>
      <c r="AO116" s="178" t="e">
        <f t="shared" si="104"/>
        <v>#DIV/0!</v>
      </c>
      <c r="AP116" s="178" t="e">
        <f t="shared" si="104"/>
        <v>#DIV/0!</v>
      </c>
      <c r="AQ116" s="178" t="e">
        <f t="shared" si="104"/>
        <v>#DIV/0!</v>
      </c>
      <c r="AR116" s="178" t="e">
        <f t="shared" si="104"/>
        <v>#DIV/0!</v>
      </c>
      <c r="AS116" s="178" t="e">
        <f t="shared" si="104"/>
        <v>#DIV/0!</v>
      </c>
      <c r="AT116" s="168" t="e">
        <f t="shared" si="104"/>
        <v>#DIV/0!</v>
      </c>
      <c r="AU116" s="169" t="e">
        <f t="shared" si="88"/>
        <v>#DIV/0!</v>
      </c>
      <c r="AV116" s="179" t="e">
        <f t="shared" si="89"/>
        <v>#DIV/0!</v>
      </c>
      <c r="AW116" s="180" t="e">
        <f t="shared" si="120"/>
        <v>#DIV/0!</v>
      </c>
      <c r="AX116" s="178" t="e">
        <f t="shared" si="120"/>
        <v>#DIV/0!</v>
      </c>
      <c r="AY116" s="178" t="e">
        <f t="shared" si="120"/>
        <v>#DIV/0!</v>
      </c>
      <c r="AZ116" s="178" t="e">
        <f t="shared" si="120"/>
        <v>#DIV/0!</v>
      </c>
      <c r="BA116" s="178" t="e">
        <f t="shared" si="120"/>
        <v>#DIV/0!</v>
      </c>
      <c r="BB116" s="178" t="e">
        <f t="shared" si="120"/>
        <v>#DIV/0!</v>
      </c>
      <c r="BC116" s="178" t="e">
        <f t="shared" si="120"/>
        <v>#DIV/0!</v>
      </c>
      <c r="BD116" s="178" t="e">
        <f t="shared" si="120"/>
        <v>#DIV/0!</v>
      </c>
      <c r="BE116" s="178" t="e">
        <f t="shared" si="120"/>
        <v>#DIV/0!</v>
      </c>
      <c r="BF116" s="178" t="e">
        <f t="shared" si="120"/>
        <v>#DIV/0!</v>
      </c>
      <c r="BG116" s="178" t="e">
        <f t="shared" si="120"/>
        <v>#DIV/0!</v>
      </c>
      <c r="BH116" s="168" t="e">
        <f t="shared" si="120"/>
        <v>#DIV/0!</v>
      </c>
      <c r="BI116" s="169" t="e">
        <f t="shared" si="90"/>
        <v>#DIV/0!</v>
      </c>
      <c r="BJ116" s="179" t="e">
        <f t="shared" si="91"/>
        <v>#DIV/0!</v>
      </c>
      <c r="BK116" s="180" t="e">
        <f t="shared" si="121"/>
        <v>#DIV/0!</v>
      </c>
      <c r="BL116" s="178" t="e">
        <f t="shared" si="121"/>
        <v>#DIV/0!</v>
      </c>
      <c r="BM116" s="178" t="e">
        <f t="shared" si="121"/>
        <v>#DIV/0!</v>
      </c>
      <c r="BN116" s="178" t="e">
        <f t="shared" si="121"/>
        <v>#DIV/0!</v>
      </c>
      <c r="BO116" s="178" t="e">
        <f t="shared" si="121"/>
        <v>#DIV/0!</v>
      </c>
      <c r="BP116" s="178" t="e">
        <f t="shared" si="121"/>
        <v>#DIV/0!</v>
      </c>
      <c r="BQ116" s="178" t="e">
        <f t="shared" si="121"/>
        <v>#DIV/0!</v>
      </c>
      <c r="BR116" s="178" t="e">
        <f t="shared" si="121"/>
        <v>#DIV/0!</v>
      </c>
      <c r="BS116" s="178" t="e">
        <f t="shared" si="121"/>
        <v>#DIV/0!</v>
      </c>
      <c r="BT116" s="178" t="e">
        <f t="shared" si="121"/>
        <v>#DIV/0!</v>
      </c>
      <c r="BU116" s="178" t="e">
        <f t="shared" si="121"/>
        <v>#DIV/0!</v>
      </c>
      <c r="BV116" s="168" t="e">
        <f t="shared" si="121"/>
        <v>#DIV/0!</v>
      </c>
      <c r="BW116" s="169" t="e">
        <f t="shared" si="92"/>
        <v>#DIV/0!</v>
      </c>
      <c r="BX116" s="179" t="e">
        <f t="shared" si="93"/>
        <v>#DIV/0!</v>
      </c>
      <c r="BY116" s="180" t="e">
        <f t="shared" si="122"/>
        <v>#DIV/0!</v>
      </c>
      <c r="BZ116" s="178" t="e">
        <f t="shared" si="122"/>
        <v>#DIV/0!</v>
      </c>
      <c r="CA116" s="178" t="e">
        <f t="shared" si="122"/>
        <v>#DIV/0!</v>
      </c>
      <c r="CB116" s="178" t="e">
        <f t="shared" si="122"/>
        <v>#DIV/0!</v>
      </c>
      <c r="CC116" s="178" t="e">
        <f t="shared" si="122"/>
        <v>#DIV/0!</v>
      </c>
      <c r="CD116" s="178" t="e">
        <f t="shared" si="122"/>
        <v>#DIV/0!</v>
      </c>
      <c r="CE116" s="178" t="e">
        <f t="shared" si="122"/>
        <v>#DIV/0!</v>
      </c>
      <c r="CF116" s="178" t="e">
        <f t="shared" si="122"/>
        <v>#DIV/0!</v>
      </c>
      <c r="CG116" s="178" t="e">
        <f t="shared" si="122"/>
        <v>#DIV/0!</v>
      </c>
      <c r="CH116" s="178" t="e">
        <f t="shared" si="122"/>
        <v>#DIV/0!</v>
      </c>
      <c r="CI116" s="178" t="e">
        <f t="shared" si="122"/>
        <v>#DIV/0!</v>
      </c>
      <c r="CJ116" s="168" t="e">
        <f t="shared" si="122"/>
        <v>#DIV/0!</v>
      </c>
      <c r="CK116" s="169" t="e">
        <f t="shared" si="94"/>
        <v>#DIV/0!</v>
      </c>
      <c r="CL116" s="179" t="e">
        <f t="shared" si="95"/>
        <v>#DIV/0!</v>
      </c>
      <c r="CM116" s="180" t="e">
        <f t="shared" si="123"/>
        <v>#DIV/0!</v>
      </c>
      <c r="CN116" s="178" t="e">
        <f t="shared" si="123"/>
        <v>#DIV/0!</v>
      </c>
      <c r="CO116" s="178" t="e">
        <f t="shared" si="123"/>
        <v>#DIV/0!</v>
      </c>
      <c r="CP116" s="178" t="e">
        <f t="shared" si="123"/>
        <v>#DIV/0!</v>
      </c>
      <c r="CQ116" s="178" t="e">
        <f t="shared" si="123"/>
        <v>#DIV/0!</v>
      </c>
      <c r="CR116" s="178" t="e">
        <f t="shared" si="123"/>
        <v>#DIV/0!</v>
      </c>
      <c r="CS116" s="178" t="e">
        <f t="shared" si="123"/>
        <v>#DIV/0!</v>
      </c>
      <c r="CT116" s="178" t="e">
        <f t="shared" si="123"/>
        <v>#DIV/0!</v>
      </c>
      <c r="CU116" s="178" t="e">
        <f t="shared" si="123"/>
        <v>#DIV/0!</v>
      </c>
      <c r="CV116" s="178" t="e">
        <f t="shared" si="123"/>
        <v>#DIV/0!</v>
      </c>
      <c r="CW116" s="178" t="e">
        <f t="shared" si="123"/>
        <v>#DIV/0!</v>
      </c>
      <c r="CX116" s="168" t="e">
        <f t="shared" si="123"/>
        <v>#DIV/0!</v>
      </c>
      <c r="CY116" s="169" t="e">
        <f t="shared" si="96"/>
        <v>#DIV/0!</v>
      </c>
      <c r="CZ116" s="179" t="e">
        <f t="shared" si="97"/>
        <v>#DIV/0!</v>
      </c>
      <c r="DA116" s="180" t="e">
        <f t="shared" si="124"/>
        <v>#DIV/0!</v>
      </c>
      <c r="DB116" s="178" t="e">
        <f t="shared" si="124"/>
        <v>#DIV/0!</v>
      </c>
      <c r="DC116" s="178" t="e">
        <f t="shared" si="124"/>
        <v>#DIV/0!</v>
      </c>
      <c r="DD116" s="178" t="e">
        <f t="shared" si="124"/>
        <v>#DIV/0!</v>
      </c>
      <c r="DE116" s="178" t="e">
        <f t="shared" si="124"/>
        <v>#DIV/0!</v>
      </c>
      <c r="DF116" s="178" t="e">
        <f t="shared" si="124"/>
        <v>#DIV/0!</v>
      </c>
      <c r="DG116" s="178" t="e">
        <f t="shared" si="124"/>
        <v>#DIV/0!</v>
      </c>
      <c r="DH116" s="178" t="e">
        <f t="shared" si="124"/>
        <v>#DIV/0!</v>
      </c>
      <c r="DI116" s="178" t="e">
        <f t="shared" si="124"/>
        <v>#DIV/0!</v>
      </c>
      <c r="DJ116" s="178" t="e">
        <f t="shared" si="124"/>
        <v>#DIV/0!</v>
      </c>
      <c r="DK116" s="178" t="e">
        <f t="shared" si="124"/>
        <v>#DIV/0!</v>
      </c>
      <c r="DL116" s="168" t="e">
        <f t="shared" si="124"/>
        <v>#DIV/0!</v>
      </c>
      <c r="DM116" s="169" t="e">
        <f t="shared" si="98"/>
        <v>#DIV/0!</v>
      </c>
      <c r="DN116" s="171" t="e">
        <f t="shared" si="99"/>
        <v>#DIV/0!</v>
      </c>
      <c r="DO116" s="180" t="e">
        <f t="shared" si="125"/>
        <v>#DIV/0!</v>
      </c>
      <c r="DP116" s="178" t="e">
        <f t="shared" si="125"/>
        <v>#DIV/0!</v>
      </c>
      <c r="DQ116" s="178" t="e">
        <f t="shared" si="125"/>
        <v>#DIV/0!</v>
      </c>
      <c r="DR116" s="178" t="e">
        <f t="shared" si="125"/>
        <v>#DIV/0!</v>
      </c>
      <c r="DS116" s="178" t="e">
        <f t="shared" si="125"/>
        <v>#DIV/0!</v>
      </c>
      <c r="DT116" s="178" t="e">
        <f t="shared" si="125"/>
        <v>#DIV/0!</v>
      </c>
      <c r="DU116" s="178" t="e">
        <f t="shared" si="125"/>
        <v>#DIV/0!</v>
      </c>
      <c r="DV116" s="178" t="e">
        <f t="shared" si="125"/>
        <v>#DIV/0!</v>
      </c>
      <c r="DW116" s="178" t="e">
        <f t="shared" si="125"/>
        <v>#DIV/0!</v>
      </c>
      <c r="DX116" s="178" t="e">
        <f t="shared" si="125"/>
        <v>#DIV/0!</v>
      </c>
      <c r="DY116" s="178" t="e">
        <f t="shared" si="125"/>
        <v>#DIV/0!</v>
      </c>
      <c r="DZ116" s="168" t="e">
        <f t="shared" si="125"/>
        <v>#DIV/0!</v>
      </c>
      <c r="EA116" s="169" t="e">
        <f t="shared" si="100"/>
        <v>#DIV/0!</v>
      </c>
      <c r="EB116" s="171" t="e">
        <f t="shared" si="101"/>
        <v>#DIV/0!</v>
      </c>
    </row>
    <row r="117" spans="1:132" s="177" customFormat="1" ht="15.75">
      <c r="A117" s="183"/>
      <c r="B117" s="164"/>
      <c r="C117" s="187"/>
      <c r="D117" s="185"/>
      <c r="E117" s="167"/>
      <c r="F117" s="168" t="e">
        <f t="shared" si="83"/>
        <v>#DIV/0!</v>
      </c>
      <c r="G117" s="169" t="e">
        <f t="shared" si="128"/>
        <v>#DIV/0!</v>
      </c>
      <c r="H117" s="178" t="e">
        <f t="shared" si="128"/>
        <v>#DIV/0!</v>
      </c>
      <c r="I117" s="178" t="e">
        <f t="shared" si="128"/>
        <v>#DIV/0!</v>
      </c>
      <c r="J117" s="178" t="e">
        <f t="shared" si="128"/>
        <v>#DIV/0!</v>
      </c>
      <c r="K117" s="178" t="e">
        <f t="shared" si="128"/>
        <v>#DIV/0!</v>
      </c>
      <c r="L117" s="178" t="e">
        <f t="shared" si="128"/>
        <v>#DIV/0!</v>
      </c>
      <c r="M117" s="178" t="e">
        <f t="shared" si="128"/>
        <v>#DIV/0!</v>
      </c>
      <c r="N117" s="178" t="e">
        <f t="shared" si="128"/>
        <v>#DIV/0!</v>
      </c>
      <c r="O117" s="178" t="e">
        <f t="shared" si="128"/>
        <v>#DIV/0!</v>
      </c>
      <c r="P117" s="178" t="e">
        <f t="shared" si="128"/>
        <v>#DIV/0!</v>
      </c>
      <c r="Q117" s="178" t="e">
        <f t="shared" si="128"/>
        <v>#DIV/0!</v>
      </c>
      <c r="R117" s="179" t="e">
        <f t="shared" si="128"/>
        <v>#DIV/0!</v>
      </c>
      <c r="S117" s="169" t="e">
        <f t="shared" si="84"/>
        <v>#DIV/0!</v>
      </c>
      <c r="T117" s="179" t="e">
        <f t="shared" si="85"/>
        <v>#DIV/0!</v>
      </c>
      <c r="U117" s="180" t="e">
        <f t="shared" si="119"/>
        <v>#DIV/0!</v>
      </c>
      <c r="V117" s="178" t="e">
        <f t="shared" si="119"/>
        <v>#DIV/0!</v>
      </c>
      <c r="W117" s="178" t="e">
        <f t="shared" si="119"/>
        <v>#DIV/0!</v>
      </c>
      <c r="X117" s="178" t="e">
        <f t="shared" si="119"/>
        <v>#DIV/0!</v>
      </c>
      <c r="Y117" s="178" t="e">
        <f t="shared" si="119"/>
        <v>#DIV/0!</v>
      </c>
      <c r="Z117" s="178" t="e">
        <f t="shared" si="119"/>
        <v>#DIV/0!</v>
      </c>
      <c r="AA117" s="178" t="e">
        <f t="shared" si="119"/>
        <v>#DIV/0!</v>
      </c>
      <c r="AB117" s="178" t="e">
        <f t="shared" si="119"/>
        <v>#DIV/0!</v>
      </c>
      <c r="AC117" s="178" t="e">
        <f t="shared" si="119"/>
        <v>#DIV/0!</v>
      </c>
      <c r="AD117" s="178" t="e">
        <f t="shared" si="119"/>
        <v>#DIV/0!</v>
      </c>
      <c r="AE117" s="178" t="e">
        <f t="shared" si="119"/>
        <v>#DIV/0!</v>
      </c>
      <c r="AF117" s="168" t="e">
        <f t="shared" si="119"/>
        <v>#DIV/0!</v>
      </c>
      <c r="AG117" s="169" t="e">
        <f t="shared" si="86"/>
        <v>#DIV/0!</v>
      </c>
      <c r="AH117" s="179" t="e">
        <f t="shared" si="87"/>
        <v>#DIV/0!</v>
      </c>
      <c r="AI117" s="180" t="e">
        <f t="shared" si="104"/>
        <v>#DIV/0!</v>
      </c>
      <c r="AJ117" s="178" t="e">
        <f t="shared" si="104"/>
        <v>#DIV/0!</v>
      </c>
      <c r="AK117" s="178" t="e">
        <f t="shared" si="104"/>
        <v>#DIV/0!</v>
      </c>
      <c r="AL117" s="178" t="e">
        <f t="shared" si="104"/>
        <v>#DIV/0!</v>
      </c>
      <c r="AM117" s="178" t="e">
        <f t="shared" si="104"/>
        <v>#DIV/0!</v>
      </c>
      <c r="AN117" s="178" t="e">
        <f t="shared" si="104"/>
        <v>#DIV/0!</v>
      </c>
      <c r="AO117" s="178" t="e">
        <f t="shared" si="104"/>
        <v>#DIV/0!</v>
      </c>
      <c r="AP117" s="178" t="e">
        <f t="shared" si="104"/>
        <v>#DIV/0!</v>
      </c>
      <c r="AQ117" s="178" t="e">
        <f t="shared" si="104"/>
        <v>#DIV/0!</v>
      </c>
      <c r="AR117" s="178" t="e">
        <f t="shared" si="104"/>
        <v>#DIV/0!</v>
      </c>
      <c r="AS117" s="178" t="e">
        <f t="shared" si="104"/>
        <v>#DIV/0!</v>
      </c>
      <c r="AT117" s="168" t="e">
        <f t="shared" si="104"/>
        <v>#DIV/0!</v>
      </c>
      <c r="AU117" s="169" t="e">
        <f t="shared" si="88"/>
        <v>#DIV/0!</v>
      </c>
      <c r="AV117" s="179" t="e">
        <f t="shared" si="89"/>
        <v>#DIV/0!</v>
      </c>
      <c r="AW117" s="180" t="e">
        <f t="shared" si="120"/>
        <v>#DIV/0!</v>
      </c>
      <c r="AX117" s="178" t="e">
        <f t="shared" si="120"/>
        <v>#DIV/0!</v>
      </c>
      <c r="AY117" s="178" t="e">
        <f t="shared" si="120"/>
        <v>#DIV/0!</v>
      </c>
      <c r="AZ117" s="178" t="e">
        <f t="shared" si="120"/>
        <v>#DIV/0!</v>
      </c>
      <c r="BA117" s="178" t="e">
        <f t="shared" si="120"/>
        <v>#DIV/0!</v>
      </c>
      <c r="BB117" s="178" t="e">
        <f t="shared" si="120"/>
        <v>#DIV/0!</v>
      </c>
      <c r="BC117" s="178" t="e">
        <f t="shared" si="120"/>
        <v>#DIV/0!</v>
      </c>
      <c r="BD117" s="178" t="e">
        <f t="shared" si="120"/>
        <v>#DIV/0!</v>
      </c>
      <c r="BE117" s="178" t="e">
        <f t="shared" si="120"/>
        <v>#DIV/0!</v>
      </c>
      <c r="BF117" s="178" t="e">
        <f t="shared" si="120"/>
        <v>#DIV/0!</v>
      </c>
      <c r="BG117" s="178" t="e">
        <f t="shared" si="120"/>
        <v>#DIV/0!</v>
      </c>
      <c r="BH117" s="168" t="e">
        <f t="shared" si="120"/>
        <v>#DIV/0!</v>
      </c>
      <c r="BI117" s="169" t="e">
        <f t="shared" si="90"/>
        <v>#DIV/0!</v>
      </c>
      <c r="BJ117" s="179" t="e">
        <f t="shared" si="91"/>
        <v>#DIV/0!</v>
      </c>
      <c r="BK117" s="180" t="e">
        <f t="shared" si="121"/>
        <v>#DIV/0!</v>
      </c>
      <c r="BL117" s="178" t="e">
        <f t="shared" si="121"/>
        <v>#DIV/0!</v>
      </c>
      <c r="BM117" s="178" t="e">
        <f t="shared" si="121"/>
        <v>#DIV/0!</v>
      </c>
      <c r="BN117" s="178" t="e">
        <f t="shared" si="121"/>
        <v>#DIV/0!</v>
      </c>
      <c r="BO117" s="178" t="e">
        <f t="shared" si="121"/>
        <v>#DIV/0!</v>
      </c>
      <c r="BP117" s="178" t="e">
        <f t="shared" si="121"/>
        <v>#DIV/0!</v>
      </c>
      <c r="BQ117" s="178" t="e">
        <f t="shared" si="121"/>
        <v>#DIV/0!</v>
      </c>
      <c r="BR117" s="178" t="e">
        <f t="shared" si="121"/>
        <v>#DIV/0!</v>
      </c>
      <c r="BS117" s="178" t="e">
        <f t="shared" si="121"/>
        <v>#DIV/0!</v>
      </c>
      <c r="BT117" s="178" t="e">
        <f t="shared" si="121"/>
        <v>#DIV/0!</v>
      </c>
      <c r="BU117" s="178" t="e">
        <f t="shared" si="121"/>
        <v>#DIV/0!</v>
      </c>
      <c r="BV117" s="168" t="e">
        <f t="shared" si="121"/>
        <v>#DIV/0!</v>
      </c>
      <c r="BW117" s="169" t="e">
        <f t="shared" si="92"/>
        <v>#DIV/0!</v>
      </c>
      <c r="BX117" s="179" t="e">
        <f t="shared" si="93"/>
        <v>#DIV/0!</v>
      </c>
      <c r="BY117" s="180" t="e">
        <f t="shared" si="122"/>
        <v>#DIV/0!</v>
      </c>
      <c r="BZ117" s="178" t="e">
        <f t="shared" si="122"/>
        <v>#DIV/0!</v>
      </c>
      <c r="CA117" s="178" t="e">
        <f t="shared" si="122"/>
        <v>#DIV/0!</v>
      </c>
      <c r="CB117" s="178" t="e">
        <f t="shared" si="122"/>
        <v>#DIV/0!</v>
      </c>
      <c r="CC117" s="178" t="e">
        <f t="shared" si="122"/>
        <v>#DIV/0!</v>
      </c>
      <c r="CD117" s="178" t="e">
        <f t="shared" si="122"/>
        <v>#DIV/0!</v>
      </c>
      <c r="CE117" s="178" t="e">
        <f t="shared" si="122"/>
        <v>#DIV/0!</v>
      </c>
      <c r="CF117" s="178" t="e">
        <f t="shared" si="122"/>
        <v>#DIV/0!</v>
      </c>
      <c r="CG117" s="178" t="e">
        <f t="shared" si="122"/>
        <v>#DIV/0!</v>
      </c>
      <c r="CH117" s="178" t="e">
        <f t="shared" si="122"/>
        <v>#DIV/0!</v>
      </c>
      <c r="CI117" s="178" t="e">
        <f t="shared" si="122"/>
        <v>#DIV/0!</v>
      </c>
      <c r="CJ117" s="168" t="e">
        <f t="shared" si="122"/>
        <v>#DIV/0!</v>
      </c>
      <c r="CK117" s="169" t="e">
        <f t="shared" si="94"/>
        <v>#DIV/0!</v>
      </c>
      <c r="CL117" s="179" t="e">
        <f t="shared" si="95"/>
        <v>#DIV/0!</v>
      </c>
      <c r="CM117" s="180" t="e">
        <f t="shared" si="123"/>
        <v>#DIV/0!</v>
      </c>
      <c r="CN117" s="178" t="e">
        <f t="shared" si="123"/>
        <v>#DIV/0!</v>
      </c>
      <c r="CO117" s="178" t="e">
        <f t="shared" si="123"/>
        <v>#DIV/0!</v>
      </c>
      <c r="CP117" s="178" t="e">
        <f t="shared" si="123"/>
        <v>#DIV/0!</v>
      </c>
      <c r="CQ117" s="178" t="e">
        <f t="shared" si="123"/>
        <v>#DIV/0!</v>
      </c>
      <c r="CR117" s="178" t="e">
        <f t="shared" si="123"/>
        <v>#DIV/0!</v>
      </c>
      <c r="CS117" s="178" t="e">
        <f t="shared" si="123"/>
        <v>#DIV/0!</v>
      </c>
      <c r="CT117" s="178" t="e">
        <f t="shared" si="123"/>
        <v>#DIV/0!</v>
      </c>
      <c r="CU117" s="178" t="e">
        <f t="shared" si="123"/>
        <v>#DIV/0!</v>
      </c>
      <c r="CV117" s="178" t="e">
        <f t="shared" si="123"/>
        <v>#DIV/0!</v>
      </c>
      <c r="CW117" s="178" t="e">
        <f t="shared" si="123"/>
        <v>#DIV/0!</v>
      </c>
      <c r="CX117" s="168" t="e">
        <f t="shared" si="123"/>
        <v>#DIV/0!</v>
      </c>
      <c r="CY117" s="169" t="e">
        <f t="shared" si="96"/>
        <v>#DIV/0!</v>
      </c>
      <c r="CZ117" s="179" t="e">
        <f t="shared" si="97"/>
        <v>#DIV/0!</v>
      </c>
      <c r="DA117" s="180" t="e">
        <f t="shared" si="124"/>
        <v>#DIV/0!</v>
      </c>
      <c r="DB117" s="178" t="e">
        <f t="shared" si="124"/>
        <v>#DIV/0!</v>
      </c>
      <c r="DC117" s="178" t="e">
        <f t="shared" si="124"/>
        <v>#DIV/0!</v>
      </c>
      <c r="DD117" s="178" t="e">
        <f t="shared" si="124"/>
        <v>#DIV/0!</v>
      </c>
      <c r="DE117" s="178" t="e">
        <f t="shared" si="124"/>
        <v>#DIV/0!</v>
      </c>
      <c r="DF117" s="178" t="e">
        <f t="shared" si="124"/>
        <v>#DIV/0!</v>
      </c>
      <c r="DG117" s="178" t="e">
        <f t="shared" si="124"/>
        <v>#DIV/0!</v>
      </c>
      <c r="DH117" s="178" t="e">
        <f t="shared" si="124"/>
        <v>#DIV/0!</v>
      </c>
      <c r="DI117" s="178" t="e">
        <f t="shared" si="124"/>
        <v>#DIV/0!</v>
      </c>
      <c r="DJ117" s="178" t="e">
        <f t="shared" si="124"/>
        <v>#DIV/0!</v>
      </c>
      <c r="DK117" s="178" t="e">
        <f t="shared" si="124"/>
        <v>#DIV/0!</v>
      </c>
      <c r="DL117" s="168" t="e">
        <f t="shared" si="124"/>
        <v>#DIV/0!</v>
      </c>
      <c r="DM117" s="169" t="e">
        <f t="shared" si="98"/>
        <v>#DIV/0!</v>
      </c>
      <c r="DN117" s="171" t="e">
        <f t="shared" si="99"/>
        <v>#DIV/0!</v>
      </c>
      <c r="DO117" s="180" t="e">
        <f t="shared" si="125"/>
        <v>#DIV/0!</v>
      </c>
      <c r="DP117" s="178" t="e">
        <f t="shared" si="125"/>
        <v>#DIV/0!</v>
      </c>
      <c r="DQ117" s="178" t="e">
        <f t="shared" si="125"/>
        <v>#DIV/0!</v>
      </c>
      <c r="DR117" s="178" t="e">
        <f t="shared" si="125"/>
        <v>#DIV/0!</v>
      </c>
      <c r="DS117" s="178" t="e">
        <f t="shared" si="125"/>
        <v>#DIV/0!</v>
      </c>
      <c r="DT117" s="178" t="e">
        <f t="shared" si="125"/>
        <v>#DIV/0!</v>
      </c>
      <c r="DU117" s="178" t="e">
        <f t="shared" si="125"/>
        <v>#DIV/0!</v>
      </c>
      <c r="DV117" s="178" t="e">
        <f t="shared" si="125"/>
        <v>#DIV/0!</v>
      </c>
      <c r="DW117" s="178" t="e">
        <f t="shared" si="125"/>
        <v>#DIV/0!</v>
      </c>
      <c r="DX117" s="178" t="e">
        <f t="shared" si="125"/>
        <v>#DIV/0!</v>
      </c>
      <c r="DY117" s="178" t="e">
        <f t="shared" si="125"/>
        <v>#DIV/0!</v>
      </c>
      <c r="DZ117" s="168" t="e">
        <f t="shared" si="125"/>
        <v>#DIV/0!</v>
      </c>
      <c r="EA117" s="169" t="e">
        <f t="shared" si="100"/>
        <v>#DIV/0!</v>
      </c>
      <c r="EB117" s="171" t="e">
        <f t="shared" si="101"/>
        <v>#DIV/0!</v>
      </c>
    </row>
    <row r="118" spans="1:132" s="177" customFormat="1" ht="15.75">
      <c r="A118" s="183"/>
      <c r="B118" s="164"/>
      <c r="C118" s="184"/>
      <c r="D118" s="185"/>
      <c r="E118" s="167"/>
      <c r="F118" s="168" t="e">
        <f t="shared" si="83"/>
        <v>#DIV/0!</v>
      </c>
      <c r="G118" s="169" t="e">
        <f t="shared" si="128"/>
        <v>#DIV/0!</v>
      </c>
      <c r="H118" s="178" t="e">
        <f t="shared" si="128"/>
        <v>#DIV/0!</v>
      </c>
      <c r="I118" s="178" t="e">
        <f t="shared" si="128"/>
        <v>#DIV/0!</v>
      </c>
      <c r="J118" s="178" t="e">
        <f t="shared" si="128"/>
        <v>#DIV/0!</v>
      </c>
      <c r="K118" s="178" t="e">
        <f t="shared" si="128"/>
        <v>#DIV/0!</v>
      </c>
      <c r="L118" s="178" t="e">
        <f t="shared" si="128"/>
        <v>#DIV/0!</v>
      </c>
      <c r="M118" s="178" t="e">
        <f t="shared" si="128"/>
        <v>#DIV/0!</v>
      </c>
      <c r="N118" s="178" t="e">
        <f t="shared" si="128"/>
        <v>#DIV/0!</v>
      </c>
      <c r="O118" s="178" t="e">
        <f t="shared" si="128"/>
        <v>#DIV/0!</v>
      </c>
      <c r="P118" s="178" t="e">
        <f t="shared" si="128"/>
        <v>#DIV/0!</v>
      </c>
      <c r="Q118" s="178" t="e">
        <f t="shared" si="128"/>
        <v>#DIV/0!</v>
      </c>
      <c r="R118" s="179" t="e">
        <f t="shared" si="128"/>
        <v>#DIV/0!</v>
      </c>
      <c r="S118" s="169" t="e">
        <f t="shared" si="84"/>
        <v>#DIV/0!</v>
      </c>
      <c r="T118" s="179" t="e">
        <f t="shared" si="85"/>
        <v>#DIV/0!</v>
      </c>
      <c r="U118" s="180" t="e">
        <f t="shared" si="119"/>
        <v>#DIV/0!</v>
      </c>
      <c r="V118" s="178" t="e">
        <f t="shared" si="119"/>
        <v>#DIV/0!</v>
      </c>
      <c r="W118" s="178" t="e">
        <f t="shared" si="119"/>
        <v>#DIV/0!</v>
      </c>
      <c r="X118" s="178" t="e">
        <f t="shared" si="119"/>
        <v>#DIV/0!</v>
      </c>
      <c r="Y118" s="178" t="e">
        <f t="shared" si="119"/>
        <v>#DIV/0!</v>
      </c>
      <c r="Z118" s="178" t="e">
        <f t="shared" si="119"/>
        <v>#DIV/0!</v>
      </c>
      <c r="AA118" s="178" t="e">
        <f t="shared" si="119"/>
        <v>#DIV/0!</v>
      </c>
      <c r="AB118" s="178" t="e">
        <f t="shared" si="119"/>
        <v>#DIV/0!</v>
      </c>
      <c r="AC118" s="178" t="e">
        <f t="shared" si="119"/>
        <v>#DIV/0!</v>
      </c>
      <c r="AD118" s="178" t="e">
        <f t="shared" si="119"/>
        <v>#DIV/0!</v>
      </c>
      <c r="AE118" s="178" t="e">
        <f t="shared" si="119"/>
        <v>#DIV/0!</v>
      </c>
      <c r="AF118" s="168" t="e">
        <f t="shared" si="119"/>
        <v>#DIV/0!</v>
      </c>
      <c r="AG118" s="169" t="e">
        <f t="shared" si="86"/>
        <v>#DIV/0!</v>
      </c>
      <c r="AH118" s="179" t="e">
        <f t="shared" si="87"/>
        <v>#DIV/0!</v>
      </c>
      <c r="AI118" s="180" t="e">
        <f t="shared" si="104"/>
        <v>#DIV/0!</v>
      </c>
      <c r="AJ118" s="178" t="e">
        <f t="shared" si="104"/>
        <v>#DIV/0!</v>
      </c>
      <c r="AK118" s="178" t="e">
        <f t="shared" si="104"/>
        <v>#DIV/0!</v>
      </c>
      <c r="AL118" s="178" t="e">
        <f t="shared" si="104"/>
        <v>#DIV/0!</v>
      </c>
      <c r="AM118" s="178" t="e">
        <f t="shared" si="104"/>
        <v>#DIV/0!</v>
      </c>
      <c r="AN118" s="178" t="e">
        <f t="shared" si="104"/>
        <v>#DIV/0!</v>
      </c>
      <c r="AO118" s="178" t="e">
        <f t="shared" si="104"/>
        <v>#DIV/0!</v>
      </c>
      <c r="AP118" s="178" t="e">
        <f t="shared" si="104"/>
        <v>#DIV/0!</v>
      </c>
      <c r="AQ118" s="178" t="e">
        <f t="shared" si="104"/>
        <v>#DIV/0!</v>
      </c>
      <c r="AR118" s="178" t="e">
        <f t="shared" si="104"/>
        <v>#DIV/0!</v>
      </c>
      <c r="AS118" s="178" t="e">
        <f t="shared" si="104"/>
        <v>#DIV/0!</v>
      </c>
      <c r="AT118" s="168" t="e">
        <f t="shared" si="104"/>
        <v>#DIV/0!</v>
      </c>
      <c r="AU118" s="169" t="e">
        <f t="shared" si="88"/>
        <v>#DIV/0!</v>
      </c>
      <c r="AV118" s="179" t="e">
        <f t="shared" si="89"/>
        <v>#DIV/0!</v>
      </c>
      <c r="AW118" s="180" t="e">
        <f t="shared" si="120"/>
        <v>#DIV/0!</v>
      </c>
      <c r="AX118" s="178" t="e">
        <f t="shared" si="120"/>
        <v>#DIV/0!</v>
      </c>
      <c r="AY118" s="178" t="e">
        <f t="shared" si="120"/>
        <v>#DIV/0!</v>
      </c>
      <c r="AZ118" s="178" t="e">
        <f t="shared" si="120"/>
        <v>#DIV/0!</v>
      </c>
      <c r="BA118" s="178" t="e">
        <f t="shared" si="120"/>
        <v>#DIV/0!</v>
      </c>
      <c r="BB118" s="178" t="e">
        <f t="shared" si="120"/>
        <v>#DIV/0!</v>
      </c>
      <c r="BC118" s="178" t="e">
        <f t="shared" si="120"/>
        <v>#DIV/0!</v>
      </c>
      <c r="BD118" s="178" t="e">
        <f t="shared" si="120"/>
        <v>#DIV/0!</v>
      </c>
      <c r="BE118" s="178" t="e">
        <f t="shared" si="120"/>
        <v>#DIV/0!</v>
      </c>
      <c r="BF118" s="178" t="e">
        <f t="shared" si="120"/>
        <v>#DIV/0!</v>
      </c>
      <c r="BG118" s="178" t="e">
        <f t="shared" si="120"/>
        <v>#DIV/0!</v>
      </c>
      <c r="BH118" s="168" t="e">
        <f t="shared" si="120"/>
        <v>#DIV/0!</v>
      </c>
      <c r="BI118" s="169" t="e">
        <f t="shared" si="90"/>
        <v>#DIV/0!</v>
      </c>
      <c r="BJ118" s="179" t="e">
        <f t="shared" si="91"/>
        <v>#DIV/0!</v>
      </c>
      <c r="BK118" s="180" t="e">
        <f t="shared" si="121"/>
        <v>#DIV/0!</v>
      </c>
      <c r="BL118" s="178" t="e">
        <f t="shared" si="121"/>
        <v>#DIV/0!</v>
      </c>
      <c r="BM118" s="178" t="e">
        <f t="shared" si="121"/>
        <v>#DIV/0!</v>
      </c>
      <c r="BN118" s="178" t="e">
        <f t="shared" si="121"/>
        <v>#DIV/0!</v>
      </c>
      <c r="BO118" s="178" t="e">
        <f t="shared" si="121"/>
        <v>#DIV/0!</v>
      </c>
      <c r="BP118" s="178" t="e">
        <f t="shared" si="121"/>
        <v>#DIV/0!</v>
      </c>
      <c r="BQ118" s="178" t="e">
        <f t="shared" si="121"/>
        <v>#DIV/0!</v>
      </c>
      <c r="BR118" s="178" t="e">
        <f t="shared" si="121"/>
        <v>#DIV/0!</v>
      </c>
      <c r="BS118" s="178" t="e">
        <f t="shared" si="121"/>
        <v>#DIV/0!</v>
      </c>
      <c r="BT118" s="178" t="e">
        <f t="shared" si="121"/>
        <v>#DIV/0!</v>
      </c>
      <c r="BU118" s="178" t="e">
        <f t="shared" si="121"/>
        <v>#DIV/0!</v>
      </c>
      <c r="BV118" s="168" t="e">
        <f t="shared" si="121"/>
        <v>#DIV/0!</v>
      </c>
      <c r="BW118" s="169" t="e">
        <f t="shared" si="92"/>
        <v>#DIV/0!</v>
      </c>
      <c r="BX118" s="179" t="e">
        <f t="shared" si="93"/>
        <v>#DIV/0!</v>
      </c>
      <c r="BY118" s="180" t="e">
        <f t="shared" si="122"/>
        <v>#DIV/0!</v>
      </c>
      <c r="BZ118" s="178" t="e">
        <f t="shared" si="122"/>
        <v>#DIV/0!</v>
      </c>
      <c r="CA118" s="178" t="e">
        <f t="shared" si="122"/>
        <v>#DIV/0!</v>
      </c>
      <c r="CB118" s="178" t="e">
        <f t="shared" si="122"/>
        <v>#DIV/0!</v>
      </c>
      <c r="CC118" s="178" t="e">
        <f t="shared" si="122"/>
        <v>#DIV/0!</v>
      </c>
      <c r="CD118" s="178" t="e">
        <f t="shared" si="122"/>
        <v>#DIV/0!</v>
      </c>
      <c r="CE118" s="178" t="e">
        <f t="shared" si="122"/>
        <v>#DIV/0!</v>
      </c>
      <c r="CF118" s="178" t="e">
        <f t="shared" si="122"/>
        <v>#DIV/0!</v>
      </c>
      <c r="CG118" s="178" t="e">
        <f t="shared" si="122"/>
        <v>#DIV/0!</v>
      </c>
      <c r="CH118" s="178" t="e">
        <f t="shared" si="122"/>
        <v>#DIV/0!</v>
      </c>
      <c r="CI118" s="178" t="e">
        <f t="shared" si="122"/>
        <v>#DIV/0!</v>
      </c>
      <c r="CJ118" s="168" t="e">
        <f t="shared" si="122"/>
        <v>#DIV/0!</v>
      </c>
      <c r="CK118" s="169" t="e">
        <f t="shared" si="94"/>
        <v>#DIV/0!</v>
      </c>
      <c r="CL118" s="179" t="e">
        <f t="shared" si="95"/>
        <v>#DIV/0!</v>
      </c>
      <c r="CM118" s="180" t="e">
        <f t="shared" si="123"/>
        <v>#DIV/0!</v>
      </c>
      <c r="CN118" s="178" t="e">
        <f t="shared" si="123"/>
        <v>#DIV/0!</v>
      </c>
      <c r="CO118" s="178" t="e">
        <f t="shared" si="123"/>
        <v>#DIV/0!</v>
      </c>
      <c r="CP118" s="178" t="e">
        <f t="shared" si="123"/>
        <v>#DIV/0!</v>
      </c>
      <c r="CQ118" s="178" t="e">
        <f t="shared" si="123"/>
        <v>#DIV/0!</v>
      </c>
      <c r="CR118" s="178" t="e">
        <f t="shared" si="123"/>
        <v>#DIV/0!</v>
      </c>
      <c r="CS118" s="178" t="e">
        <f t="shared" si="123"/>
        <v>#DIV/0!</v>
      </c>
      <c r="CT118" s="178" t="e">
        <f t="shared" si="123"/>
        <v>#DIV/0!</v>
      </c>
      <c r="CU118" s="178" t="e">
        <f t="shared" si="123"/>
        <v>#DIV/0!</v>
      </c>
      <c r="CV118" s="178" t="e">
        <f t="shared" si="123"/>
        <v>#DIV/0!</v>
      </c>
      <c r="CW118" s="178" t="e">
        <f t="shared" si="123"/>
        <v>#DIV/0!</v>
      </c>
      <c r="CX118" s="168" t="e">
        <f t="shared" si="123"/>
        <v>#DIV/0!</v>
      </c>
      <c r="CY118" s="169" t="e">
        <f t="shared" si="96"/>
        <v>#DIV/0!</v>
      </c>
      <c r="CZ118" s="179" t="e">
        <f t="shared" si="97"/>
        <v>#DIV/0!</v>
      </c>
      <c r="DA118" s="180" t="e">
        <f t="shared" si="124"/>
        <v>#DIV/0!</v>
      </c>
      <c r="DB118" s="178" t="e">
        <f t="shared" si="124"/>
        <v>#DIV/0!</v>
      </c>
      <c r="DC118" s="178" t="e">
        <f t="shared" si="124"/>
        <v>#DIV/0!</v>
      </c>
      <c r="DD118" s="178" t="e">
        <f t="shared" si="124"/>
        <v>#DIV/0!</v>
      </c>
      <c r="DE118" s="178" t="e">
        <f t="shared" si="124"/>
        <v>#DIV/0!</v>
      </c>
      <c r="DF118" s="178" t="e">
        <f t="shared" si="124"/>
        <v>#DIV/0!</v>
      </c>
      <c r="DG118" s="178" t="e">
        <f t="shared" si="124"/>
        <v>#DIV/0!</v>
      </c>
      <c r="DH118" s="178" t="e">
        <f t="shared" si="124"/>
        <v>#DIV/0!</v>
      </c>
      <c r="DI118" s="178" t="e">
        <f t="shared" si="124"/>
        <v>#DIV/0!</v>
      </c>
      <c r="DJ118" s="178" t="e">
        <f t="shared" si="124"/>
        <v>#DIV/0!</v>
      </c>
      <c r="DK118" s="178" t="e">
        <f t="shared" si="124"/>
        <v>#DIV/0!</v>
      </c>
      <c r="DL118" s="168" t="e">
        <f t="shared" si="124"/>
        <v>#DIV/0!</v>
      </c>
      <c r="DM118" s="169" t="e">
        <f t="shared" si="98"/>
        <v>#DIV/0!</v>
      </c>
      <c r="DN118" s="171" t="e">
        <f t="shared" si="99"/>
        <v>#DIV/0!</v>
      </c>
      <c r="DO118" s="180" t="e">
        <f t="shared" si="125"/>
        <v>#DIV/0!</v>
      </c>
      <c r="DP118" s="178" t="e">
        <f t="shared" si="125"/>
        <v>#DIV/0!</v>
      </c>
      <c r="DQ118" s="178" t="e">
        <f t="shared" si="125"/>
        <v>#DIV/0!</v>
      </c>
      <c r="DR118" s="178" t="e">
        <f t="shared" si="125"/>
        <v>#DIV/0!</v>
      </c>
      <c r="DS118" s="178" t="e">
        <f t="shared" si="125"/>
        <v>#DIV/0!</v>
      </c>
      <c r="DT118" s="178" t="e">
        <f t="shared" si="125"/>
        <v>#DIV/0!</v>
      </c>
      <c r="DU118" s="178" t="e">
        <f t="shared" si="125"/>
        <v>#DIV/0!</v>
      </c>
      <c r="DV118" s="178" t="e">
        <f t="shared" si="125"/>
        <v>#DIV/0!</v>
      </c>
      <c r="DW118" s="178" t="e">
        <f t="shared" si="125"/>
        <v>#DIV/0!</v>
      </c>
      <c r="DX118" s="178" t="e">
        <f t="shared" si="125"/>
        <v>#DIV/0!</v>
      </c>
      <c r="DY118" s="178" t="e">
        <f t="shared" si="125"/>
        <v>#DIV/0!</v>
      </c>
      <c r="DZ118" s="168" t="e">
        <f t="shared" si="125"/>
        <v>#DIV/0!</v>
      </c>
      <c r="EA118" s="169" t="e">
        <f t="shared" si="100"/>
        <v>#DIV/0!</v>
      </c>
      <c r="EB118" s="171" t="e">
        <f t="shared" si="101"/>
        <v>#DIV/0!</v>
      </c>
    </row>
    <row r="119" spans="1:132" s="177" customFormat="1" ht="15.75">
      <c r="A119" s="183"/>
      <c r="B119" s="164"/>
      <c r="C119" s="184"/>
      <c r="D119" s="185"/>
      <c r="E119" s="167"/>
      <c r="F119" s="168" t="e">
        <f t="shared" si="83"/>
        <v>#DIV/0!</v>
      </c>
      <c r="G119" s="169" t="e">
        <f t="shared" si="128"/>
        <v>#DIV/0!</v>
      </c>
      <c r="H119" s="178" t="e">
        <f t="shared" si="128"/>
        <v>#DIV/0!</v>
      </c>
      <c r="I119" s="178" t="e">
        <f t="shared" si="128"/>
        <v>#DIV/0!</v>
      </c>
      <c r="J119" s="178" t="e">
        <f t="shared" si="128"/>
        <v>#DIV/0!</v>
      </c>
      <c r="K119" s="178" t="e">
        <f t="shared" si="128"/>
        <v>#DIV/0!</v>
      </c>
      <c r="L119" s="178" t="e">
        <f t="shared" si="128"/>
        <v>#DIV/0!</v>
      </c>
      <c r="M119" s="178" t="e">
        <f t="shared" si="128"/>
        <v>#DIV/0!</v>
      </c>
      <c r="N119" s="178" t="e">
        <f t="shared" si="128"/>
        <v>#DIV/0!</v>
      </c>
      <c r="O119" s="178" t="e">
        <f t="shared" si="128"/>
        <v>#DIV/0!</v>
      </c>
      <c r="P119" s="178" t="e">
        <f t="shared" si="128"/>
        <v>#DIV/0!</v>
      </c>
      <c r="Q119" s="178" t="e">
        <f t="shared" si="128"/>
        <v>#DIV/0!</v>
      </c>
      <c r="R119" s="179" t="e">
        <f t="shared" si="128"/>
        <v>#DIV/0!</v>
      </c>
      <c r="S119" s="169" t="e">
        <f t="shared" si="84"/>
        <v>#DIV/0!</v>
      </c>
      <c r="T119" s="179" t="e">
        <f t="shared" si="85"/>
        <v>#DIV/0!</v>
      </c>
      <c r="U119" s="180" t="e">
        <f t="shared" si="119"/>
        <v>#DIV/0!</v>
      </c>
      <c r="V119" s="178" t="e">
        <f t="shared" si="119"/>
        <v>#DIV/0!</v>
      </c>
      <c r="W119" s="178" t="e">
        <f t="shared" si="119"/>
        <v>#DIV/0!</v>
      </c>
      <c r="X119" s="178" t="e">
        <f t="shared" si="119"/>
        <v>#DIV/0!</v>
      </c>
      <c r="Y119" s="178" t="e">
        <f t="shared" si="119"/>
        <v>#DIV/0!</v>
      </c>
      <c r="Z119" s="178" t="e">
        <f t="shared" si="119"/>
        <v>#DIV/0!</v>
      </c>
      <c r="AA119" s="178" t="e">
        <f t="shared" si="119"/>
        <v>#DIV/0!</v>
      </c>
      <c r="AB119" s="178" t="e">
        <f t="shared" si="119"/>
        <v>#DIV/0!</v>
      </c>
      <c r="AC119" s="178" t="e">
        <f t="shared" si="119"/>
        <v>#DIV/0!</v>
      </c>
      <c r="AD119" s="178" t="e">
        <f t="shared" si="119"/>
        <v>#DIV/0!</v>
      </c>
      <c r="AE119" s="178" t="e">
        <f t="shared" si="119"/>
        <v>#DIV/0!</v>
      </c>
      <c r="AF119" s="168" t="e">
        <f t="shared" si="119"/>
        <v>#DIV/0!</v>
      </c>
      <c r="AG119" s="169" t="e">
        <f t="shared" si="86"/>
        <v>#DIV/0!</v>
      </c>
      <c r="AH119" s="179" t="e">
        <f t="shared" si="87"/>
        <v>#DIV/0!</v>
      </c>
      <c r="AI119" s="180" t="e">
        <f t="shared" si="104"/>
        <v>#DIV/0!</v>
      </c>
      <c r="AJ119" s="178" t="e">
        <f t="shared" si="104"/>
        <v>#DIV/0!</v>
      </c>
      <c r="AK119" s="178" t="e">
        <f t="shared" si="104"/>
        <v>#DIV/0!</v>
      </c>
      <c r="AL119" s="178" t="e">
        <f t="shared" si="104"/>
        <v>#DIV/0!</v>
      </c>
      <c r="AM119" s="178" t="e">
        <f t="shared" si="104"/>
        <v>#DIV/0!</v>
      </c>
      <c r="AN119" s="178" t="e">
        <f t="shared" si="104"/>
        <v>#DIV/0!</v>
      </c>
      <c r="AO119" s="178" t="e">
        <f t="shared" si="104"/>
        <v>#DIV/0!</v>
      </c>
      <c r="AP119" s="178" t="e">
        <f t="shared" si="104"/>
        <v>#DIV/0!</v>
      </c>
      <c r="AQ119" s="178" t="e">
        <f t="shared" si="104"/>
        <v>#DIV/0!</v>
      </c>
      <c r="AR119" s="178" t="e">
        <f t="shared" si="104"/>
        <v>#DIV/0!</v>
      </c>
      <c r="AS119" s="178" t="e">
        <f t="shared" si="104"/>
        <v>#DIV/0!</v>
      </c>
      <c r="AT119" s="168" t="e">
        <f t="shared" si="104"/>
        <v>#DIV/0!</v>
      </c>
      <c r="AU119" s="169" t="e">
        <f t="shared" si="88"/>
        <v>#DIV/0!</v>
      </c>
      <c r="AV119" s="179" t="e">
        <f t="shared" si="89"/>
        <v>#DIV/0!</v>
      </c>
      <c r="AW119" s="180" t="e">
        <f t="shared" si="120"/>
        <v>#DIV/0!</v>
      </c>
      <c r="AX119" s="178" t="e">
        <f t="shared" si="120"/>
        <v>#DIV/0!</v>
      </c>
      <c r="AY119" s="178" t="e">
        <f t="shared" si="120"/>
        <v>#DIV/0!</v>
      </c>
      <c r="AZ119" s="178" t="e">
        <f t="shared" si="120"/>
        <v>#DIV/0!</v>
      </c>
      <c r="BA119" s="178" t="e">
        <f t="shared" si="120"/>
        <v>#DIV/0!</v>
      </c>
      <c r="BB119" s="178" t="e">
        <f t="shared" si="120"/>
        <v>#DIV/0!</v>
      </c>
      <c r="BC119" s="178" t="e">
        <f t="shared" si="120"/>
        <v>#DIV/0!</v>
      </c>
      <c r="BD119" s="178" t="e">
        <f t="shared" si="120"/>
        <v>#DIV/0!</v>
      </c>
      <c r="BE119" s="178" t="e">
        <f t="shared" si="120"/>
        <v>#DIV/0!</v>
      </c>
      <c r="BF119" s="178" t="e">
        <f t="shared" si="120"/>
        <v>#DIV/0!</v>
      </c>
      <c r="BG119" s="178" t="e">
        <f t="shared" si="120"/>
        <v>#DIV/0!</v>
      </c>
      <c r="BH119" s="168" t="e">
        <f t="shared" si="120"/>
        <v>#DIV/0!</v>
      </c>
      <c r="BI119" s="169" t="e">
        <f t="shared" si="90"/>
        <v>#DIV/0!</v>
      </c>
      <c r="BJ119" s="179" t="e">
        <f t="shared" si="91"/>
        <v>#DIV/0!</v>
      </c>
      <c r="BK119" s="180" t="e">
        <f t="shared" si="121"/>
        <v>#DIV/0!</v>
      </c>
      <c r="BL119" s="178" t="e">
        <f t="shared" si="121"/>
        <v>#DIV/0!</v>
      </c>
      <c r="BM119" s="178" t="e">
        <f t="shared" si="121"/>
        <v>#DIV/0!</v>
      </c>
      <c r="BN119" s="178" t="e">
        <f t="shared" si="121"/>
        <v>#DIV/0!</v>
      </c>
      <c r="BO119" s="178" t="e">
        <f t="shared" si="121"/>
        <v>#DIV/0!</v>
      </c>
      <c r="BP119" s="178" t="e">
        <f t="shared" si="121"/>
        <v>#DIV/0!</v>
      </c>
      <c r="BQ119" s="178" t="e">
        <f t="shared" si="121"/>
        <v>#DIV/0!</v>
      </c>
      <c r="BR119" s="178" t="e">
        <f t="shared" si="121"/>
        <v>#DIV/0!</v>
      </c>
      <c r="BS119" s="178" t="e">
        <f t="shared" si="121"/>
        <v>#DIV/0!</v>
      </c>
      <c r="BT119" s="178" t="e">
        <f t="shared" si="121"/>
        <v>#DIV/0!</v>
      </c>
      <c r="BU119" s="178" t="e">
        <f t="shared" si="121"/>
        <v>#DIV/0!</v>
      </c>
      <c r="BV119" s="168" t="e">
        <f t="shared" si="121"/>
        <v>#DIV/0!</v>
      </c>
      <c r="BW119" s="169" t="e">
        <f t="shared" si="92"/>
        <v>#DIV/0!</v>
      </c>
      <c r="BX119" s="179" t="e">
        <f t="shared" si="93"/>
        <v>#DIV/0!</v>
      </c>
      <c r="BY119" s="180" t="e">
        <f t="shared" si="122"/>
        <v>#DIV/0!</v>
      </c>
      <c r="BZ119" s="178" t="e">
        <f t="shared" si="122"/>
        <v>#DIV/0!</v>
      </c>
      <c r="CA119" s="178" t="e">
        <f t="shared" si="122"/>
        <v>#DIV/0!</v>
      </c>
      <c r="CB119" s="178" t="e">
        <f t="shared" si="122"/>
        <v>#DIV/0!</v>
      </c>
      <c r="CC119" s="178" t="e">
        <f t="shared" si="122"/>
        <v>#DIV/0!</v>
      </c>
      <c r="CD119" s="178" t="e">
        <f t="shared" si="122"/>
        <v>#DIV/0!</v>
      </c>
      <c r="CE119" s="178" t="e">
        <f t="shared" si="122"/>
        <v>#DIV/0!</v>
      </c>
      <c r="CF119" s="178" t="e">
        <f t="shared" si="122"/>
        <v>#DIV/0!</v>
      </c>
      <c r="CG119" s="178" t="e">
        <f t="shared" si="122"/>
        <v>#DIV/0!</v>
      </c>
      <c r="CH119" s="178" t="e">
        <f t="shared" si="122"/>
        <v>#DIV/0!</v>
      </c>
      <c r="CI119" s="178" t="e">
        <f t="shared" si="122"/>
        <v>#DIV/0!</v>
      </c>
      <c r="CJ119" s="168" t="e">
        <f t="shared" si="122"/>
        <v>#DIV/0!</v>
      </c>
      <c r="CK119" s="169" t="e">
        <f t="shared" si="94"/>
        <v>#DIV/0!</v>
      </c>
      <c r="CL119" s="179" t="e">
        <f t="shared" si="95"/>
        <v>#DIV/0!</v>
      </c>
      <c r="CM119" s="180" t="e">
        <f t="shared" si="123"/>
        <v>#DIV/0!</v>
      </c>
      <c r="CN119" s="178" t="e">
        <f t="shared" si="123"/>
        <v>#DIV/0!</v>
      </c>
      <c r="CO119" s="178" t="e">
        <f t="shared" si="123"/>
        <v>#DIV/0!</v>
      </c>
      <c r="CP119" s="178" t="e">
        <f t="shared" si="123"/>
        <v>#DIV/0!</v>
      </c>
      <c r="CQ119" s="178" t="e">
        <f t="shared" si="123"/>
        <v>#DIV/0!</v>
      </c>
      <c r="CR119" s="178" t="e">
        <f t="shared" si="123"/>
        <v>#DIV/0!</v>
      </c>
      <c r="CS119" s="178" t="e">
        <f t="shared" si="123"/>
        <v>#DIV/0!</v>
      </c>
      <c r="CT119" s="178" t="e">
        <f t="shared" si="123"/>
        <v>#DIV/0!</v>
      </c>
      <c r="CU119" s="178" t="e">
        <f t="shared" si="123"/>
        <v>#DIV/0!</v>
      </c>
      <c r="CV119" s="178" t="e">
        <f t="shared" si="123"/>
        <v>#DIV/0!</v>
      </c>
      <c r="CW119" s="178" t="e">
        <f t="shared" si="123"/>
        <v>#DIV/0!</v>
      </c>
      <c r="CX119" s="168" t="e">
        <f t="shared" si="123"/>
        <v>#DIV/0!</v>
      </c>
      <c r="CY119" s="169" t="e">
        <f t="shared" si="96"/>
        <v>#DIV/0!</v>
      </c>
      <c r="CZ119" s="179" t="e">
        <f t="shared" si="97"/>
        <v>#DIV/0!</v>
      </c>
      <c r="DA119" s="180" t="e">
        <f t="shared" si="124"/>
        <v>#DIV/0!</v>
      </c>
      <c r="DB119" s="178" t="e">
        <f t="shared" si="124"/>
        <v>#DIV/0!</v>
      </c>
      <c r="DC119" s="178" t="e">
        <f t="shared" si="124"/>
        <v>#DIV/0!</v>
      </c>
      <c r="DD119" s="178" t="e">
        <f t="shared" si="124"/>
        <v>#DIV/0!</v>
      </c>
      <c r="DE119" s="178" t="e">
        <f t="shared" si="124"/>
        <v>#DIV/0!</v>
      </c>
      <c r="DF119" s="178" t="e">
        <f t="shared" si="124"/>
        <v>#DIV/0!</v>
      </c>
      <c r="DG119" s="178" t="e">
        <f t="shared" si="124"/>
        <v>#DIV/0!</v>
      </c>
      <c r="DH119" s="178" t="e">
        <f t="shared" si="124"/>
        <v>#DIV/0!</v>
      </c>
      <c r="DI119" s="178" t="e">
        <f t="shared" si="124"/>
        <v>#DIV/0!</v>
      </c>
      <c r="DJ119" s="178" t="e">
        <f t="shared" si="124"/>
        <v>#DIV/0!</v>
      </c>
      <c r="DK119" s="178" t="e">
        <f t="shared" si="124"/>
        <v>#DIV/0!</v>
      </c>
      <c r="DL119" s="168" t="e">
        <f t="shared" si="124"/>
        <v>#DIV/0!</v>
      </c>
      <c r="DM119" s="169" t="e">
        <f t="shared" si="98"/>
        <v>#DIV/0!</v>
      </c>
      <c r="DN119" s="171" t="e">
        <f t="shared" si="99"/>
        <v>#DIV/0!</v>
      </c>
      <c r="DO119" s="180" t="e">
        <f t="shared" si="125"/>
        <v>#DIV/0!</v>
      </c>
      <c r="DP119" s="178" t="e">
        <f t="shared" si="125"/>
        <v>#DIV/0!</v>
      </c>
      <c r="DQ119" s="178" t="e">
        <f t="shared" si="125"/>
        <v>#DIV/0!</v>
      </c>
      <c r="DR119" s="178" t="e">
        <f t="shared" si="125"/>
        <v>#DIV/0!</v>
      </c>
      <c r="DS119" s="178" t="e">
        <f t="shared" si="125"/>
        <v>#DIV/0!</v>
      </c>
      <c r="DT119" s="178" t="e">
        <f t="shared" si="125"/>
        <v>#DIV/0!</v>
      </c>
      <c r="DU119" s="178" t="e">
        <f t="shared" si="125"/>
        <v>#DIV/0!</v>
      </c>
      <c r="DV119" s="178" t="e">
        <f t="shared" si="125"/>
        <v>#DIV/0!</v>
      </c>
      <c r="DW119" s="178" t="e">
        <f t="shared" si="125"/>
        <v>#DIV/0!</v>
      </c>
      <c r="DX119" s="178" t="e">
        <f t="shared" si="125"/>
        <v>#DIV/0!</v>
      </c>
      <c r="DY119" s="178" t="e">
        <f t="shared" si="125"/>
        <v>#DIV/0!</v>
      </c>
      <c r="DZ119" s="168" t="e">
        <f t="shared" si="125"/>
        <v>#DIV/0!</v>
      </c>
      <c r="EA119" s="169" t="e">
        <f t="shared" si="100"/>
        <v>#DIV/0!</v>
      </c>
      <c r="EB119" s="171" t="e">
        <f t="shared" si="101"/>
        <v>#DIV/0!</v>
      </c>
    </row>
    <row r="120" spans="1:132" s="177" customFormat="1" ht="15.75">
      <c r="A120" s="183"/>
      <c r="B120" s="164"/>
      <c r="C120" s="184"/>
      <c r="D120" s="185"/>
      <c r="E120" s="167"/>
      <c r="F120" s="168" t="e">
        <f t="shared" si="83"/>
        <v>#DIV/0!</v>
      </c>
      <c r="G120" s="169" t="e">
        <f t="shared" si="128"/>
        <v>#DIV/0!</v>
      </c>
      <c r="H120" s="178" t="e">
        <f t="shared" si="128"/>
        <v>#DIV/0!</v>
      </c>
      <c r="I120" s="178" t="e">
        <f t="shared" si="128"/>
        <v>#DIV/0!</v>
      </c>
      <c r="J120" s="178" t="e">
        <f t="shared" si="128"/>
        <v>#DIV/0!</v>
      </c>
      <c r="K120" s="178" t="e">
        <f t="shared" si="128"/>
        <v>#DIV/0!</v>
      </c>
      <c r="L120" s="178" t="e">
        <f t="shared" si="128"/>
        <v>#DIV/0!</v>
      </c>
      <c r="M120" s="178" t="e">
        <f t="shared" si="128"/>
        <v>#DIV/0!</v>
      </c>
      <c r="N120" s="178" t="e">
        <f t="shared" si="128"/>
        <v>#DIV/0!</v>
      </c>
      <c r="O120" s="178" t="e">
        <f t="shared" si="128"/>
        <v>#DIV/0!</v>
      </c>
      <c r="P120" s="178" t="e">
        <f t="shared" si="128"/>
        <v>#DIV/0!</v>
      </c>
      <c r="Q120" s="178" t="e">
        <f t="shared" si="128"/>
        <v>#DIV/0!</v>
      </c>
      <c r="R120" s="179" t="e">
        <f t="shared" si="128"/>
        <v>#DIV/0!</v>
      </c>
      <c r="S120" s="169" t="e">
        <f t="shared" si="84"/>
        <v>#DIV/0!</v>
      </c>
      <c r="T120" s="179" t="e">
        <f t="shared" si="85"/>
        <v>#DIV/0!</v>
      </c>
      <c r="U120" s="180" t="e">
        <f t="shared" si="119"/>
        <v>#DIV/0!</v>
      </c>
      <c r="V120" s="178" t="e">
        <f t="shared" si="119"/>
        <v>#DIV/0!</v>
      </c>
      <c r="W120" s="178" t="e">
        <f t="shared" si="119"/>
        <v>#DIV/0!</v>
      </c>
      <c r="X120" s="178" t="e">
        <f t="shared" si="119"/>
        <v>#DIV/0!</v>
      </c>
      <c r="Y120" s="178" t="e">
        <f t="shared" si="119"/>
        <v>#DIV/0!</v>
      </c>
      <c r="Z120" s="178" t="e">
        <f t="shared" si="119"/>
        <v>#DIV/0!</v>
      </c>
      <c r="AA120" s="178" t="e">
        <f t="shared" si="119"/>
        <v>#DIV/0!</v>
      </c>
      <c r="AB120" s="178" t="e">
        <f t="shared" si="119"/>
        <v>#DIV/0!</v>
      </c>
      <c r="AC120" s="178" t="e">
        <f t="shared" si="119"/>
        <v>#DIV/0!</v>
      </c>
      <c r="AD120" s="178" t="e">
        <f t="shared" si="119"/>
        <v>#DIV/0!</v>
      </c>
      <c r="AE120" s="178" t="e">
        <f t="shared" si="119"/>
        <v>#DIV/0!</v>
      </c>
      <c r="AF120" s="168" t="e">
        <f t="shared" si="119"/>
        <v>#DIV/0!</v>
      </c>
      <c r="AG120" s="169" t="e">
        <f t="shared" si="86"/>
        <v>#DIV/0!</v>
      </c>
      <c r="AH120" s="179" t="e">
        <f t="shared" si="87"/>
        <v>#DIV/0!</v>
      </c>
      <c r="AI120" s="180" t="e">
        <f t="shared" si="104"/>
        <v>#DIV/0!</v>
      </c>
      <c r="AJ120" s="178" t="e">
        <f t="shared" si="104"/>
        <v>#DIV/0!</v>
      </c>
      <c r="AK120" s="178" t="e">
        <f t="shared" si="104"/>
        <v>#DIV/0!</v>
      </c>
      <c r="AL120" s="178" t="e">
        <f t="shared" si="104"/>
        <v>#DIV/0!</v>
      </c>
      <c r="AM120" s="178" t="e">
        <f t="shared" si="104"/>
        <v>#DIV/0!</v>
      </c>
      <c r="AN120" s="178" t="e">
        <f t="shared" si="104"/>
        <v>#DIV/0!</v>
      </c>
      <c r="AO120" s="178" t="e">
        <f t="shared" si="104"/>
        <v>#DIV/0!</v>
      </c>
      <c r="AP120" s="178" t="e">
        <f t="shared" si="104"/>
        <v>#DIV/0!</v>
      </c>
      <c r="AQ120" s="178" t="e">
        <f t="shared" si="104"/>
        <v>#DIV/0!</v>
      </c>
      <c r="AR120" s="178" t="e">
        <f t="shared" si="104"/>
        <v>#DIV/0!</v>
      </c>
      <c r="AS120" s="178" t="e">
        <f t="shared" si="104"/>
        <v>#DIV/0!</v>
      </c>
      <c r="AT120" s="168" t="e">
        <f t="shared" si="104"/>
        <v>#DIV/0!</v>
      </c>
      <c r="AU120" s="169" t="e">
        <f t="shared" si="88"/>
        <v>#DIV/0!</v>
      </c>
      <c r="AV120" s="179" t="e">
        <f t="shared" si="89"/>
        <v>#DIV/0!</v>
      </c>
      <c r="AW120" s="180" t="e">
        <f t="shared" si="120"/>
        <v>#DIV/0!</v>
      </c>
      <c r="AX120" s="178" t="e">
        <f t="shared" si="120"/>
        <v>#DIV/0!</v>
      </c>
      <c r="AY120" s="178" t="e">
        <f t="shared" si="120"/>
        <v>#DIV/0!</v>
      </c>
      <c r="AZ120" s="178" t="e">
        <f t="shared" si="120"/>
        <v>#DIV/0!</v>
      </c>
      <c r="BA120" s="178" t="e">
        <f t="shared" si="120"/>
        <v>#DIV/0!</v>
      </c>
      <c r="BB120" s="178" t="e">
        <f t="shared" si="120"/>
        <v>#DIV/0!</v>
      </c>
      <c r="BC120" s="178" t="e">
        <f t="shared" si="120"/>
        <v>#DIV/0!</v>
      </c>
      <c r="BD120" s="178" t="e">
        <f t="shared" si="120"/>
        <v>#DIV/0!</v>
      </c>
      <c r="BE120" s="178" t="e">
        <f t="shared" si="120"/>
        <v>#DIV/0!</v>
      </c>
      <c r="BF120" s="178" t="e">
        <f t="shared" si="120"/>
        <v>#DIV/0!</v>
      </c>
      <c r="BG120" s="178" t="e">
        <f t="shared" si="120"/>
        <v>#DIV/0!</v>
      </c>
      <c r="BH120" s="168" t="e">
        <f t="shared" si="120"/>
        <v>#DIV/0!</v>
      </c>
      <c r="BI120" s="169" t="e">
        <f t="shared" si="90"/>
        <v>#DIV/0!</v>
      </c>
      <c r="BJ120" s="179" t="e">
        <f t="shared" si="91"/>
        <v>#DIV/0!</v>
      </c>
      <c r="BK120" s="180" t="e">
        <f t="shared" si="121"/>
        <v>#DIV/0!</v>
      </c>
      <c r="BL120" s="178" t="e">
        <f t="shared" si="121"/>
        <v>#DIV/0!</v>
      </c>
      <c r="BM120" s="178" t="e">
        <f t="shared" si="121"/>
        <v>#DIV/0!</v>
      </c>
      <c r="BN120" s="178" t="e">
        <f t="shared" si="121"/>
        <v>#DIV/0!</v>
      </c>
      <c r="BO120" s="178" t="e">
        <f t="shared" si="121"/>
        <v>#DIV/0!</v>
      </c>
      <c r="BP120" s="178" t="e">
        <f t="shared" si="121"/>
        <v>#DIV/0!</v>
      </c>
      <c r="BQ120" s="178" t="e">
        <f t="shared" si="121"/>
        <v>#DIV/0!</v>
      </c>
      <c r="BR120" s="178" t="e">
        <f t="shared" si="121"/>
        <v>#DIV/0!</v>
      </c>
      <c r="BS120" s="178" t="e">
        <f t="shared" si="121"/>
        <v>#DIV/0!</v>
      </c>
      <c r="BT120" s="178" t="e">
        <f t="shared" si="121"/>
        <v>#DIV/0!</v>
      </c>
      <c r="BU120" s="178" t="e">
        <f t="shared" si="121"/>
        <v>#DIV/0!</v>
      </c>
      <c r="BV120" s="168" t="e">
        <f t="shared" si="121"/>
        <v>#DIV/0!</v>
      </c>
      <c r="BW120" s="169" t="e">
        <f t="shared" si="92"/>
        <v>#DIV/0!</v>
      </c>
      <c r="BX120" s="179" t="e">
        <f t="shared" si="93"/>
        <v>#DIV/0!</v>
      </c>
      <c r="BY120" s="180" t="e">
        <f t="shared" si="122"/>
        <v>#DIV/0!</v>
      </c>
      <c r="BZ120" s="178" t="e">
        <f t="shared" si="122"/>
        <v>#DIV/0!</v>
      </c>
      <c r="CA120" s="178" t="e">
        <f t="shared" si="122"/>
        <v>#DIV/0!</v>
      </c>
      <c r="CB120" s="178" t="e">
        <f t="shared" si="122"/>
        <v>#DIV/0!</v>
      </c>
      <c r="CC120" s="178" t="e">
        <f t="shared" si="122"/>
        <v>#DIV/0!</v>
      </c>
      <c r="CD120" s="178" t="e">
        <f t="shared" si="122"/>
        <v>#DIV/0!</v>
      </c>
      <c r="CE120" s="178" t="e">
        <f t="shared" si="122"/>
        <v>#DIV/0!</v>
      </c>
      <c r="CF120" s="178" t="e">
        <f t="shared" si="122"/>
        <v>#DIV/0!</v>
      </c>
      <c r="CG120" s="178" t="e">
        <f t="shared" si="122"/>
        <v>#DIV/0!</v>
      </c>
      <c r="CH120" s="178" t="e">
        <f t="shared" si="122"/>
        <v>#DIV/0!</v>
      </c>
      <c r="CI120" s="178" t="e">
        <f t="shared" si="122"/>
        <v>#DIV/0!</v>
      </c>
      <c r="CJ120" s="168" t="e">
        <f t="shared" si="122"/>
        <v>#DIV/0!</v>
      </c>
      <c r="CK120" s="169" t="e">
        <f t="shared" si="94"/>
        <v>#DIV/0!</v>
      </c>
      <c r="CL120" s="179" t="e">
        <f t="shared" si="95"/>
        <v>#DIV/0!</v>
      </c>
      <c r="CM120" s="180" t="e">
        <f t="shared" si="123"/>
        <v>#DIV/0!</v>
      </c>
      <c r="CN120" s="178" t="e">
        <f t="shared" si="123"/>
        <v>#DIV/0!</v>
      </c>
      <c r="CO120" s="178" t="e">
        <f t="shared" si="123"/>
        <v>#DIV/0!</v>
      </c>
      <c r="CP120" s="178" t="e">
        <f t="shared" si="123"/>
        <v>#DIV/0!</v>
      </c>
      <c r="CQ120" s="178" t="e">
        <f t="shared" si="123"/>
        <v>#DIV/0!</v>
      </c>
      <c r="CR120" s="178" t="e">
        <f t="shared" si="123"/>
        <v>#DIV/0!</v>
      </c>
      <c r="CS120" s="178" t="e">
        <f t="shared" si="123"/>
        <v>#DIV/0!</v>
      </c>
      <c r="CT120" s="178" t="e">
        <f t="shared" si="123"/>
        <v>#DIV/0!</v>
      </c>
      <c r="CU120" s="178" t="e">
        <f t="shared" si="123"/>
        <v>#DIV/0!</v>
      </c>
      <c r="CV120" s="178" t="e">
        <f t="shared" si="123"/>
        <v>#DIV/0!</v>
      </c>
      <c r="CW120" s="178" t="e">
        <f t="shared" si="123"/>
        <v>#DIV/0!</v>
      </c>
      <c r="CX120" s="168" t="e">
        <f t="shared" si="123"/>
        <v>#DIV/0!</v>
      </c>
      <c r="CY120" s="169" t="e">
        <f t="shared" si="96"/>
        <v>#DIV/0!</v>
      </c>
      <c r="CZ120" s="179" t="e">
        <f t="shared" si="97"/>
        <v>#DIV/0!</v>
      </c>
      <c r="DA120" s="180" t="e">
        <f t="shared" si="124"/>
        <v>#DIV/0!</v>
      </c>
      <c r="DB120" s="178" t="e">
        <f t="shared" si="124"/>
        <v>#DIV/0!</v>
      </c>
      <c r="DC120" s="178" t="e">
        <f t="shared" si="124"/>
        <v>#DIV/0!</v>
      </c>
      <c r="DD120" s="178" t="e">
        <f t="shared" si="124"/>
        <v>#DIV/0!</v>
      </c>
      <c r="DE120" s="178" t="e">
        <f t="shared" si="124"/>
        <v>#DIV/0!</v>
      </c>
      <c r="DF120" s="178" t="e">
        <f t="shared" si="124"/>
        <v>#DIV/0!</v>
      </c>
      <c r="DG120" s="178" t="e">
        <f t="shared" si="124"/>
        <v>#DIV/0!</v>
      </c>
      <c r="DH120" s="178" t="e">
        <f t="shared" si="124"/>
        <v>#DIV/0!</v>
      </c>
      <c r="DI120" s="178" t="e">
        <f t="shared" si="124"/>
        <v>#DIV/0!</v>
      </c>
      <c r="DJ120" s="178" t="e">
        <f t="shared" si="124"/>
        <v>#DIV/0!</v>
      </c>
      <c r="DK120" s="178" t="e">
        <f t="shared" si="124"/>
        <v>#DIV/0!</v>
      </c>
      <c r="DL120" s="168" t="e">
        <f t="shared" si="124"/>
        <v>#DIV/0!</v>
      </c>
      <c r="DM120" s="169" t="e">
        <f t="shared" si="98"/>
        <v>#DIV/0!</v>
      </c>
      <c r="DN120" s="171" t="e">
        <f t="shared" si="99"/>
        <v>#DIV/0!</v>
      </c>
      <c r="DO120" s="180" t="e">
        <f t="shared" si="125"/>
        <v>#DIV/0!</v>
      </c>
      <c r="DP120" s="178" t="e">
        <f t="shared" si="125"/>
        <v>#DIV/0!</v>
      </c>
      <c r="DQ120" s="178" t="e">
        <f t="shared" si="125"/>
        <v>#DIV/0!</v>
      </c>
      <c r="DR120" s="178" t="e">
        <f t="shared" si="125"/>
        <v>#DIV/0!</v>
      </c>
      <c r="DS120" s="178" t="e">
        <f t="shared" si="125"/>
        <v>#DIV/0!</v>
      </c>
      <c r="DT120" s="178" t="e">
        <f t="shared" si="125"/>
        <v>#DIV/0!</v>
      </c>
      <c r="DU120" s="178" t="e">
        <f t="shared" si="125"/>
        <v>#DIV/0!</v>
      </c>
      <c r="DV120" s="178" t="e">
        <f t="shared" si="125"/>
        <v>#DIV/0!</v>
      </c>
      <c r="DW120" s="178" t="e">
        <f t="shared" si="125"/>
        <v>#DIV/0!</v>
      </c>
      <c r="DX120" s="178" t="e">
        <f t="shared" si="125"/>
        <v>#DIV/0!</v>
      </c>
      <c r="DY120" s="178" t="e">
        <f t="shared" si="125"/>
        <v>#DIV/0!</v>
      </c>
      <c r="DZ120" s="168" t="e">
        <f t="shared" si="125"/>
        <v>#DIV/0!</v>
      </c>
      <c r="EA120" s="169" t="e">
        <f t="shared" si="100"/>
        <v>#DIV/0!</v>
      </c>
      <c r="EB120" s="171" t="e">
        <f t="shared" si="101"/>
        <v>#DIV/0!</v>
      </c>
    </row>
    <row r="121" spans="1:132" s="177" customFormat="1" ht="15.75">
      <c r="A121" s="183"/>
      <c r="B121" s="164"/>
      <c r="C121" s="184"/>
      <c r="D121" s="185"/>
      <c r="E121" s="167"/>
      <c r="F121" s="168" t="e">
        <f t="shared" si="83"/>
        <v>#DIV/0!</v>
      </c>
      <c r="G121" s="169" t="e">
        <f t="shared" si="128"/>
        <v>#DIV/0!</v>
      </c>
      <c r="H121" s="178" t="e">
        <f t="shared" si="128"/>
        <v>#DIV/0!</v>
      </c>
      <c r="I121" s="178" t="e">
        <f t="shared" si="128"/>
        <v>#DIV/0!</v>
      </c>
      <c r="J121" s="178" t="e">
        <f t="shared" si="128"/>
        <v>#DIV/0!</v>
      </c>
      <c r="K121" s="178" t="e">
        <f t="shared" si="128"/>
        <v>#DIV/0!</v>
      </c>
      <c r="L121" s="178" t="e">
        <f t="shared" si="128"/>
        <v>#DIV/0!</v>
      </c>
      <c r="M121" s="178" t="e">
        <f t="shared" si="128"/>
        <v>#DIV/0!</v>
      </c>
      <c r="N121" s="178" t="e">
        <f t="shared" si="128"/>
        <v>#DIV/0!</v>
      </c>
      <c r="O121" s="178" t="e">
        <f t="shared" si="128"/>
        <v>#DIV/0!</v>
      </c>
      <c r="P121" s="178" t="e">
        <f t="shared" si="128"/>
        <v>#DIV/0!</v>
      </c>
      <c r="Q121" s="178" t="e">
        <f t="shared" si="128"/>
        <v>#DIV/0!</v>
      </c>
      <c r="R121" s="179" t="e">
        <f t="shared" si="128"/>
        <v>#DIV/0!</v>
      </c>
      <c r="S121" s="169" t="e">
        <f t="shared" si="84"/>
        <v>#DIV/0!</v>
      </c>
      <c r="T121" s="179" t="e">
        <f t="shared" si="85"/>
        <v>#DIV/0!</v>
      </c>
      <c r="U121" s="180" t="e">
        <f t="shared" si="119"/>
        <v>#DIV/0!</v>
      </c>
      <c r="V121" s="178" t="e">
        <f t="shared" si="119"/>
        <v>#DIV/0!</v>
      </c>
      <c r="W121" s="178" t="e">
        <f t="shared" si="119"/>
        <v>#DIV/0!</v>
      </c>
      <c r="X121" s="178" t="e">
        <f t="shared" si="119"/>
        <v>#DIV/0!</v>
      </c>
      <c r="Y121" s="178" t="e">
        <f t="shared" si="119"/>
        <v>#DIV/0!</v>
      </c>
      <c r="Z121" s="178" t="e">
        <f t="shared" si="119"/>
        <v>#DIV/0!</v>
      </c>
      <c r="AA121" s="178" t="e">
        <f t="shared" si="119"/>
        <v>#DIV/0!</v>
      </c>
      <c r="AB121" s="178" t="e">
        <f t="shared" si="119"/>
        <v>#DIV/0!</v>
      </c>
      <c r="AC121" s="178" t="e">
        <f t="shared" si="119"/>
        <v>#DIV/0!</v>
      </c>
      <c r="AD121" s="178" t="e">
        <f t="shared" si="119"/>
        <v>#DIV/0!</v>
      </c>
      <c r="AE121" s="178" t="e">
        <f t="shared" si="119"/>
        <v>#DIV/0!</v>
      </c>
      <c r="AF121" s="168" t="e">
        <f t="shared" si="119"/>
        <v>#DIV/0!</v>
      </c>
      <c r="AG121" s="169" t="e">
        <f t="shared" si="86"/>
        <v>#DIV/0!</v>
      </c>
      <c r="AH121" s="179" t="e">
        <f t="shared" si="87"/>
        <v>#DIV/0!</v>
      </c>
      <c r="AI121" s="180" t="e">
        <f t="shared" si="104"/>
        <v>#DIV/0!</v>
      </c>
      <c r="AJ121" s="178" t="e">
        <f t="shared" si="104"/>
        <v>#DIV/0!</v>
      </c>
      <c r="AK121" s="178" t="e">
        <f t="shared" si="104"/>
        <v>#DIV/0!</v>
      </c>
      <c r="AL121" s="178" t="e">
        <f t="shared" si="104"/>
        <v>#DIV/0!</v>
      </c>
      <c r="AM121" s="178" t="e">
        <f t="shared" si="104"/>
        <v>#DIV/0!</v>
      </c>
      <c r="AN121" s="178" t="e">
        <f t="shared" si="104"/>
        <v>#DIV/0!</v>
      </c>
      <c r="AO121" s="178" t="e">
        <f t="shared" si="104"/>
        <v>#DIV/0!</v>
      </c>
      <c r="AP121" s="178" t="e">
        <f t="shared" si="104"/>
        <v>#DIV/0!</v>
      </c>
      <c r="AQ121" s="178" t="e">
        <f t="shared" si="104"/>
        <v>#DIV/0!</v>
      </c>
      <c r="AR121" s="178" t="e">
        <f t="shared" si="104"/>
        <v>#DIV/0!</v>
      </c>
      <c r="AS121" s="178" t="e">
        <f t="shared" si="104"/>
        <v>#DIV/0!</v>
      </c>
      <c r="AT121" s="168" t="e">
        <f t="shared" si="104"/>
        <v>#DIV/0!</v>
      </c>
      <c r="AU121" s="169" t="e">
        <f t="shared" si="88"/>
        <v>#DIV/0!</v>
      </c>
      <c r="AV121" s="179" t="e">
        <f t="shared" si="89"/>
        <v>#DIV/0!</v>
      </c>
      <c r="AW121" s="180" t="e">
        <f t="shared" si="120"/>
        <v>#DIV/0!</v>
      </c>
      <c r="AX121" s="178" t="e">
        <f t="shared" si="120"/>
        <v>#DIV/0!</v>
      </c>
      <c r="AY121" s="178" t="e">
        <f t="shared" si="120"/>
        <v>#DIV/0!</v>
      </c>
      <c r="AZ121" s="178" t="e">
        <f t="shared" si="120"/>
        <v>#DIV/0!</v>
      </c>
      <c r="BA121" s="178" t="e">
        <f t="shared" si="120"/>
        <v>#DIV/0!</v>
      </c>
      <c r="BB121" s="178" t="e">
        <f t="shared" si="120"/>
        <v>#DIV/0!</v>
      </c>
      <c r="BC121" s="178" t="e">
        <f t="shared" si="120"/>
        <v>#DIV/0!</v>
      </c>
      <c r="BD121" s="178" t="e">
        <f t="shared" si="120"/>
        <v>#DIV/0!</v>
      </c>
      <c r="BE121" s="178" t="e">
        <f t="shared" si="120"/>
        <v>#DIV/0!</v>
      </c>
      <c r="BF121" s="178" t="e">
        <f t="shared" si="120"/>
        <v>#DIV/0!</v>
      </c>
      <c r="BG121" s="178" t="e">
        <f t="shared" si="120"/>
        <v>#DIV/0!</v>
      </c>
      <c r="BH121" s="168" t="e">
        <f t="shared" si="120"/>
        <v>#DIV/0!</v>
      </c>
      <c r="BI121" s="169" t="e">
        <f t="shared" si="90"/>
        <v>#DIV/0!</v>
      </c>
      <c r="BJ121" s="179" t="e">
        <f t="shared" si="91"/>
        <v>#DIV/0!</v>
      </c>
      <c r="BK121" s="180" t="e">
        <f t="shared" si="121"/>
        <v>#DIV/0!</v>
      </c>
      <c r="BL121" s="178" t="e">
        <f t="shared" si="121"/>
        <v>#DIV/0!</v>
      </c>
      <c r="BM121" s="178" t="e">
        <f t="shared" si="121"/>
        <v>#DIV/0!</v>
      </c>
      <c r="BN121" s="178" t="e">
        <f t="shared" si="121"/>
        <v>#DIV/0!</v>
      </c>
      <c r="BO121" s="178" t="e">
        <f t="shared" si="121"/>
        <v>#DIV/0!</v>
      </c>
      <c r="BP121" s="178" t="e">
        <f t="shared" si="121"/>
        <v>#DIV/0!</v>
      </c>
      <c r="BQ121" s="178" t="e">
        <f t="shared" si="121"/>
        <v>#DIV/0!</v>
      </c>
      <c r="BR121" s="178" t="e">
        <f t="shared" si="121"/>
        <v>#DIV/0!</v>
      </c>
      <c r="BS121" s="178" t="e">
        <f t="shared" si="121"/>
        <v>#DIV/0!</v>
      </c>
      <c r="BT121" s="178" t="e">
        <f t="shared" si="121"/>
        <v>#DIV/0!</v>
      </c>
      <c r="BU121" s="178" t="e">
        <f t="shared" si="121"/>
        <v>#DIV/0!</v>
      </c>
      <c r="BV121" s="168" t="e">
        <f t="shared" si="121"/>
        <v>#DIV/0!</v>
      </c>
      <c r="BW121" s="169" t="e">
        <f t="shared" si="92"/>
        <v>#DIV/0!</v>
      </c>
      <c r="BX121" s="179" t="e">
        <f t="shared" si="93"/>
        <v>#DIV/0!</v>
      </c>
      <c r="BY121" s="180" t="e">
        <f t="shared" si="122"/>
        <v>#DIV/0!</v>
      </c>
      <c r="BZ121" s="178" t="e">
        <f t="shared" si="122"/>
        <v>#DIV/0!</v>
      </c>
      <c r="CA121" s="178" t="e">
        <f t="shared" si="122"/>
        <v>#DIV/0!</v>
      </c>
      <c r="CB121" s="178" t="e">
        <f t="shared" si="122"/>
        <v>#DIV/0!</v>
      </c>
      <c r="CC121" s="178" t="e">
        <f t="shared" si="122"/>
        <v>#DIV/0!</v>
      </c>
      <c r="CD121" s="178" t="e">
        <f t="shared" si="122"/>
        <v>#DIV/0!</v>
      </c>
      <c r="CE121" s="178" t="e">
        <f t="shared" si="122"/>
        <v>#DIV/0!</v>
      </c>
      <c r="CF121" s="178" t="e">
        <f t="shared" si="122"/>
        <v>#DIV/0!</v>
      </c>
      <c r="CG121" s="178" t="e">
        <f t="shared" si="122"/>
        <v>#DIV/0!</v>
      </c>
      <c r="CH121" s="178" t="e">
        <f t="shared" si="122"/>
        <v>#DIV/0!</v>
      </c>
      <c r="CI121" s="178" t="e">
        <f t="shared" si="122"/>
        <v>#DIV/0!</v>
      </c>
      <c r="CJ121" s="168" t="e">
        <f t="shared" si="122"/>
        <v>#DIV/0!</v>
      </c>
      <c r="CK121" s="169" t="e">
        <f t="shared" si="94"/>
        <v>#DIV/0!</v>
      </c>
      <c r="CL121" s="179" t="e">
        <f t="shared" si="95"/>
        <v>#DIV/0!</v>
      </c>
      <c r="CM121" s="180" t="e">
        <f t="shared" si="123"/>
        <v>#DIV/0!</v>
      </c>
      <c r="CN121" s="178" t="e">
        <f t="shared" si="123"/>
        <v>#DIV/0!</v>
      </c>
      <c r="CO121" s="178" t="e">
        <f t="shared" si="123"/>
        <v>#DIV/0!</v>
      </c>
      <c r="CP121" s="178" t="e">
        <f t="shared" si="123"/>
        <v>#DIV/0!</v>
      </c>
      <c r="CQ121" s="178" t="e">
        <f t="shared" si="123"/>
        <v>#DIV/0!</v>
      </c>
      <c r="CR121" s="178" t="e">
        <f t="shared" si="123"/>
        <v>#DIV/0!</v>
      </c>
      <c r="CS121" s="178" t="e">
        <f t="shared" si="123"/>
        <v>#DIV/0!</v>
      </c>
      <c r="CT121" s="178" t="e">
        <f t="shared" si="123"/>
        <v>#DIV/0!</v>
      </c>
      <c r="CU121" s="178" t="e">
        <f t="shared" si="123"/>
        <v>#DIV/0!</v>
      </c>
      <c r="CV121" s="178" t="e">
        <f t="shared" si="123"/>
        <v>#DIV/0!</v>
      </c>
      <c r="CW121" s="178" t="e">
        <f t="shared" si="123"/>
        <v>#DIV/0!</v>
      </c>
      <c r="CX121" s="168" t="e">
        <f t="shared" si="123"/>
        <v>#DIV/0!</v>
      </c>
      <c r="CY121" s="169" t="e">
        <f t="shared" si="96"/>
        <v>#DIV/0!</v>
      </c>
      <c r="CZ121" s="179" t="e">
        <f t="shared" si="97"/>
        <v>#DIV/0!</v>
      </c>
      <c r="DA121" s="180" t="e">
        <f t="shared" si="124"/>
        <v>#DIV/0!</v>
      </c>
      <c r="DB121" s="178" t="e">
        <f t="shared" si="124"/>
        <v>#DIV/0!</v>
      </c>
      <c r="DC121" s="178" t="e">
        <f t="shared" si="124"/>
        <v>#DIV/0!</v>
      </c>
      <c r="DD121" s="178" t="e">
        <f t="shared" si="124"/>
        <v>#DIV/0!</v>
      </c>
      <c r="DE121" s="178" t="e">
        <f t="shared" si="124"/>
        <v>#DIV/0!</v>
      </c>
      <c r="DF121" s="178" t="e">
        <f t="shared" si="124"/>
        <v>#DIV/0!</v>
      </c>
      <c r="DG121" s="178" t="e">
        <f t="shared" si="124"/>
        <v>#DIV/0!</v>
      </c>
      <c r="DH121" s="178" t="e">
        <f t="shared" si="124"/>
        <v>#DIV/0!</v>
      </c>
      <c r="DI121" s="178" t="e">
        <f t="shared" si="124"/>
        <v>#DIV/0!</v>
      </c>
      <c r="DJ121" s="178" t="e">
        <f t="shared" si="124"/>
        <v>#DIV/0!</v>
      </c>
      <c r="DK121" s="178" t="e">
        <f t="shared" si="124"/>
        <v>#DIV/0!</v>
      </c>
      <c r="DL121" s="168" t="e">
        <f t="shared" si="124"/>
        <v>#DIV/0!</v>
      </c>
      <c r="DM121" s="169" t="e">
        <f t="shared" si="98"/>
        <v>#DIV/0!</v>
      </c>
      <c r="DN121" s="171" t="e">
        <f t="shared" si="99"/>
        <v>#DIV/0!</v>
      </c>
      <c r="DO121" s="180" t="e">
        <f t="shared" si="125"/>
        <v>#DIV/0!</v>
      </c>
      <c r="DP121" s="178" t="e">
        <f t="shared" si="125"/>
        <v>#DIV/0!</v>
      </c>
      <c r="DQ121" s="178" t="e">
        <f t="shared" si="125"/>
        <v>#DIV/0!</v>
      </c>
      <c r="DR121" s="178" t="e">
        <f t="shared" si="125"/>
        <v>#DIV/0!</v>
      </c>
      <c r="DS121" s="178" t="e">
        <f t="shared" si="125"/>
        <v>#DIV/0!</v>
      </c>
      <c r="DT121" s="178" t="e">
        <f t="shared" si="125"/>
        <v>#DIV/0!</v>
      </c>
      <c r="DU121" s="178" t="e">
        <f t="shared" si="125"/>
        <v>#DIV/0!</v>
      </c>
      <c r="DV121" s="178" t="e">
        <f t="shared" si="125"/>
        <v>#DIV/0!</v>
      </c>
      <c r="DW121" s="178" t="e">
        <f t="shared" si="125"/>
        <v>#DIV/0!</v>
      </c>
      <c r="DX121" s="178" t="e">
        <f t="shared" si="125"/>
        <v>#DIV/0!</v>
      </c>
      <c r="DY121" s="178" t="e">
        <f t="shared" si="125"/>
        <v>#DIV/0!</v>
      </c>
      <c r="DZ121" s="168" t="e">
        <f t="shared" si="125"/>
        <v>#DIV/0!</v>
      </c>
      <c r="EA121" s="169" t="e">
        <f t="shared" si="100"/>
        <v>#DIV/0!</v>
      </c>
      <c r="EB121" s="171" t="e">
        <f t="shared" si="101"/>
        <v>#DIV/0!</v>
      </c>
    </row>
    <row r="122" spans="1:132" s="177" customFormat="1" ht="15.75">
      <c r="A122" s="183"/>
      <c r="B122" s="164"/>
      <c r="C122" s="184"/>
      <c r="D122" s="185"/>
      <c r="E122" s="167"/>
      <c r="F122" s="168" t="e">
        <f t="shared" si="83"/>
        <v>#DIV/0!</v>
      </c>
      <c r="G122" s="169" t="e">
        <f t="shared" si="128"/>
        <v>#DIV/0!</v>
      </c>
      <c r="H122" s="178" t="e">
        <f t="shared" si="128"/>
        <v>#DIV/0!</v>
      </c>
      <c r="I122" s="178" t="e">
        <f t="shared" si="128"/>
        <v>#DIV/0!</v>
      </c>
      <c r="J122" s="178" t="e">
        <f t="shared" si="128"/>
        <v>#DIV/0!</v>
      </c>
      <c r="K122" s="178" t="e">
        <f t="shared" si="128"/>
        <v>#DIV/0!</v>
      </c>
      <c r="L122" s="178" t="e">
        <f t="shared" si="128"/>
        <v>#DIV/0!</v>
      </c>
      <c r="M122" s="178" t="e">
        <f t="shared" si="128"/>
        <v>#DIV/0!</v>
      </c>
      <c r="N122" s="178" t="e">
        <f t="shared" si="128"/>
        <v>#DIV/0!</v>
      </c>
      <c r="O122" s="178" t="e">
        <f t="shared" si="128"/>
        <v>#DIV/0!</v>
      </c>
      <c r="P122" s="178" t="e">
        <f t="shared" si="128"/>
        <v>#DIV/0!</v>
      </c>
      <c r="Q122" s="178" t="e">
        <f t="shared" si="128"/>
        <v>#DIV/0!</v>
      </c>
      <c r="R122" s="179" t="e">
        <f t="shared" si="128"/>
        <v>#DIV/0!</v>
      </c>
      <c r="S122" s="169" t="e">
        <f t="shared" si="84"/>
        <v>#DIV/0!</v>
      </c>
      <c r="T122" s="179" t="e">
        <f t="shared" si="85"/>
        <v>#DIV/0!</v>
      </c>
      <c r="U122" s="180" t="e">
        <f t="shared" si="119"/>
        <v>#DIV/0!</v>
      </c>
      <c r="V122" s="178" t="e">
        <f t="shared" si="119"/>
        <v>#DIV/0!</v>
      </c>
      <c r="W122" s="178" t="e">
        <f t="shared" si="119"/>
        <v>#DIV/0!</v>
      </c>
      <c r="X122" s="178" t="e">
        <f t="shared" si="119"/>
        <v>#DIV/0!</v>
      </c>
      <c r="Y122" s="178" t="e">
        <f t="shared" si="119"/>
        <v>#DIV/0!</v>
      </c>
      <c r="Z122" s="178" t="e">
        <f t="shared" si="119"/>
        <v>#DIV/0!</v>
      </c>
      <c r="AA122" s="178" t="e">
        <f t="shared" si="119"/>
        <v>#DIV/0!</v>
      </c>
      <c r="AB122" s="178" t="e">
        <f t="shared" si="119"/>
        <v>#DIV/0!</v>
      </c>
      <c r="AC122" s="178" t="e">
        <f t="shared" si="119"/>
        <v>#DIV/0!</v>
      </c>
      <c r="AD122" s="178" t="e">
        <f t="shared" si="119"/>
        <v>#DIV/0!</v>
      </c>
      <c r="AE122" s="178" t="e">
        <f t="shared" si="119"/>
        <v>#DIV/0!</v>
      </c>
      <c r="AF122" s="168" t="e">
        <f t="shared" si="119"/>
        <v>#DIV/0!</v>
      </c>
      <c r="AG122" s="169" t="e">
        <f t="shared" si="86"/>
        <v>#DIV/0!</v>
      </c>
      <c r="AH122" s="179" t="e">
        <f t="shared" si="87"/>
        <v>#DIV/0!</v>
      </c>
      <c r="AI122" s="180" t="e">
        <f t="shared" si="104"/>
        <v>#DIV/0!</v>
      </c>
      <c r="AJ122" s="178" t="e">
        <f t="shared" si="104"/>
        <v>#DIV/0!</v>
      </c>
      <c r="AK122" s="178" t="e">
        <f t="shared" si="104"/>
        <v>#DIV/0!</v>
      </c>
      <c r="AL122" s="178" t="e">
        <f t="shared" si="104"/>
        <v>#DIV/0!</v>
      </c>
      <c r="AM122" s="178" t="e">
        <f t="shared" si="104"/>
        <v>#DIV/0!</v>
      </c>
      <c r="AN122" s="178" t="e">
        <f t="shared" si="104"/>
        <v>#DIV/0!</v>
      </c>
      <c r="AO122" s="178" t="e">
        <f t="shared" si="104"/>
        <v>#DIV/0!</v>
      </c>
      <c r="AP122" s="178" t="e">
        <f t="shared" si="104"/>
        <v>#DIV/0!</v>
      </c>
      <c r="AQ122" s="178" t="e">
        <f t="shared" si="104"/>
        <v>#DIV/0!</v>
      </c>
      <c r="AR122" s="178" t="e">
        <f t="shared" si="104"/>
        <v>#DIV/0!</v>
      </c>
      <c r="AS122" s="178" t="e">
        <f t="shared" si="104"/>
        <v>#DIV/0!</v>
      </c>
      <c r="AT122" s="168" t="e">
        <f t="shared" si="104"/>
        <v>#DIV/0!</v>
      </c>
      <c r="AU122" s="169" t="e">
        <f t="shared" si="88"/>
        <v>#DIV/0!</v>
      </c>
      <c r="AV122" s="179" t="e">
        <f t="shared" si="89"/>
        <v>#DIV/0!</v>
      </c>
      <c r="AW122" s="180" t="e">
        <f t="shared" si="120"/>
        <v>#DIV/0!</v>
      </c>
      <c r="AX122" s="178" t="e">
        <f t="shared" si="120"/>
        <v>#DIV/0!</v>
      </c>
      <c r="AY122" s="178" t="e">
        <f t="shared" si="120"/>
        <v>#DIV/0!</v>
      </c>
      <c r="AZ122" s="178" t="e">
        <f t="shared" si="120"/>
        <v>#DIV/0!</v>
      </c>
      <c r="BA122" s="178" t="e">
        <f t="shared" si="120"/>
        <v>#DIV/0!</v>
      </c>
      <c r="BB122" s="178" t="e">
        <f t="shared" si="120"/>
        <v>#DIV/0!</v>
      </c>
      <c r="BC122" s="178" t="e">
        <f t="shared" si="120"/>
        <v>#DIV/0!</v>
      </c>
      <c r="BD122" s="178" t="e">
        <f t="shared" si="120"/>
        <v>#DIV/0!</v>
      </c>
      <c r="BE122" s="178" t="e">
        <f t="shared" si="120"/>
        <v>#DIV/0!</v>
      </c>
      <c r="BF122" s="178" t="e">
        <f t="shared" si="120"/>
        <v>#DIV/0!</v>
      </c>
      <c r="BG122" s="178" t="e">
        <f t="shared" si="120"/>
        <v>#DIV/0!</v>
      </c>
      <c r="BH122" s="168" t="e">
        <f t="shared" si="120"/>
        <v>#DIV/0!</v>
      </c>
      <c r="BI122" s="169" t="e">
        <f t="shared" si="90"/>
        <v>#DIV/0!</v>
      </c>
      <c r="BJ122" s="179" t="e">
        <f t="shared" si="91"/>
        <v>#DIV/0!</v>
      </c>
      <c r="BK122" s="180" t="e">
        <f t="shared" si="121"/>
        <v>#DIV/0!</v>
      </c>
      <c r="BL122" s="178" t="e">
        <f t="shared" si="121"/>
        <v>#DIV/0!</v>
      </c>
      <c r="BM122" s="178" t="e">
        <f t="shared" si="121"/>
        <v>#DIV/0!</v>
      </c>
      <c r="BN122" s="178" t="e">
        <f t="shared" si="121"/>
        <v>#DIV/0!</v>
      </c>
      <c r="BO122" s="178" t="e">
        <f t="shared" si="121"/>
        <v>#DIV/0!</v>
      </c>
      <c r="BP122" s="178" t="e">
        <f t="shared" si="121"/>
        <v>#DIV/0!</v>
      </c>
      <c r="BQ122" s="178" t="e">
        <f t="shared" si="121"/>
        <v>#DIV/0!</v>
      </c>
      <c r="BR122" s="178" t="e">
        <f t="shared" si="121"/>
        <v>#DIV/0!</v>
      </c>
      <c r="BS122" s="178" t="e">
        <f t="shared" si="121"/>
        <v>#DIV/0!</v>
      </c>
      <c r="BT122" s="178" t="e">
        <f t="shared" si="121"/>
        <v>#DIV/0!</v>
      </c>
      <c r="BU122" s="178" t="e">
        <f t="shared" si="121"/>
        <v>#DIV/0!</v>
      </c>
      <c r="BV122" s="168" t="e">
        <f t="shared" si="121"/>
        <v>#DIV/0!</v>
      </c>
      <c r="BW122" s="169" t="e">
        <f t="shared" si="92"/>
        <v>#DIV/0!</v>
      </c>
      <c r="BX122" s="179" t="e">
        <f t="shared" si="93"/>
        <v>#DIV/0!</v>
      </c>
      <c r="BY122" s="180" t="e">
        <f t="shared" si="122"/>
        <v>#DIV/0!</v>
      </c>
      <c r="BZ122" s="178" t="e">
        <f t="shared" si="122"/>
        <v>#DIV/0!</v>
      </c>
      <c r="CA122" s="178" t="e">
        <f t="shared" si="122"/>
        <v>#DIV/0!</v>
      </c>
      <c r="CB122" s="178" t="e">
        <f t="shared" si="122"/>
        <v>#DIV/0!</v>
      </c>
      <c r="CC122" s="178" t="e">
        <f t="shared" si="122"/>
        <v>#DIV/0!</v>
      </c>
      <c r="CD122" s="178" t="e">
        <f t="shared" si="122"/>
        <v>#DIV/0!</v>
      </c>
      <c r="CE122" s="178" t="e">
        <f t="shared" si="122"/>
        <v>#DIV/0!</v>
      </c>
      <c r="CF122" s="178" t="e">
        <f t="shared" si="122"/>
        <v>#DIV/0!</v>
      </c>
      <c r="CG122" s="178" t="e">
        <f t="shared" si="122"/>
        <v>#DIV/0!</v>
      </c>
      <c r="CH122" s="178" t="e">
        <f t="shared" si="122"/>
        <v>#DIV/0!</v>
      </c>
      <c r="CI122" s="178" t="e">
        <f t="shared" si="122"/>
        <v>#DIV/0!</v>
      </c>
      <c r="CJ122" s="168" t="e">
        <f t="shared" si="122"/>
        <v>#DIV/0!</v>
      </c>
      <c r="CK122" s="169" t="e">
        <f t="shared" si="94"/>
        <v>#DIV/0!</v>
      </c>
      <c r="CL122" s="179" t="e">
        <f t="shared" si="95"/>
        <v>#DIV/0!</v>
      </c>
      <c r="CM122" s="180" t="e">
        <f t="shared" si="123"/>
        <v>#DIV/0!</v>
      </c>
      <c r="CN122" s="178" t="e">
        <f t="shared" si="123"/>
        <v>#DIV/0!</v>
      </c>
      <c r="CO122" s="178" t="e">
        <f t="shared" si="123"/>
        <v>#DIV/0!</v>
      </c>
      <c r="CP122" s="178" t="e">
        <f t="shared" si="123"/>
        <v>#DIV/0!</v>
      </c>
      <c r="CQ122" s="178" t="e">
        <f t="shared" si="123"/>
        <v>#DIV/0!</v>
      </c>
      <c r="CR122" s="178" t="e">
        <f t="shared" si="123"/>
        <v>#DIV/0!</v>
      </c>
      <c r="CS122" s="178" t="e">
        <f t="shared" si="123"/>
        <v>#DIV/0!</v>
      </c>
      <c r="CT122" s="178" t="e">
        <f t="shared" si="123"/>
        <v>#DIV/0!</v>
      </c>
      <c r="CU122" s="178" t="e">
        <f t="shared" si="123"/>
        <v>#DIV/0!</v>
      </c>
      <c r="CV122" s="178" t="e">
        <f t="shared" si="123"/>
        <v>#DIV/0!</v>
      </c>
      <c r="CW122" s="178" t="e">
        <f t="shared" si="123"/>
        <v>#DIV/0!</v>
      </c>
      <c r="CX122" s="168" t="e">
        <f t="shared" si="123"/>
        <v>#DIV/0!</v>
      </c>
      <c r="CY122" s="169" t="e">
        <f t="shared" si="96"/>
        <v>#DIV/0!</v>
      </c>
      <c r="CZ122" s="179" t="e">
        <f t="shared" si="97"/>
        <v>#DIV/0!</v>
      </c>
      <c r="DA122" s="180" t="e">
        <f t="shared" si="124"/>
        <v>#DIV/0!</v>
      </c>
      <c r="DB122" s="178" t="e">
        <f t="shared" si="124"/>
        <v>#DIV/0!</v>
      </c>
      <c r="DC122" s="178" t="e">
        <f t="shared" si="124"/>
        <v>#DIV/0!</v>
      </c>
      <c r="DD122" s="178" t="e">
        <f t="shared" si="124"/>
        <v>#DIV/0!</v>
      </c>
      <c r="DE122" s="178" t="e">
        <f t="shared" si="124"/>
        <v>#DIV/0!</v>
      </c>
      <c r="DF122" s="178" t="e">
        <f t="shared" si="124"/>
        <v>#DIV/0!</v>
      </c>
      <c r="DG122" s="178" t="e">
        <f t="shared" si="124"/>
        <v>#DIV/0!</v>
      </c>
      <c r="DH122" s="178" t="e">
        <f t="shared" si="124"/>
        <v>#DIV/0!</v>
      </c>
      <c r="DI122" s="178" t="e">
        <f t="shared" si="124"/>
        <v>#DIV/0!</v>
      </c>
      <c r="DJ122" s="178" t="e">
        <f t="shared" si="124"/>
        <v>#DIV/0!</v>
      </c>
      <c r="DK122" s="178" t="e">
        <f t="shared" si="124"/>
        <v>#DIV/0!</v>
      </c>
      <c r="DL122" s="168" t="e">
        <f t="shared" si="124"/>
        <v>#DIV/0!</v>
      </c>
      <c r="DM122" s="169" t="e">
        <f t="shared" si="98"/>
        <v>#DIV/0!</v>
      </c>
      <c r="DN122" s="171" t="e">
        <f t="shared" si="99"/>
        <v>#DIV/0!</v>
      </c>
      <c r="DO122" s="180" t="e">
        <f t="shared" si="125"/>
        <v>#DIV/0!</v>
      </c>
      <c r="DP122" s="178" t="e">
        <f t="shared" si="125"/>
        <v>#DIV/0!</v>
      </c>
      <c r="DQ122" s="178" t="e">
        <f t="shared" si="125"/>
        <v>#DIV/0!</v>
      </c>
      <c r="DR122" s="178" t="e">
        <f t="shared" si="125"/>
        <v>#DIV/0!</v>
      </c>
      <c r="DS122" s="178" t="e">
        <f t="shared" si="125"/>
        <v>#DIV/0!</v>
      </c>
      <c r="DT122" s="178" t="e">
        <f t="shared" si="125"/>
        <v>#DIV/0!</v>
      </c>
      <c r="DU122" s="178" t="e">
        <f t="shared" si="125"/>
        <v>#DIV/0!</v>
      </c>
      <c r="DV122" s="178" t="e">
        <f t="shared" si="125"/>
        <v>#DIV/0!</v>
      </c>
      <c r="DW122" s="178" t="e">
        <f t="shared" si="125"/>
        <v>#DIV/0!</v>
      </c>
      <c r="DX122" s="178" t="e">
        <f t="shared" si="125"/>
        <v>#DIV/0!</v>
      </c>
      <c r="DY122" s="178" t="e">
        <f t="shared" si="125"/>
        <v>#DIV/0!</v>
      </c>
      <c r="DZ122" s="168" t="e">
        <f t="shared" si="125"/>
        <v>#DIV/0!</v>
      </c>
      <c r="EA122" s="169" t="e">
        <f t="shared" si="100"/>
        <v>#DIV/0!</v>
      </c>
      <c r="EB122" s="171" t="e">
        <f t="shared" si="101"/>
        <v>#DIV/0!</v>
      </c>
    </row>
    <row r="123" spans="1:132" s="177" customFormat="1" ht="15.75">
      <c r="A123" s="183"/>
      <c r="B123" s="164"/>
      <c r="C123" s="184"/>
      <c r="D123" s="185"/>
      <c r="E123" s="167"/>
      <c r="F123" s="168" t="e">
        <f t="shared" si="83"/>
        <v>#DIV/0!</v>
      </c>
      <c r="G123" s="169" t="e">
        <f t="shared" si="128"/>
        <v>#DIV/0!</v>
      </c>
      <c r="H123" s="178" t="e">
        <f t="shared" si="128"/>
        <v>#DIV/0!</v>
      </c>
      <c r="I123" s="178" t="e">
        <f t="shared" si="128"/>
        <v>#DIV/0!</v>
      </c>
      <c r="J123" s="178" t="e">
        <f t="shared" si="128"/>
        <v>#DIV/0!</v>
      </c>
      <c r="K123" s="178" t="e">
        <f t="shared" si="128"/>
        <v>#DIV/0!</v>
      </c>
      <c r="L123" s="178" t="e">
        <f t="shared" si="128"/>
        <v>#DIV/0!</v>
      </c>
      <c r="M123" s="178" t="e">
        <f t="shared" si="128"/>
        <v>#DIV/0!</v>
      </c>
      <c r="N123" s="178" t="e">
        <f t="shared" si="128"/>
        <v>#DIV/0!</v>
      </c>
      <c r="O123" s="178" t="e">
        <f t="shared" si="128"/>
        <v>#DIV/0!</v>
      </c>
      <c r="P123" s="178" t="e">
        <f t="shared" si="128"/>
        <v>#DIV/0!</v>
      </c>
      <c r="Q123" s="178" t="e">
        <f t="shared" si="128"/>
        <v>#DIV/0!</v>
      </c>
      <c r="R123" s="179" t="e">
        <f t="shared" si="128"/>
        <v>#DIV/0!</v>
      </c>
      <c r="S123" s="169" t="e">
        <f t="shared" si="84"/>
        <v>#DIV/0!</v>
      </c>
      <c r="T123" s="179" t="e">
        <f t="shared" si="85"/>
        <v>#DIV/0!</v>
      </c>
      <c r="U123" s="180" t="e">
        <f t="shared" si="119"/>
        <v>#DIV/0!</v>
      </c>
      <c r="V123" s="178" t="e">
        <f t="shared" si="119"/>
        <v>#DIV/0!</v>
      </c>
      <c r="W123" s="178" t="e">
        <f t="shared" si="119"/>
        <v>#DIV/0!</v>
      </c>
      <c r="X123" s="178" t="e">
        <f t="shared" si="119"/>
        <v>#DIV/0!</v>
      </c>
      <c r="Y123" s="178" t="e">
        <f t="shared" si="119"/>
        <v>#DIV/0!</v>
      </c>
      <c r="Z123" s="178" t="e">
        <f t="shared" si="119"/>
        <v>#DIV/0!</v>
      </c>
      <c r="AA123" s="178" t="e">
        <f t="shared" si="119"/>
        <v>#DIV/0!</v>
      </c>
      <c r="AB123" s="178" t="e">
        <f t="shared" si="119"/>
        <v>#DIV/0!</v>
      </c>
      <c r="AC123" s="178" t="e">
        <f t="shared" si="119"/>
        <v>#DIV/0!</v>
      </c>
      <c r="AD123" s="178" t="e">
        <f t="shared" si="119"/>
        <v>#DIV/0!</v>
      </c>
      <c r="AE123" s="178" t="e">
        <f t="shared" si="119"/>
        <v>#DIV/0!</v>
      </c>
      <c r="AF123" s="168" t="e">
        <f t="shared" si="119"/>
        <v>#DIV/0!</v>
      </c>
      <c r="AG123" s="169" t="e">
        <f t="shared" si="86"/>
        <v>#DIV/0!</v>
      </c>
      <c r="AH123" s="179" t="e">
        <f t="shared" si="87"/>
        <v>#DIV/0!</v>
      </c>
      <c r="AI123" s="180" t="e">
        <f t="shared" si="104"/>
        <v>#DIV/0!</v>
      </c>
      <c r="AJ123" s="178" t="e">
        <f t="shared" si="104"/>
        <v>#DIV/0!</v>
      </c>
      <c r="AK123" s="178" t="e">
        <f t="shared" si="104"/>
        <v>#DIV/0!</v>
      </c>
      <c r="AL123" s="178" t="e">
        <f t="shared" si="104"/>
        <v>#DIV/0!</v>
      </c>
      <c r="AM123" s="178" t="e">
        <f t="shared" si="104"/>
        <v>#DIV/0!</v>
      </c>
      <c r="AN123" s="178" t="e">
        <f t="shared" si="104"/>
        <v>#DIV/0!</v>
      </c>
      <c r="AO123" s="178" t="e">
        <f t="shared" si="104"/>
        <v>#DIV/0!</v>
      </c>
      <c r="AP123" s="178" t="e">
        <f t="shared" si="104"/>
        <v>#DIV/0!</v>
      </c>
      <c r="AQ123" s="178" t="e">
        <f t="shared" si="104"/>
        <v>#DIV/0!</v>
      </c>
      <c r="AR123" s="178" t="e">
        <f t="shared" si="104"/>
        <v>#DIV/0!</v>
      </c>
      <c r="AS123" s="178" t="e">
        <f t="shared" si="104"/>
        <v>#DIV/0!</v>
      </c>
      <c r="AT123" s="168" t="e">
        <f t="shared" si="104"/>
        <v>#DIV/0!</v>
      </c>
      <c r="AU123" s="169" t="e">
        <f t="shared" si="88"/>
        <v>#DIV/0!</v>
      </c>
      <c r="AV123" s="179" t="e">
        <f t="shared" si="89"/>
        <v>#DIV/0!</v>
      </c>
      <c r="AW123" s="180" t="e">
        <f t="shared" si="120"/>
        <v>#DIV/0!</v>
      </c>
      <c r="AX123" s="178" t="e">
        <f t="shared" si="120"/>
        <v>#DIV/0!</v>
      </c>
      <c r="AY123" s="178" t="e">
        <f t="shared" si="120"/>
        <v>#DIV/0!</v>
      </c>
      <c r="AZ123" s="178" t="e">
        <f t="shared" si="120"/>
        <v>#DIV/0!</v>
      </c>
      <c r="BA123" s="178" t="e">
        <f t="shared" si="120"/>
        <v>#DIV/0!</v>
      </c>
      <c r="BB123" s="178" t="e">
        <f t="shared" si="120"/>
        <v>#DIV/0!</v>
      </c>
      <c r="BC123" s="178" t="e">
        <f t="shared" si="120"/>
        <v>#DIV/0!</v>
      </c>
      <c r="BD123" s="178" t="e">
        <f t="shared" si="120"/>
        <v>#DIV/0!</v>
      </c>
      <c r="BE123" s="178" t="e">
        <f t="shared" si="120"/>
        <v>#DIV/0!</v>
      </c>
      <c r="BF123" s="178" t="e">
        <f t="shared" si="120"/>
        <v>#DIV/0!</v>
      </c>
      <c r="BG123" s="178" t="e">
        <f t="shared" si="120"/>
        <v>#DIV/0!</v>
      </c>
      <c r="BH123" s="168" t="e">
        <f t="shared" si="120"/>
        <v>#DIV/0!</v>
      </c>
      <c r="BI123" s="169" t="e">
        <f t="shared" si="90"/>
        <v>#DIV/0!</v>
      </c>
      <c r="BJ123" s="179" t="e">
        <f t="shared" si="91"/>
        <v>#DIV/0!</v>
      </c>
      <c r="BK123" s="180" t="e">
        <f t="shared" si="121"/>
        <v>#DIV/0!</v>
      </c>
      <c r="BL123" s="178" t="e">
        <f t="shared" si="121"/>
        <v>#DIV/0!</v>
      </c>
      <c r="BM123" s="178" t="e">
        <f t="shared" si="121"/>
        <v>#DIV/0!</v>
      </c>
      <c r="BN123" s="178" t="e">
        <f t="shared" si="121"/>
        <v>#DIV/0!</v>
      </c>
      <c r="BO123" s="178" t="e">
        <f t="shared" si="121"/>
        <v>#DIV/0!</v>
      </c>
      <c r="BP123" s="178" t="e">
        <f t="shared" si="121"/>
        <v>#DIV/0!</v>
      </c>
      <c r="BQ123" s="178" t="e">
        <f t="shared" si="121"/>
        <v>#DIV/0!</v>
      </c>
      <c r="BR123" s="178" t="e">
        <f t="shared" si="121"/>
        <v>#DIV/0!</v>
      </c>
      <c r="BS123" s="178" t="e">
        <f t="shared" si="121"/>
        <v>#DIV/0!</v>
      </c>
      <c r="BT123" s="178" t="e">
        <f t="shared" si="121"/>
        <v>#DIV/0!</v>
      </c>
      <c r="BU123" s="178" t="e">
        <f t="shared" si="121"/>
        <v>#DIV/0!</v>
      </c>
      <c r="BV123" s="168" t="e">
        <f t="shared" si="121"/>
        <v>#DIV/0!</v>
      </c>
      <c r="BW123" s="169" t="e">
        <f t="shared" si="92"/>
        <v>#DIV/0!</v>
      </c>
      <c r="BX123" s="179" t="e">
        <f t="shared" si="93"/>
        <v>#DIV/0!</v>
      </c>
      <c r="BY123" s="180" t="e">
        <f t="shared" si="122"/>
        <v>#DIV/0!</v>
      </c>
      <c r="BZ123" s="178" t="e">
        <f t="shared" si="122"/>
        <v>#DIV/0!</v>
      </c>
      <c r="CA123" s="178" t="e">
        <f t="shared" si="122"/>
        <v>#DIV/0!</v>
      </c>
      <c r="CB123" s="178" t="e">
        <f t="shared" si="122"/>
        <v>#DIV/0!</v>
      </c>
      <c r="CC123" s="178" t="e">
        <f t="shared" si="122"/>
        <v>#DIV/0!</v>
      </c>
      <c r="CD123" s="178" t="e">
        <f t="shared" si="122"/>
        <v>#DIV/0!</v>
      </c>
      <c r="CE123" s="178" t="e">
        <f t="shared" si="122"/>
        <v>#DIV/0!</v>
      </c>
      <c r="CF123" s="178" t="e">
        <f t="shared" si="122"/>
        <v>#DIV/0!</v>
      </c>
      <c r="CG123" s="178" t="e">
        <f t="shared" si="122"/>
        <v>#DIV/0!</v>
      </c>
      <c r="CH123" s="178" t="e">
        <f t="shared" si="122"/>
        <v>#DIV/0!</v>
      </c>
      <c r="CI123" s="178" t="e">
        <f t="shared" si="122"/>
        <v>#DIV/0!</v>
      </c>
      <c r="CJ123" s="168" t="e">
        <f t="shared" si="122"/>
        <v>#DIV/0!</v>
      </c>
      <c r="CK123" s="169" t="e">
        <f t="shared" si="94"/>
        <v>#DIV/0!</v>
      </c>
      <c r="CL123" s="179" t="e">
        <f t="shared" si="95"/>
        <v>#DIV/0!</v>
      </c>
      <c r="CM123" s="180" t="e">
        <f t="shared" si="123"/>
        <v>#DIV/0!</v>
      </c>
      <c r="CN123" s="178" t="e">
        <f t="shared" si="123"/>
        <v>#DIV/0!</v>
      </c>
      <c r="CO123" s="178" t="e">
        <f t="shared" si="123"/>
        <v>#DIV/0!</v>
      </c>
      <c r="CP123" s="178" t="e">
        <f t="shared" si="123"/>
        <v>#DIV/0!</v>
      </c>
      <c r="CQ123" s="178" t="e">
        <f t="shared" si="123"/>
        <v>#DIV/0!</v>
      </c>
      <c r="CR123" s="178" t="e">
        <f t="shared" si="123"/>
        <v>#DIV/0!</v>
      </c>
      <c r="CS123" s="178" t="e">
        <f t="shared" si="123"/>
        <v>#DIV/0!</v>
      </c>
      <c r="CT123" s="178" t="e">
        <f t="shared" si="123"/>
        <v>#DIV/0!</v>
      </c>
      <c r="CU123" s="178" t="e">
        <f t="shared" si="123"/>
        <v>#DIV/0!</v>
      </c>
      <c r="CV123" s="178" t="e">
        <f t="shared" si="123"/>
        <v>#DIV/0!</v>
      </c>
      <c r="CW123" s="178" t="e">
        <f t="shared" si="123"/>
        <v>#DIV/0!</v>
      </c>
      <c r="CX123" s="168" t="e">
        <f t="shared" si="123"/>
        <v>#DIV/0!</v>
      </c>
      <c r="CY123" s="169" t="e">
        <f t="shared" si="96"/>
        <v>#DIV/0!</v>
      </c>
      <c r="CZ123" s="179" t="e">
        <f t="shared" si="97"/>
        <v>#DIV/0!</v>
      </c>
      <c r="DA123" s="180" t="e">
        <f t="shared" si="124"/>
        <v>#DIV/0!</v>
      </c>
      <c r="DB123" s="178" t="e">
        <f t="shared" si="124"/>
        <v>#DIV/0!</v>
      </c>
      <c r="DC123" s="178" t="e">
        <f t="shared" si="124"/>
        <v>#DIV/0!</v>
      </c>
      <c r="DD123" s="178" t="e">
        <f t="shared" si="124"/>
        <v>#DIV/0!</v>
      </c>
      <c r="DE123" s="178" t="e">
        <f t="shared" si="124"/>
        <v>#DIV/0!</v>
      </c>
      <c r="DF123" s="178" t="e">
        <f t="shared" si="124"/>
        <v>#DIV/0!</v>
      </c>
      <c r="DG123" s="178" t="e">
        <f t="shared" si="124"/>
        <v>#DIV/0!</v>
      </c>
      <c r="DH123" s="178" t="e">
        <f t="shared" si="124"/>
        <v>#DIV/0!</v>
      </c>
      <c r="DI123" s="178" t="e">
        <f t="shared" si="124"/>
        <v>#DIV/0!</v>
      </c>
      <c r="DJ123" s="178" t="e">
        <f t="shared" si="124"/>
        <v>#DIV/0!</v>
      </c>
      <c r="DK123" s="178" t="e">
        <f t="shared" si="124"/>
        <v>#DIV/0!</v>
      </c>
      <c r="DL123" s="168" t="e">
        <f t="shared" si="124"/>
        <v>#DIV/0!</v>
      </c>
      <c r="DM123" s="169" t="e">
        <f t="shared" si="98"/>
        <v>#DIV/0!</v>
      </c>
      <c r="DN123" s="171" t="e">
        <f t="shared" si="99"/>
        <v>#DIV/0!</v>
      </c>
      <c r="DO123" s="180" t="e">
        <f t="shared" si="125"/>
        <v>#DIV/0!</v>
      </c>
      <c r="DP123" s="178" t="e">
        <f t="shared" si="125"/>
        <v>#DIV/0!</v>
      </c>
      <c r="DQ123" s="178" t="e">
        <f t="shared" si="125"/>
        <v>#DIV/0!</v>
      </c>
      <c r="DR123" s="178" t="e">
        <f t="shared" si="125"/>
        <v>#DIV/0!</v>
      </c>
      <c r="DS123" s="178" t="e">
        <f t="shared" si="125"/>
        <v>#DIV/0!</v>
      </c>
      <c r="DT123" s="178" t="e">
        <f t="shared" si="125"/>
        <v>#DIV/0!</v>
      </c>
      <c r="DU123" s="178" t="e">
        <f t="shared" si="125"/>
        <v>#DIV/0!</v>
      </c>
      <c r="DV123" s="178" t="e">
        <f t="shared" si="125"/>
        <v>#DIV/0!</v>
      </c>
      <c r="DW123" s="178" t="e">
        <f t="shared" si="125"/>
        <v>#DIV/0!</v>
      </c>
      <c r="DX123" s="178" t="e">
        <f t="shared" si="125"/>
        <v>#DIV/0!</v>
      </c>
      <c r="DY123" s="178" t="e">
        <f t="shared" si="125"/>
        <v>#DIV/0!</v>
      </c>
      <c r="DZ123" s="168" t="e">
        <f t="shared" si="125"/>
        <v>#DIV/0!</v>
      </c>
      <c r="EA123" s="169" t="e">
        <f t="shared" si="100"/>
        <v>#DIV/0!</v>
      </c>
      <c r="EB123" s="171" t="e">
        <f t="shared" si="101"/>
        <v>#DIV/0!</v>
      </c>
    </row>
    <row r="124" spans="1:132" s="177" customFormat="1" ht="15.75">
      <c r="A124" s="183"/>
      <c r="B124" s="164"/>
      <c r="C124" s="184"/>
      <c r="D124" s="185"/>
      <c r="E124" s="167"/>
      <c r="F124" s="168" t="e">
        <f t="shared" si="83"/>
        <v>#DIV/0!</v>
      </c>
      <c r="G124" s="169" t="e">
        <f t="shared" si="128"/>
        <v>#DIV/0!</v>
      </c>
      <c r="H124" s="178" t="e">
        <f t="shared" si="128"/>
        <v>#DIV/0!</v>
      </c>
      <c r="I124" s="178" t="e">
        <f t="shared" si="128"/>
        <v>#DIV/0!</v>
      </c>
      <c r="J124" s="178" t="e">
        <f t="shared" si="128"/>
        <v>#DIV/0!</v>
      </c>
      <c r="K124" s="178" t="e">
        <f t="shared" si="128"/>
        <v>#DIV/0!</v>
      </c>
      <c r="L124" s="178" t="e">
        <f t="shared" si="128"/>
        <v>#DIV/0!</v>
      </c>
      <c r="M124" s="178" t="e">
        <f t="shared" si="128"/>
        <v>#DIV/0!</v>
      </c>
      <c r="N124" s="178" t="e">
        <f t="shared" si="128"/>
        <v>#DIV/0!</v>
      </c>
      <c r="O124" s="178" t="e">
        <f t="shared" si="128"/>
        <v>#DIV/0!</v>
      </c>
      <c r="P124" s="178" t="e">
        <f t="shared" si="128"/>
        <v>#DIV/0!</v>
      </c>
      <c r="Q124" s="178" t="e">
        <f t="shared" si="128"/>
        <v>#DIV/0!</v>
      </c>
      <c r="R124" s="179" t="e">
        <f t="shared" si="128"/>
        <v>#DIV/0!</v>
      </c>
      <c r="S124" s="169" t="e">
        <f t="shared" si="84"/>
        <v>#DIV/0!</v>
      </c>
      <c r="T124" s="179" t="e">
        <f t="shared" si="85"/>
        <v>#DIV/0!</v>
      </c>
      <c r="U124" s="180" t="e">
        <f t="shared" si="119"/>
        <v>#DIV/0!</v>
      </c>
      <c r="V124" s="178" t="e">
        <f t="shared" si="119"/>
        <v>#DIV/0!</v>
      </c>
      <c r="W124" s="178" t="e">
        <f t="shared" si="119"/>
        <v>#DIV/0!</v>
      </c>
      <c r="X124" s="178" t="e">
        <f t="shared" si="119"/>
        <v>#DIV/0!</v>
      </c>
      <c r="Y124" s="178" t="e">
        <f t="shared" si="119"/>
        <v>#DIV/0!</v>
      </c>
      <c r="Z124" s="178" t="e">
        <f t="shared" si="119"/>
        <v>#DIV/0!</v>
      </c>
      <c r="AA124" s="178" t="e">
        <f t="shared" si="119"/>
        <v>#DIV/0!</v>
      </c>
      <c r="AB124" s="178" t="e">
        <f t="shared" si="119"/>
        <v>#DIV/0!</v>
      </c>
      <c r="AC124" s="178" t="e">
        <f t="shared" si="119"/>
        <v>#DIV/0!</v>
      </c>
      <c r="AD124" s="178" t="e">
        <f t="shared" si="119"/>
        <v>#DIV/0!</v>
      </c>
      <c r="AE124" s="178" t="e">
        <f t="shared" si="119"/>
        <v>#DIV/0!</v>
      </c>
      <c r="AF124" s="168" t="e">
        <f t="shared" si="119"/>
        <v>#DIV/0!</v>
      </c>
      <c r="AG124" s="169" t="e">
        <f t="shared" si="86"/>
        <v>#DIV/0!</v>
      </c>
      <c r="AH124" s="179" t="e">
        <f t="shared" si="87"/>
        <v>#DIV/0!</v>
      </c>
      <c r="AI124" s="180" t="e">
        <f t="shared" si="104"/>
        <v>#DIV/0!</v>
      </c>
      <c r="AJ124" s="178" t="e">
        <f t="shared" si="104"/>
        <v>#DIV/0!</v>
      </c>
      <c r="AK124" s="178" t="e">
        <f t="shared" si="104"/>
        <v>#DIV/0!</v>
      </c>
      <c r="AL124" s="178" t="e">
        <f t="shared" si="104"/>
        <v>#DIV/0!</v>
      </c>
      <c r="AM124" s="178" t="e">
        <f t="shared" si="104"/>
        <v>#DIV/0!</v>
      </c>
      <c r="AN124" s="178" t="e">
        <f t="shared" si="104"/>
        <v>#DIV/0!</v>
      </c>
      <c r="AO124" s="178" t="e">
        <f t="shared" si="104"/>
        <v>#DIV/0!</v>
      </c>
      <c r="AP124" s="178" t="e">
        <f t="shared" si="104"/>
        <v>#DIV/0!</v>
      </c>
      <c r="AQ124" s="178" t="e">
        <f t="shared" si="104"/>
        <v>#DIV/0!</v>
      </c>
      <c r="AR124" s="178" t="e">
        <f t="shared" si="104"/>
        <v>#DIV/0!</v>
      </c>
      <c r="AS124" s="178" t="e">
        <f t="shared" si="104"/>
        <v>#DIV/0!</v>
      </c>
      <c r="AT124" s="168" t="e">
        <f t="shared" si="104"/>
        <v>#DIV/0!</v>
      </c>
      <c r="AU124" s="169" t="e">
        <f t="shared" si="88"/>
        <v>#DIV/0!</v>
      </c>
      <c r="AV124" s="179" t="e">
        <f t="shared" si="89"/>
        <v>#DIV/0!</v>
      </c>
      <c r="AW124" s="180" t="e">
        <f t="shared" si="120"/>
        <v>#DIV/0!</v>
      </c>
      <c r="AX124" s="178" t="e">
        <f t="shared" si="120"/>
        <v>#DIV/0!</v>
      </c>
      <c r="AY124" s="178" t="e">
        <f t="shared" si="120"/>
        <v>#DIV/0!</v>
      </c>
      <c r="AZ124" s="178" t="e">
        <f t="shared" si="120"/>
        <v>#DIV/0!</v>
      </c>
      <c r="BA124" s="178" t="e">
        <f t="shared" si="120"/>
        <v>#DIV/0!</v>
      </c>
      <c r="BB124" s="178" t="e">
        <f t="shared" si="120"/>
        <v>#DIV/0!</v>
      </c>
      <c r="BC124" s="178" t="e">
        <f t="shared" si="120"/>
        <v>#DIV/0!</v>
      </c>
      <c r="BD124" s="178" t="e">
        <f t="shared" si="120"/>
        <v>#DIV/0!</v>
      </c>
      <c r="BE124" s="178" t="e">
        <f t="shared" si="120"/>
        <v>#DIV/0!</v>
      </c>
      <c r="BF124" s="178" t="e">
        <f t="shared" si="120"/>
        <v>#DIV/0!</v>
      </c>
      <c r="BG124" s="178" t="e">
        <f t="shared" si="120"/>
        <v>#DIV/0!</v>
      </c>
      <c r="BH124" s="168" t="e">
        <f t="shared" si="120"/>
        <v>#DIV/0!</v>
      </c>
      <c r="BI124" s="169" t="e">
        <f t="shared" si="90"/>
        <v>#DIV/0!</v>
      </c>
      <c r="BJ124" s="179" t="e">
        <f t="shared" si="91"/>
        <v>#DIV/0!</v>
      </c>
      <c r="BK124" s="180" t="e">
        <f t="shared" si="121"/>
        <v>#DIV/0!</v>
      </c>
      <c r="BL124" s="178" t="e">
        <f t="shared" si="121"/>
        <v>#DIV/0!</v>
      </c>
      <c r="BM124" s="178" t="e">
        <f t="shared" si="121"/>
        <v>#DIV/0!</v>
      </c>
      <c r="BN124" s="178" t="e">
        <f t="shared" si="121"/>
        <v>#DIV/0!</v>
      </c>
      <c r="BO124" s="178" t="e">
        <f t="shared" si="121"/>
        <v>#DIV/0!</v>
      </c>
      <c r="BP124" s="178" t="e">
        <f t="shared" si="121"/>
        <v>#DIV/0!</v>
      </c>
      <c r="BQ124" s="178" t="e">
        <f t="shared" si="121"/>
        <v>#DIV/0!</v>
      </c>
      <c r="BR124" s="178" t="e">
        <f t="shared" si="121"/>
        <v>#DIV/0!</v>
      </c>
      <c r="BS124" s="178" t="e">
        <f t="shared" si="121"/>
        <v>#DIV/0!</v>
      </c>
      <c r="BT124" s="178" t="e">
        <f t="shared" si="121"/>
        <v>#DIV/0!</v>
      </c>
      <c r="BU124" s="178" t="e">
        <f t="shared" si="121"/>
        <v>#DIV/0!</v>
      </c>
      <c r="BV124" s="168" t="e">
        <f t="shared" si="121"/>
        <v>#DIV/0!</v>
      </c>
      <c r="BW124" s="169" t="e">
        <f t="shared" si="92"/>
        <v>#DIV/0!</v>
      </c>
      <c r="BX124" s="179" t="e">
        <f t="shared" si="93"/>
        <v>#DIV/0!</v>
      </c>
      <c r="BY124" s="180" t="e">
        <f t="shared" si="122"/>
        <v>#DIV/0!</v>
      </c>
      <c r="BZ124" s="178" t="e">
        <f t="shared" si="122"/>
        <v>#DIV/0!</v>
      </c>
      <c r="CA124" s="178" t="e">
        <f t="shared" si="122"/>
        <v>#DIV/0!</v>
      </c>
      <c r="CB124" s="178" t="e">
        <f t="shared" si="122"/>
        <v>#DIV/0!</v>
      </c>
      <c r="CC124" s="178" t="e">
        <f t="shared" si="122"/>
        <v>#DIV/0!</v>
      </c>
      <c r="CD124" s="178" t="e">
        <f t="shared" si="122"/>
        <v>#DIV/0!</v>
      </c>
      <c r="CE124" s="178" t="e">
        <f t="shared" si="122"/>
        <v>#DIV/0!</v>
      </c>
      <c r="CF124" s="178" t="e">
        <f t="shared" si="122"/>
        <v>#DIV/0!</v>
      </c>
      <c r="CG124" s="178" t="e">
        <f t="shared" si="122"/>
        <v>#DIV/0!</v>
      </c>
      <c r="CH124" s="178" t="e">
        <f t="shared" si="122"/>
        <v>#DIV/0!</v>
      </c>
      <c r="CI124" s="178" t="e">
        <f t="shared" si="122"/>
        <v>#DIV/0!</v>
      </c>
      <c r="CJ124" s="168" t="e">
        <f t="shared" si="122"/>
        <v>#DIV/0!</v>
      </c>
      <c r="CK124" s="169" t="e">
        <f t="shared" si="94"/>
        <v>#DIV/0!</v>
      </c>
      <c r="CL124" s="179" t="e">
        <f t="shared" si="95"/>
        <v>#DIV/0!</v>
      </c>
      <c r="CM124" s="180" t="e">
        <f t="shared" si="123"/>
        <v>#DIV/0!</v>
      </c>
      <c r="CN124" s="178" t="e">
        <f t="shared" si="123"/>
        <v>#DIV/0!</v>
      </c>
      <c r="CO124" s="178" t="e">
        <f t="shared" si="123"/>
        <v>#DIV/0!</v>
      </c>
      <c r="CP124" s="178" t="e">
        <f t="shared" si="123"/>
        <v>#DIV/0!</v>
      </c>
      <c r="CQ124" s="178" t="e">
        <f t="shared" si="123"/>
        <v>#DIV/0!</v>
      </c>
      <c r="CR124" s="178" t="e">
        <f t="shared" si="123"/>
        <v>#DIV/0!</v>
      </c>
      <c r="CS124" s="178" t="e">
        <f t="shared" si="123"/>
        <v>#DIV/0!</v>
      </c>
      <c r="CT124" s="178" t="e">
        <f t="shared" si="123"/>
        <v>#DIV/0!</v>
      </c>
      <c r="CU124" s="178" t="e">
        <f t="shared" si="123"/>
        <v>#DIV/0!</v>
      </c>
      <c r="CV124" s="178" t="e">
        <f t="shared" si="123"/>
        <v>#DIV/0!</v>
      </c>
      <c r="CW124" s="178" t="e">
        <f t="shared" si="123"/>
        <v>#DIV/0!</v>
      </c>
      <c r="CX124" s="168" t="e">
        <f t="shared" si="123"/>
        <v>#DIV/0!</v>
      </c>
      <c r="CY124" s="169" t="e">
        <f t="shared" si="96"/>
        <v>#DIV/0!</v>
      </c>
      <c r="CZ124" s="179" t="e">
        <f t="shared" si="97"/>
        <v>#DIV/0!</v>
      </c>
      <c r="DA124" s="180" t="e">
        <f t="shared" si="124"/>
        <v>#DIV/0!</v>
      </c>
      <c r="DB124" s="178" t="e">
        <f t="shared" si="124"/>
        <v>#DIV/0!</v>
      </c>
      <c r="DC124" s="178" t="e">
        <f t="shared" si="124"/>
        <v>#DIV/0!</v>
      </c>
      <c r="DD124" s="178" t="e">
        <f t="shared" si="124"/>
        <v>#DIV/0!</v>
      </c>
      <c r="DE124" s="178" t="e">
        <f t="shared" si="124"/>
        <v>#DIV/0!</v>
      </c>
      <c r="DF124" s="178" t="e">
        <f t="shared" si="124"/>
        <v>#DIV/0!</v>
      </c>
      <c r="DG124" s="178" t="e">
        <f t="shared" si="124"/>
        <v>#DIV/0!</v>
      </c>
      <c r="DH124" s="178" t="e">
        <f t="shared" si="124"/>
        <v>#DIV/0!</v>
      </c>
      <c r="DI124" s="178" t="e">
        <f t="shared" si="124"/>
        <v>#DIV/0!</v>
      </c>
      <c r="DJ124" s="178" t="e">
        <f t="shared" si="124"/>
        <v>#DIV/0!</v>
      </c>
      <c r="DK124" s="178" t="e">
        <f t="shared" si="124"/>
        <v>#DIV/0!</v>
      </c>
      <c r="DL124" s="168" t="e">
        <f t="shared" si="124"/>
        <v>#DIV/0!</v>
      </c>
      <c r="DM124" s="169" t="e">
        <f t="shared" si="98"/>
        <v>#DIV/0!</v>
      </c>
      <c r="DN124" s="171" t="e">
        <f t="shared" si="99"/>
        <v>#DIV/0!</v>
      </c>
      <c r="DO124" s="180" t="e">
        <f t="shared" si="125"/>
        <v>#DIV/0!</v>
      </c>
      <c r="DP124" s="178" t="e">
        <f t="shared" si="125"/>
        <v>#DIV/0!</v>
      </c>
      <c r="DQ124" s="178" t="e">
        <f t="shared" si="125"/>
        <v>#DIV/0!</v>
      </c>
      <c r="DR124" s="178" t="e">
        <f t="shared" si="125"/>
        <v>#DIV/0!</v>
      </c>
      <c r="DS124" s="178" t="e">
        <f t="shared" si="125"/>
        <v>#DIV/0!</v>
      </c>
      <c r="DT124" s="178" t="e">
        <f t="shared" si="125"/>
        <v>#DIV/0!</v>
      </c>
      <c r="DU124" s="178" t="e">
        <f t="shared" si="125"/>
        <v>#DIV/0!</v>
      </c>
      <c r="DV124" s="178" t="e">
        <f t="shared" si="125"/>
        <v>#DIV/0!</v>
      </c>
      <c r="DW124" s="178" t="e">
        <f t="shared" si="125"/>
        <v>#DIV/0!</v>
      </c>
      <c r="DX124" s="178" t="e">
        <f t="shared" si="125"/>
        <v>#DIV/0!</v>
      </c>
      <c r="DY124" s="178" t="e">
        <f t="shared" si="125"/>
        <v>#DIV/0!</v>
      </c>
      <c r="DZ124" s="168" t="e">
        <f t="shared" si="125"/>
        <v>#DIV/0!</v>
      </c>
      <c r="EA124" s="169" t="e">
        <f t="shared" si="100"/>
        <v>#DIV/0!</v>
      </c>
      <c r="EB124" s="171" t="e">
        <f t="shared" si="101"/>
        <v>#DIV/0!</v>
      </c>
    </row>
    <row r="125" spans="1:132" s="177" customFormat="1" ht="15.75">
      <c r="A125" s="183"/>
      <c r="B125" s="164"/>
      <c r="C125" s="184"/>
      <c r="D125" s="185"/>
      <c r="E125" s="167"/>
      <c r="F125" s="168" t="e">
        <f t="shared" si="83"/>
        <v>#DIV/0!</v>
      </c>
      <c r="G125" s="169" t="e">
        <f t="shared" si="128"/>
        <v>#DIV/0!</v>
      </c>
      <c r="H125" s="178" t="e">
        <f t="shared" si="128"/>
        <v>#DIV/0!</v>
      </c>
      <c r="I125" s="178" t="e">
        <f t="shared" si="128"/>
        <v>#DIV/0!</v>
      </c>
      <c r="J125" s="178" t="e">
        <f t="shared" si="128"/>
        <v>#DIV/0!</v>
      </c>
      <c r="K125" s="178" t="e">
        <f t="shared" si="128"/>
        <v>#DIV/0!</v>
      </c>
      <c r="L125" s="178" t="e">
        <f t="shared" si="128"/>
        <v>#DIV/0!</v>
      </c>
      <c r="M125" s="178" t="e">
        <f t="shared" si="128"/>
        <v>#DIV/0!</v>
      </c>
      <c r="N125" s="178" t="e">
        <f t="shared" si="128"/>
        <v>#DIV/0!</v>
      </c>
      <c r="O125" s="178" t="e">
        <f t="shared" si="128"/>
        <v>#DIV/0!</v>
      </c>
      <c r="P125" s="178" t="e">
        <f t="shared" si="128"/>
        <v>#DIV/0!</v>
      </c>
      <c r="Q125" s="178" t="e">
        <f t="shared" si="128"/>
        <v>#DIV/0!</v>
      </c>
      <c r="R125" s="179" t="e">
        <f t="shared" si="128"/>
        <v>#DIV/0!</v>
      </c>
      <c r="S125" s="169" t="e">
        <f t="shared" si="84"/>
        <v>#DIV/0!</v>
      </c>
      <c r="T125" s="179" t="e">
        <f t="shared" si="85"/>
        <v>#DIV/0!</v>
      </c>
      <c r="U125" s="180" t="e">
        <f t="shared" si="119"/>
        <v>#DIV/0!</v>
      </c>
      <c r="V125" s="178" t="e">
        <f t="shared" si="119"/>
        <v>#DIV/0!</v>
      </c>
      <c r="W125" s="178" t="e">
        <f t="shared" si="119"/>
        <v>#DIV/0!</v>
      </c>
      <c r="X125" s="178" t="e">
        <f t="shared" si="119"/>
        <v>#DIV/0!</v>
      </c>
      <c r="Y125" s="178" t="e">
        <f t="shared" si="119"/>
        <v>#DIV/0!</v>
      </c>
      <c r="Z125" s="178" t="e">
        <f t="shared" si="119"/>
        <v>#DIV/0!</v>
      </c>
      <c r="AA125" s="178" t="e">
        <f t="shared" si="119"/>
        <v>#DIV/0!</v>
      </c>
      <c r="AB125" s="178" t="e">
        <f t="shared" si="119"/>
        <v>#DIV/0!</v>
      </c>
      <c r="AC125" s="178" t="e">
        <f t="shared" si="119"/>
        <v>#DIV/0!</v>
      </c>
      <c r="AD125" s="178" t="e">
        <f t="shared" si="119"/>
        <v>#DIV/0!</v>
      </c>
      <c r="AE125" s="178" t="e">
        <f t="shared" si="119"/>
        <v>#DIV/0!</v>
      </c>
      <c r="AF125" s="168" t="e">
        <f t="shared" si="119"/>
        <v>#DIV/0!</v>
      </c>
      <c r="AG125" s="169" t="e">
        <f t="shared" si="86"/>
        <v>#DIV/0!</v>
      </c>
      <c r="AH125" s="179" t="e">
        <f t="shared" si="87"/>
        <v>#DIV/0!</v>
      </c>
      <c r="AI125" s="180" t="e">
        <f t="shared" si="104"/>
        <v>#DIV/0!</v>
      </c>
      <c r="AJ125" s="178" t="e">
        <f t="shared" si="104"/>
        <v>#DIV/0!</v>
      </c>
      <c r="AK125" s="178" t="e">
        <f t="shared" si="104"/>
        <v>#DIV/0!</v>
      </c>
      <c r="AL125" s="178" t="e">
        <f t="shared" si="104"/>
        <v>#DIV/0!</v>
      </c>
      <c r="AM125" s="178" t="e">
        <f t="shared" si="104"/>
        <v>#DIV/0!</v>
      </c>
      <c r="AN125" s="178" t="e">
        <f t="shared" si="104"/>
        <v>#DIV/0!</v>
      </c>
      <c r="AO125" s="178" t="e">
        <f t="shared" si="104"/>
        <v>#DIV/0!</v>
      </c>
      <c r="AP125" s="178" t="e">
        <f t="shared" si="104"/>
        <v>#DIV/0!</v>
      </c>
      <c r="AQ125" s="178" t="e">
        <f t="shared" si="104"/>
        <v>#DIV/0!</v>
      </c>
      <c r="AR125" s="178" t="e">
        <f t="shared" si="104"/>
        <v>#DIV/0!</v>
      </c>
      <c r="AS125" s="178" t="e">
        <f t="shared" si="104"/>
        <v>#DIV/0!</v>
      </c>
      <c r="AT125" s="168" t="e">
        <f t="shared" si="104"/>
        <v>#DIV/0!</v>
      </c>
      <c r="AU125" s="169" t="e">
        <f t="shared" si="88"/>
        <v>#DIV/0!</v>
      </c>
      <c r="AV125" s="179" t="e">
        <f t="shared" si="89"/>
        <v>#DIV/0!</v>
      </c>
      <c r="AW125" s="180" t="e">
        <f t="shared" si="120"/>
        <v>#DIV/0!</v>
      </c>
      <c r="AX125" s="178" t="e">
        <f t="shared" si="120"/>
        <v>#DIV/0!</v>
      </c>
      <c r="AY125" s="178" t="e">
        <f t="shared" si="120"/>
        <v>#DIV/0!</v>
      </c>
      <c r="AZ125" s="178" t="e">
        <f t="shared" si="120"/>
        <v>#DIV/0!</v>
      </c>
      <c r="BA125" s="178" t="e">
        <f t="shared" si="120"/>
        <v>#DIV/0!</v>
      </c>
      <c r="BB125" s="178" t="e">
        <f t="shared" si="120"/>
        <v>#DIV/0!</v>
      </c>
      <c r="BC125" s="178" t="e">
        <f t="shared" si="120"/>
        <v>#DIV/0!</v>
      </c>
      <c r="BD125" s="178" t="e">
        <f t="shared" si="120"/>
        <v>#DIV/0!</v>
      </c>
      <c r="BE125" s="178" t="e">
        <f t="shared" si="120"/>
        <v>#DIV/0!</v>
      </c>
      <c r="BF125" s="178" t="e">
        <f t="shared" si="120"/>
        <v>#DIV/0!</v>
      </c>
      <c r="BG125" s="178" t="e">
        <f t="shared" si="120"/>
        <v>#DIV/0!</v>
      </c>
      <c r="BH125" s="168" t="e">
        <f t="shared" si="120"/>
        <v>#DIV/0!</v>
      </c>
      <c r="BI125" s="169" t="e">
        <f t="shared" si="90"/>
        <v>#DIV/0!</v>
      </c>
      <c r="BJ125" s="179" t="e">
        <f t="shared" si="91"/>
        <v>#DIV/0!</v>
      </c>
      <c r="BK125" s="180" t="e">
        <f t="shared" si="121"/>
        <v>#DIV/0!</v>
      </c>
      <c r="BL125" s="178" t="e">
        <f t="shared" si="121"/>
        <v>#DIV/0!</v>
      </c>
      <c r="BM125" s="178" t="e">
        <f t="shared" si="121"/>
        <v>#DIV/0!</v>
      </c>
      <c r="BN125" s="178" t="e">
        <f t="shared" si="121"/>
        <v>#DIV/0!</v>
      </c>
      <c r="BO125" s="178" t="e">
        <f t="shared" si="121"/>
        <v>#DIV/0!</v>
      </c>
      <c r="BP125" s="178" t="e">
        <f t="shared" si="121"/>
        <v>#DIV/0!</v>
      </c>
      <c r="BQ125" s="178" t="e">
        <f t="shared" si="121"/>
        <v>#DIV/0!</v>
      </c>
      <c r="BR125" s="178" t="e">
        <f t="shared" si="121"/>
        <v>#DIV/0!</v>
      </c>
      <c r="BS125" s="178" t="e">
        <f t="shared" si="121"/>
        <v>#DIV/0!</v>
      </c>
      <c r="BT125" s="178" t="e">
        <f t="shared" si="121"/>
        <v>#DIV/0!</v>
      </c>
      <c r="BU125" s="178" t="e">
        <f t="shared" si="121"/>
        <v>#DIV/0!</v>
      </c>
      <c r="BV125" s="168" t="e">
        <f t="shared" si="121"/>
        <v>#DIV/0!</v>
      </c>
      <c r="BW125" s="169" t="e">
        <f t="shared" si="92"/>
        <v>#DIV/0!</v>
      </c>
      <c r="BX125" s="179" t="e">
        <f t="shared" si="93"/>
        <v>#DIV/0!</v>
      </c>
      <c r="BY125" s="180" t="e">
        <f t="shared" si="122"/>
        <v>#DIV/0!</v>
      </c>
      <c r="BZ125" s="178" t="e">
        <f t="shared" si="122"/>
        <v>#DIV/0!</v>
      </c>
      <c r="CA125" s="178" t="e">
        <f t="shared" si="122"/>
        <v>#DIV/0!</v>
      </c>
      <c r="CB125" s="178" t="e">
        <f t="shared" si="122"/>
        <v>#DIV/0!</v>
      </c>
      <c r="CC125" s="178" t="e">
        <f t="shared" si="122"/>
        <v>#DIV/0!</v>
      </c>
      <c r="CD125" s="178" t="e">
        <f t="shared" si="122"/>
        <v>#DIV/0!</v>
      </c>
      <c r="CE125" s="178" t="e">
        <f t="shared" si="122"/>
        <v>#DIV/0!</v>
      </c>
      <c r="CF125" s="178" t="e">
        <f t="shared" si="122"/>
        <v>#DIV/0!</v>
      </c>
      <c r="CG125" s="178" t="e">
        <f t="shared" si="122"/>
        <v>#DIV/0!</v>
      </c>
      <c r="CH125" s="178" t="e">
        <f t="shared" si="122"/>
        <v>#DIV/0!</v>
      </c>
      <c r="CI125" s="178" t="e">
        <f t="shared" si="122"/>
        <v>#DIV/0!</v>
      </c>
      <c r="CJ125" s="168" t="e">
        <f t="shared" si="122"/>
        <v>#DIV/0!</v>
      </c>
      <c r="CK125" s="169" t="e">
        <f t="shared" si="94"/>
        <v>#DIV/0!</v>
      </c>
      <c r="CL125" s="179" t="e">
        <f t="shared" si="95"/>
        <v>#DIV/0!</v>
      </c>
      <c r="CM125" s="180" t="e">
        <f t="shared" si="123"/>
        <v>#DIV/0!</v>
      </c>
      <c r="CN125" s="178" t="e">
        <f t="shared" si="123"/>
        <v>#DIV/0!</v>
      </c>
      <c r="CO125" s="178" t="e">
        <f t="shared" si="123"/>
        <v>#DIV/0!</v>
      </c>
      <c r="CP125" s="178" t="e">
        <f t="shared" si="123"/>
        <v>#DIV/0!</v>
      </c>
      <c r="CQ125" s="178" t="e">
        <f t="shared" si="123"/>
        <v>#DIV/0!</v>
      </c>
      <c r="CR125" s="178" t="e">
        <f t="shared" si="123"/>
        <v>#DIV/0!</v>
      </c>
      <c r="CS125" s="178" t="e">
        <f t="shared" si="123"/>
        <v>#DIV/0!</v>
      </c>
      <c r="CT125" s="178" t="e">
        <f t="shared" si="123"/>
        <v>#DIV/0!</v>
      </c>
      <c r="CU125" s="178" t="e">
        <f t="shared" si="123"/>
        <v>#DIV/0!</v>
      </c>
      <c r="CV125" s="178" t="e">
        <f t="shared" si="123"/>
        <v>#DIV/0!</v>
      </c>
      <c r="CW125" s="178" t="e">
        <f t="shared" si="123"/>
        <v>#DIV/0!</v>
      </c>
      <c r="CX125" s="168" t="e">
        <f t="shared" si="123"/>
        <v>#DIV/0!</v>
      </c>
      <c r="CY125" s="169" t="e">
        <f t="shared" si="96"/>
        <v>#DIV/0!</v>
      </c>
      <c r="CZ125" s="179" t="e">
        <f t="shared" si="97"/>
        <v>#DIV/0!</v>
      </c>
      <c r="DA125" s="180" t="e">
        <f t="shared" si="124"/>
        <v>#DIV/0!</v>
      </c>
      <c r="DB125" s="178" t="e">
        <f t="shared" si="124"/>
        <v>#DIV/0!</v>
      </c>
      <c r="DC125" s="178" t="e">
        <f t="shared" si="124"/>
        <v>#DIV/0!</v>
      </c>
      <c r="DD125" s="178" t="e">
        <f t="shared" si="124"/>
        <v>#DIV/0!</v>
      </c>
      <c r="DE125" s="178" t="e">
        <f t="shared" si="124"/>
        <v>#DIV/0!</v>
      </c>
      <c r="DF125" s="178" t="e">
        <f t="shared" si="124"/>
        <v>#DIV/0!</v>
      </c>
      <c r="DG125" s="178" t="e">
        <f t="shared" si="124"/>
        <v>#DIV/0!</v>
      </c>
      <c r="DH125" s="178" t="e">
        <f t="shared" si="124"/>
        <v>#DIV/0!</v>
      </c>
      <c r="DI125" s="178" t="e">
        <f t="shared" si="124"/>
        <v>#DIV/0!</v>
      </c>
      <c r="DJ125" s="178" t="e">
        <f t="shared" si="124"/>
        <v>#DIV/0!</v>
      </c>
      <c r="DK125" s="178" t="e">
        <f t="shared" si="124"/>
        <v>#DIV/0!</v>
      </c>
      <c r="DL125" s="168" t="e">
        <f t="shared" si="124"/>
        <v>#DIV/0!</v>
      </c>
      <c r="DM125" s="169" t="e">
        <f t="shared" si="98"/>
        <v>#DIV/0!</v>
      </c>
      <c r="DN125" s="171" t="e">
        <f t="shared" si="99"/>
        <v>#DIV/0!</v>
      </c>
      <c r="DO125" s="180" t="e">
        <f t="shared" si="125"/>
        <v>#DIV/0!</v>
      </c>
      <c r="DP125" s="178" t="e">
        <f t="shared" si="125"/>
        <v>#DIV/0!</v>
      </c>
      <c r="DQ125" s="178" t="e">
        <f t="shared" si="125"/>
        <v>#DIV/0!</v>
      </c>
      <c r="DR125" s="178" t="e">
        <f t="shared" si="125"/>
        <v>#DIV/0!</v>
      </c>
      <c r="DS125" s="178" t="e">
        <f t="shared" si="125"/>
        <v>#DIV/0!</v>
      </c>
      <c r="DT125" s="178" t="e">
        <f t="shared" si="125"/>
        <v>#DIV/0!</v>
      </c>
      <c r="DU125" s="178" t="e">
        <f t="shared" si="125"/>
        <v>#DIV/0!</v>
      </c>
      <c r="DV125" s="178" t="e">
        <f t="shared" si="125"/>
        <v>#DIV/0!</v>
      </c>
      <c r="DW125" s="178" t="e">
        <f t="shared" si="125"/>
        <v>#DIV/0!</v>
      </c>
      <c r="DX125" s="178" t="e">
        <f t="shared" si="125"/>
        <v>#DIV/0!</v>
      </c>
      <c r="DY125" s="178" t="e">
        <f t="shared" si="125"/>
        <v>#DIV/0!</v>
      </c>
      <c r="DZ125" s="168" t="e">
        <f t="shared" si="125"/>
        <v>#DIV/0!</v>
      </c>
      <c r="EA125" s="169" t="e">
        <f t="shared" si="100"/>
        <v>#DIV/0!</v>
      </c>
      <c r="EB125" s="171" t="e">
        <f t="shared" si="101"/>
        <v>#DIV/0!</v>
      </c>
    </row>
    <row r="126" spans="1:132" s="177" customFormat="1" ht="15.75">
      <c r="A126" s="183"/>
      <c r="B126" s="164"/>
      <c r="C126" s="184"/>
      <c r="D126" s="185"/>
      <c r="E126" s="167"/>
      <c r="F126" s="168" t="e">
        <f t="shared" si="83"/>
        <v>#DIV/0!</v>
      </c>
      <c r="G126" s="169" t="e">
        <f t="shared" si="128"/>
        <v>#DIV/0!</v>
      </c>
      <c r="H126" s="178" t="e">
        <f t="shared" si="128"/>
        <v>#DIV/0!</v>
      </c>
      <c r="I126" s="178" t="e">
        <f t="shared" si="128"/>
        <v>#DIV/0!</v>
      </c>
      <c r="J126" s="178" t="e">
        <f t="shared" si="128"/>
        <v>#DIV/0!</v>
      </c>
      <c r="K126" s="178" t="e">
        <f t="shared" si="128"/>
        <v>#DIV/0!</v>
      </c>
      <c r="L126" s="178" t="e">
        <f t="shared" si="128"/>
        <v>#DIV/0!</v>
      </c>
      <c r="M126" s="178" t="e">
        <f t="shared" si="128"/>
        <v>#DIV/0!</v>
      </c>
      <c r="N126" s="178" t="e">
        <f t="shared" si="128"/>
        <v>#DIV/0!</v>
      </c>
      <c r="O126" s="178" t="e">
        <f t="shared" si="128"/>
        <v>#DIV/0!</v>
      </c>
      <c r="P126" s="178" t="e">
        <f t="shared" si="128"/>
        <v>#DIV/0!</v>
      </c>
      <c r="Q126" s="178" t="e">
        <f t="shared" si="128"/>
        <v>#DIV/0!</v>
      </c>
      <c r="R126" s="179" t="e">
        <f t="shared" si="128"/>
        <v>#DIV/0!</v>
      </c>
      <c r="S126" s="169" t="e">
        <f t="shared" si="84"/>
        <v>#DIV/0!</v>
      </c>
      <c r="T126" s="179" t="e">
        <f t="shared" si="85"/>
        <v>#DIV/0!</v>
      </c>
      <c r="U126" s="180" t="e">
        <f t="shared" si="119"/>
        <v>#DIV/0!</v>
      </c>
      <c r="V126" s="178" t="e">
        <f t="shared" si="119"/>
        <v>#DIV/0!</v>
      </c>
      <c r="W126" s="178" t="e">
        <f t="shared" si="119"/>
        <v>#DIV/0!</v>
      </c>
      <c r="X126" s="178" t="e">
        <f t="shared" si="119"/>
        <v>#DIV/0!</v>
      </c>
      <c r="Y126" s="178" t="e">
        <f t="shared" si="119"/>
        <v>#DIV/0!</v>
      </c>
      <c r="Z126" s="178" t="e">
        <f t="shared" si="119"/>
        <v>#DIV/0!</v>
      </c>
      <c r="AA126" s="178" t="e">
        <f t="shared" si="119"/>
        <v>#DIV/0!</v>
      </c>
      <c r="AB126" s="178" t="e">
        <f t="shared" si="119"/>
        <v>#DIV/0!</v>
      </c>
      <c r="AC126" s="178" t="e">
        <f t="shared" si="119"/>
        <v>#DIV/0!</v>
      </c>
      <c r="AD126" s="178" t="e">
        <f t="shared" si="119"/>
        <v>#DIV/0!</v>
      </c>
      <c r="AE126" s="178" t="e">
        <f t="shared" si="119"/>
        <v>#DIV/0!</v>
      </c>
      <c r="AF126" s="168" t="e">
        <f t="shared" si="119"/>
        <v>#DIV/0!</v>
      </c>
      <c r="AG126" s="169" t="e">
        <f t="shared" si="86"/>
        <v>#DIV/0!</v>
      </c>
      <c r="AH126" s="179" t="e">
        <f t="shared" si="87"/>
        <v>#DIV/0!</v>
      </c>
      <c r="AI126" s="180" t="e">
        <f t="shared" si="104"/>
        <v>#DIV/0!</v>
      </c>
      <c r="AJ126" s="178" t="e">
        <f t="shared" si="104"/>
        <v>#DIV/0!</v>
      </c>
      <c r="AK126" s="178" t="e">
        <f t="shared" si="104"/>
        <v>#DIV/0!</v>
      </c>
      <c r="AL126" s="178" t="e">
        <f t="shared" si="104"/>
        <v>#DIV/0!</v>
      </c>
      <c r="AM126" s="178" t="e">
        <f t="shared" si="104"/>
        <v>#DIV/0!</v>
      </c>
      <c r="AN126" s="178" t="e">
        <f t="shared" si="104"/>
        <v>#DIV/0!</v>
      </c>
      <c r="AO126" s="178" t="e">
        <f t="shared" si="104"/>
        <v>#DIV/0!</v>
      </c>
      <c r="AP126" s="178" t="e">
        <f t="shared" si="104"/>
        <v>#DIV/0!</v>
      </c>
      <c r="AQ126" s="178" t="e">
        <f t="shared" si="104"/>
        <v>#DIV/0!</v>
      </c>
      <c r="AR126" s="178" t="e">
        <f t="shared" si="104"/>
        <v>#DIV/0!</v>
      </c>
      <c r="AS126" s="178" t="e">
        <f t="shared" si="104"/>
        <v>#DIV/0!</v>
      </c>
      <c r="AT126" s="168" t="e">
        <f t="shared" si="104"/>
        <v>#DIV/0!</v>
      </c>
      <c r="AU126" s="169" t="e">
        <f t="shared" si="88"/>
        <v>#DIV/0!</v>
      </c>
      <c r="AV126" s="179" t="e">
        <f t="shared" si="89"/>
        <v>#DIV/0!</v>
      </c>
      <c r="AW126" s="180" t="e">
        <f t="shared" si="120"/>
        <v>#DIV/0!</v>
      </c>
      <c r="AX126" s="178" t="e">
        <f t="shared" si="120"/>
        <v>#DIV/0!</v>
      </c>
      <c r="AY126" s="178" t="e">
        <f t="shared" si="120"/>
        <v>#DIV/0!</v>
      </c>
      <c r="AZ126" s="178" t="e">
        <f t="shared" si="120"/>
        <v>#DIV/0!</v>
      </c>
      <c r="BA126" s="178" t="e">
        <f t="shared" si="120"/>
        <v>#DIV/0!</v>
      </c>
      <c r="BB126" s="178" t="e">
        <f t="shared" si="120"/>
        <v>#DIV/0!</v>
      </c>
      <c r="BC126" s="178" t="e">
        <f t="shared" si="120"/>
        <v>#DIV/0!</v>
      </c>
      <c r="BD126" s="178" t="e">
        <f t="shared" si="120"/>
        <v>#DIV/0!</v>
      </c>
      <c r="BE126" s="178" t="e">
        <f t="shared" si="120"/>
        <v>#DIV/0!</v>
      </c>
      <c r="BF126" s="178" t="e">
        <f t="shared" si="120"/>
        <v>#DIV/0!</v>
      </c>
      <c r="BG126" s="178" t="e">
        <f t="shared" si="120"/>
        <v>#DIV/0!</v>
      </c>
      <c r="BH126" s="168" t="e">
        <f t="shared" si="120"/>
        <v>#DIV/0!</v>
      </c>
      <c r="BI126" s="169" t="e">
        <f t="shared" si="90"/>
        <v>#DIV/0!</v>
      </c>
      <c r="BJ126" s="179" t="e">
        <f t="shared" si="91"/>
        <v>#DIV/0!</v>
      </c>
      <c r="BK126" s="180" t="e">
        <f t="shared" si="121"/>
        <v>#DIV/0!</v>
      </c>
      <c r="BL126" s="178" t="e">
        <f t="shared" si="121"/>
        <v>#DIV/0!</v>
      </c>
      <c r="BM126" s="178" t="e">
        <f t="shared" si="121"/>
        <v>#DIV/0!</v>
      </c>
      <c r="BN126" s="178" t="e">
        <f t="shared" si="121"/>
        <v>#DIV/0!</v>
      </c>
      <c r="BO126" s="178" t="e">
        <f t="shared" si="121"/>
        <v>#DIV/0!</v>
      </c>
      <c r="BP126" s="178" t="e">
        <f t="shared" si="121"/>
        <v>#DIV/0!</v>
      </c>
      <c r="BQ126" s="178" t="e">
        <f t="shared" si="121"/>
        <v>#DIV/0!</v>
      </c>
      <c r="BR126" s="178" t="e">
        <f t="shared" si="121"/>
        <v>#DIV/0!</v>
      </c>
      <c r="BS126" s="178" t="e">
        <f t="shared" si="121"/>
        <v>#DIV/0!</v>
      </c>
      <c r="BT126" s="178" t="e">
        <f t="shared" si="121"/>
        <v>#DIV/0!</v>
      </c>
      <c r="BU126" s="178" t="e">
        <f t="shared" si="121"/>
        <v>#DIV/0!</v>
      </c>
      <c r="BV126" s="168" t="e">
        <f t="shared" si="121"/>
        <v>#DIV/0!</v>
      </c>
      <c r="BW126" s="169" t="e">
        <f t="shared" si="92"/>
        <v>#DIV/0!</v>
      </c>
      <c r="BX126" s="179" t="e">
        <f t="shared" si="93"/>
        <v>#DIV/0!</v>
      </c>
      <c r="BY126" s="180" t="e">
        <f t="shared" si="122"/>
        <v>#DIV/0!</v>
      </c>
      <c r="BZ126" s="178" t="e">
        <f t="shared" si="122"/>
        <v>#DIV/0!</v>
      </c>
      <c r="CA126" s="178" t="e">
        <f t="shared" si="122"/>
        <v>#DIV/0!</v>
      </c>
      <c r="CB126" s="178" t="e">
        <f t="shared" si="122"/>
        <v>#DIV/0!</v>
      </c>
      <c r="CC126" s="178" t="e">
        <f t="shared" si="122"/>
        <v>#DIV/0!</v>
      </c>
      <c r="CD126" s="178" t="e">
        <f t="shared" si="122"/>
        <v>#DIV/0!</v>
      </c>
      <c r="CE126" s="178" t="e">
        <f t="shared" si="122"/>
        <v>#DIV/0!</v>
      </c>
      <c r="CF126" s="178" t="e">
        <f t="shared" si="122"/>
        <v>#DIV/0!</v>
      </c>
      <c r="CG126" s="178" t="e">
        <f t="shared" si="122"/>
        <v>#DIV/0!</v>
      </c>
      <c r="CH126" s="178" t="e">
        <f t="shared" si="122"/>
        <v>#DIV/0!</v>
      </c>
      <c r="CI126" s="178" t="e">
        <f t="shared" si="122"/>
        <v>#DIV/0!</v>
      </c>
      <c r="CJ126" s="168" t="e">
        <f t="shared" si="122"/>
        <v>#DIV/0!</v>
      </c>
      <c r="CK126" s="169" t="e">
        <f t="shared" si="94"/>
        <v>#DIV/0!</v>
      </c>
      <c r="CL126" s="179" t="e">
        <f t="shared" si="95"/>
        <v>#DIV/0!</v>
      </c>
      <c r="CM126" s="180" t="e">
        <f t="shared" si="123"/>
        <v>#DIV/0!</v>
      </c>
      <c r="CN126" s="178" t="e">
        <f t="shared" si="123"/>
        <v>#DIV/0!</v>
      </c>
      <c r="CO126" s="178" t="e">
        <f t="shared" si="123"/>
        <v>#DIV/0!</v>
      </c>
      <c r="CP126" s="178" t="e">
        <f t="shared" si="123"/>
        <v>#DIV/0!</v>
      </c>
      <c r="CQ126" s="178" t="e">
        <f t="shared" si="123"/>
        <v>#DIV/0!</v>
      </c>
      <c r="CR126" s="178" t="e">
        <f t="shared" si="123"/>
        <v>#DIV/0!</v>
      </c>
      <c r="CS126" s="178" t="e">
        <f t="shared" si="123"/>
        <v>#DIV/0!</v>
      </c>
      <c r="CT126" s="178" t="e">
        <f t="shared" si="123"/>
        <v>#DIV/0!</v>
      </c>
      <c r="CU126" s="178" t="e">
        <f t="shared" si="123"/>
        <v>#DIV/0!</v>
      </c>
      <c r="CV126" s="178" t="e">
        <f t="shared" si="123"/>
        <v>#DIV/0!</v>
      </c>
      <c r="CW126" s="178" t="e">
        <f t="shared" si="123"/>
        <v>#DIV/0!</v>
      </c>
      <c r="CX126" s="168" t="e">
        <f t="shared" si="123"/>
        <v>#DIV/0!</v>
      </c>
      <c r="CY126" s="169" t="e">
        <f t="shared" si="96"/>
        <v>#DIV/0!</v>
      </c>
      <c r="CZ126" s="179" t="e">
        <f t="shared" si="97"/>
        <v>#DIV/0!</v>
      </c>
      <c r="DA126" s="180" t="e">
        <f t="shared" si="124"/>
        <v>#DIV/0!</v>
      </c>
      <c r="DB126" s="178" t="e">
        <f t="shared" si="124"/>
        <v>#DIV/0!</v>
      </c>
      <c r="DC126" s="178" t="e">
        <f t="shared" si="124"/>
        <v>#DIV/0!</v>
      </c>
      <c r="DD126" s="178" t="e">
        <f t="shared" si="124"/>
        <v>#DIV/0!</v>
      </c>
      <c r="DE126" s="178" t="e">
        <f t="shared" si="124"/>
        <v>#DIV/0!</v>
      </c>
      <c r="DF126" s="178" t="e">
        <f t="shared" si="124"/>
        <v>#DIV/0!</v>
      </c>
      <c r="DG126" s="178" t="e">
        <f t="shared" si="124"/>
        <v>#DIV/0!</v>
      </c>
      <c r="DH126" s="178" t="e">
        <f t="shared" si="124"/>
        <v>#DIV/0!</v>
      </c>
      <c r="DI126" s="178" t="e">
        <f t="shared" si="124"/>
        <v>#DIV/0!</v>
      </c>
      <c r="DJ126" s="178" t="e">
        <f t="shared" si="124"/>
        <v>#DIV/0!</v>
      </c>
      <c r="DK126" s="178" t="e">
        <f t="shared" si="124"/>
        <v>#DIV/0!</v>
      </c>
      <c r="DL126" s="168" t="e">
        <f t="shared" si="124"/>
        <v>#DIV/0!</v>
      </c>
      <c r="DM126" s="169" t="e">
        <f t="shared" si="98"/>
        <v>#DIV/0!</v>
      </c>
      <c r="DN126" s="171" t="e">
        <f t="shared" si="99"/>
        <v>#DIV/0!</v>
      </c>
      <c r="DO126" s="180" t="e">
        <f t="shared" si="125"/>
        <v>#DIV/0!</v>
      </c>
      <c r="DP126" s="178" t="e">
        <f t="shared" si="125"/>
        <v>#DIV/0!</v>
      </c>
      <c r="DQ126" s="178" t="e">
        <f t="shared" si="125"/>
        <v>#DIV/0!</v>
      </c>
      <c r="DR126" s="178" t="e">
        <f t="shared" si="125"/>
        <v>#DIV/0!</v>
      </c>
      <c r="DS126" s="178" t="e">
        <f t="shared" si="125"/>
        <v>#DIV/0!</v>
      </c>
      <c r="DT126" s="178" t="e">
        <f t="shared" si="125"/>
        <v>#DIV/0!</v>
      </c>
      <c r="DU126" s="178" t="e">
        <f t="shared" si="125"/>
        <v>#DIV/0!</v>
      </c>
      <c r="DV126" s="178" t="e">
        <f t="shared" si="125"/>
        <v>#DIV/0!</v>
      </c>
      <c r="DW126" s="178" t="e">
        <f t="shared" si="125"/>
        <v>#DIV/0!</v>
      </c>
      <c r="DX126" s="178" t="e">
        <f t="shared" si="125"/>
        <v>#DIV/0!</v>
      </c>
      <c r="DY126" s="178" t="e">
        <f t="shared" si="125"/>
        <v>#DIV/0!</v>
      </c>
      <c r="DZ126" s="168" t="e">
        <f t="shared" si="125"/>
        <v>#DIV/0!</v>
      </c>
      <c r="EA126" s="169" t="e">
        <f t="shared" si="100"/>
        <v>#DIV/0!</v>
      </c>
      <c r="EB126" s="171" t="e">
        <f t="shared" si="101"/>
        <v>#DIV/0!</v>
      </c>
    </row>
    <row r="127" spans="1:132" s="177" customFormat="1" ht="15.75">
      <c r="A127" s="183"/>
      <c r="B127" s="164"/>
      <c r="C127" s="184"/>
      <c r="D127" s="185"/>
      <c r="E127" s="167"/>
      <c r="F127" s="168" t="e">
        <f t="shared" si="83"/>
        <v>#DIV/0!</v>
      </c>
      <c r="G127" s="169" t="e">
        <f t="shared" si="128"/>
        <v>#DIV/0!</v>
      </c>
      <c r="H127" s="178" t="e">
        <f t="shared" si="128"/>
        <v>#DIV/0!</v>
      </c>
      <c r="I127" s="178" t="e">
        <f t="shared" si="128"/>
        <v>#DIV/0!</v>
      </c>
      <c r="J127" s="178" t="e">
        <f t="shared" si="128"/>
        <v>#DIV/0!</v>
      </c>
      <c r="K127" s="178" t="e">
        <f t="shared" si="128"/>
        <v>#DIV/0!</v>
      </c>
      <c r="L127" s="178" t="e">
        <f t="shared" si="128"/>
        <v>#DIV/0!</v>
      </c>
      <c r="M127" s="178" t="e">
        <f t="shared" si="128"/>
        <v>#DIV/0!</v>
      </c>
      <c r="N127" s="178" t="e">
        <f t="shared" si="128"/>
        <v>#DIV/0!</v>
      </c>
      <c r="O127" s="178" t="e">
        <f t="shared" si="128"/>
        <v>#DIV/0!</v>
      </c>
      <c r="P127" s="178" t="e">
        <f t="shared" si="128"/>
        <v>#DIV/0!</v>
      </c>
      <c r="Q127" s="178" t="e">
        <f t="shared" si="128"/>
        <v>#DIV/0!</v>
      </c>
      <c r="R127" s="179" t="e">
        <f t="shared" si="128"/>
        <v>#DIV/0!</v>
      </c>
      <c r="S127" s="169" t="e">
        <f t="shared" si="84"/>
        <v>#DIV/0!</v>
      </c>
      <c r="T127" s="179" t="e">
        <f t="shared" si="85"/>
        <v>#DIV/0!</v>
      </c>
      <c r="U127" s="180" t="e">
        <f t="shared" si="119"/>
        <v>#DIV/0!</v>
      </c>
      <c r="V127" s="178" t="e">
        <f t="shared" si="119"/>
        <v>#DIV/0!</v>
      </c>
      <c r="W127" s="178" t="e">
        <f t="shared" si="119"/>
        <v>#DIV/0!</v>
      </c>
      <c r="X127" s="178" t="e">
        <f t="shared" si="119"/>
        <v>#DIV/0!</v>
      </c>
      <c r="Y127" s="178" t="e">
        <f t="shared" si="119"/>
        <v>#DIV/0!</v>
      </c>
      <c r="Z127" s="178" t="e">
        <f t="shared" si="119"/>
        <v>#DIV/0!</v>
      </c>
      <c r="AA127" s="178" t="e">
        <f t="shared" si="119"/>
        <v>#DIV/0!</v>
      </c>
      <c r="AB127" s="178" t="e">
        <f t="shared" si="119"/>
        <v>#DIV/0!</v>
      </c>
      <c r="AC127" s="178" t="e">
        <f t="shared" si="119"/>
        <v>#DIV/0!</v>
      </c>
      <c r="AD127" s="178" t="e">
        <f t="shared" si="119"/>
        <v>#DIV/0!</v>
      </c>
      <c r="AE127" s="178" t="e">
        <f t="shared" si="119"/>
        <v>#DIV/0!</v>
      </c>
      <c r="AF127" s="168" t="e">
        <f t="shared" si="119"/>
        <v>#DIV/0!</v>
      </c>
      <c r="AG127" s="169" t="e">
        <f t="shared" si="86"/>
        <v>#DIV/0!</v>
      </c>
      <c r="AH127" s="179" t="e">
        <f t="shared" si="87"/>
        <v>#DIV/0!</v>
      </c>
      <c r="AI127" s="180" t="e">
        <f t="shared" si="104"/>
        <v>#DIV/0!</v>
      </c>
      <c r="AJ127" s="178" t="e">
        <f t="shared" si="104"/>
        <v>#DIV/0!</v>
      </c>
      <c r="AK127" s="178" t="e">
        <f t="shared" si="104"/>
        <v>#DIV/0!</v>
      </c>
      <c r="AL127" s="178" t="e">
        <f t="shared" si="104"/>
        <v>#DIV/0!</v>
      </c>
      <c r="AM127" s="178" t="e">
        <f t="shared" si="104"/>
        <v>#DIV/0!</v>
      </c>
      <c r="AN127" s="178" t="e">
        <f t="shared" si="104"/>
        <v>#DIV/0!</v>
      </c>
      <c r="AO127" s="178" t="e">
        <f t="shared" si="104"/>
        <v>#DIV/0!</v>
      </c>
      <c r="AP127" s="178" t="e">
        <f t="shared" si="104"/>
        <v>#DIV/0!</v>
      </c>
      <c r="AQ127" s="178" t="e">
        <f t="shared" si="104"/>
        <v>#DIV/0!</v>
      </c>
      <c r="AR127" s="178" t="e">
        <f t="shared" si="104"/>
        <v>#DIV/0!</v>
      </c>
      <c r="AS127" s="178" t="e">
        <f t="shared" si="104"/>
        <v>#DIV/0!</v>
      </c>
      <c r="AT127" s="168" t="e">
        <f t="shared" si="104"/>
        <v>#DIV/0!</v>
      </c>
      <c r="AU127" s="169" t="e">
        <f t="shared" si="88"/>
        <v>#DIV/0!</v>
      </c>
      <c r="AV127" s="179" t="e">
        <f t="shared" si="89"/>
        <v>#DIV/0!</v>
      </c>
      <c r="AW127" s="180" t="e">
        <f t="shared" si="120"/>
        <v>#DIV/0!</v>
      </c>
      <c r="AX127" s="178" t="e">
        <f t="shared" si="120"/>
        <v>#DIV/0!</v>
      </c>
      <c r="AY127" s="178" t="e">
        <f t="shared" si="120"/>
        <v>#DIV/0!</v>
      </c>
      <c r="AZ127" s="178" t="e">
        <f t="shared" si="120"/>
        <v>#DIV/0!</v>
      </c>
      <c r="BA127" s="178" t="e">
        <f t="shared" si="120"/>
        <v>#DIV/0!</v>
      </c>
      <c r="BB127" s="178" t="e">
        <f t="shared" si="120"/>
        <v>#DIV/0!</v>
      </c>
      <c r="BC127" s="178" t="e">
        <f t="shared" si="120"/>
        <v>#DIV/0!</v>
      </c>
      <c r="BD127" s="178" t="e">
        <f t="shared" si="120"/>
        <v>#DIV/0!</v>
      </c>
      <c r="BE127" s="178" t="e">
        <f t="shared" si="120"/>
        <v>#DIV/0!</v>
      </c>
      <c r="BF127" s="178" t="e">
        <f t="shared" si="120"/>
        <v>#DIV/0!</v>
      </c>
      <c r="BG127" s="178" t="e">
        <f t="shared" si="120"/>
        <v>#DIV/0!</v>
      </c>
      <c r="BH127" s="168" t="e">
        <f t="shared" si="120"/>
        <v>#DIV/0!</v>
      </c>
      <c r="BI127" s="169" t="e">
        <f t="shared" si="90"/>
        <v>#DIV/0!</v>
      </c>
      <c r="BJ127" s="179" t="e">
        <f t="shared" si="91"/>
        <v>#DIV/0!</v>
      </c>
      <c r="BK127" s="180" t="e">
        <f t="shared" si="121"/>
        <v>#DIV/0!</v>
      </c>
      <c r="BL127" s="178" t="e">
        <f t="shared" si="121"/>
        <v>#DIV/0!</v>
      </c>
      <c r="BM127" s="178" t="e">
        <f t="shared" si="121"/>
        <v>#DIV/0!</v>
      </c>
      <c r="BN127" s="178" t="e">
        <f t="shared" si="121"/>
        <v>#DIV/0!</v>
      </c>
      <c r="BO127" s="178" t="e">
        <f t="shared" si="121"/>
        <v>#DIV/0!</v>
      </c>
      <c r="BP127" s="178" t="e">
        <f t="shared" si="121"/>
        <v>#DIV/0!</v>
      </c>
      <c r="BQ127" s="178" t="e">
        <f t="shared" si="121"/>
        <v>#DIV/0!</v>
      </c>
      <c r="BR127" s="178" t="e">
        <f t="shared" si="121"/>
        <v>#DIV/0!</v>
      </c>
      <c r="BS127" s="178" t="e">
        <f t="shared" si="121"/>
        <v>#DIV/0!</v>
      </c>
      <c r="BT127" s="178" t="e">
        <f t="shared" si="121"/>
        <v>#DIV/0!</v>
      </c>
      <c r="BU127" s="178" t="e">
        <f t="shared" si="121"/>
        <v>#DIV/0!</v>
      </c>
      <c r="BV127" s="168" t="e">
        <f t="shared" si="121"/>
        <v>#DIV/0!</v>
      </c>
      <c r="BW127" s="169" t="e">
        <f t="shared" si="92"/>
        <v>#DIV/0!</v>
      </c>
      <c r="BX127" s="179" t="e">
        <f t="shared" si="93"/>
        <v>#DIV/0!</v>
      </c>
      <c r="BY127" s="180" t="e">
        <f t="shared" si="122"/>
        <v>#DIV/0!</v>
      </c>
      <c r="BZ127" s="178" t="e">
        <f t="shared" si="122"/>
        <v>#DIV/0!</v>
      </c>
      <c r="CA127" s="178" t="e">
        <f t="shared" si="122"/>
        <v>#DIV/0!</v>
      </c>
      <c r="CB127" s="178" t="e">
        <f t="shared" si="122"/>
        <v>#DIV/0!</v>
      </c>
      <c r="CC127" s="178" t="e">
        <f t="shared" si="122"/>
        <v>#DIV/0!</v>
      </c>
      <c r="CD127" s="178" t="e">
        <f t="shared" si="122"/>
        <v>#DIV/0!</v>
      </c>
      <c r="CE127" s="178" t="e">
        <f t="shared" si="122"/>
        <v>#DIV/0!</v>
      </c>
      <c r="CF127" s="178" t="e">
        <f t="shared" si="122"/>
        <v>#DIV/0!</v>
      </c>
      <c r="CG127" s="178" t="e">
        <f t="shared" si="122"/>
        <v>#DIV/0!</v>
      </c>
      <c r="CH127" s="178" t="e">
        <f t="shared" si="122"/>
        <v>#DIV/0!</v>
      </c>
      <c r="CI127" s="178" t="e">
        <f t="shared" si="122"/>
        <v>#DIV/0!</v>
      </c>
      <c r="CJ127" s="168" t="e">
        <f t="shared" si="122"/>
        <v>#DIV/0!</v>
      </c>
      <c r="CK127" s="169" t="e">
        <f t="shared" si="94"/>
        <v>#DIV/0!</v>
      </c>
      <c r="CL127" s="179" t="e">
        <f t="shared" si="95"/>
        <v>#DIV/0!</v>
      </c>
      <c r="CM127" s="180" t="e">
        <f t="shared" si="123"/>
        <v>#DIV/0!</v>
      </c>
      <c r="CN127" s="178" t="e">
        <f t="shared" si="123"/>
        <v>#DIV/0!</v>
      </c>
      <c r="CO127" s="178" t="e">
        <f t="shared" si="123"/>
        <v>#DIV/0!</v>
      </c>
      <c r="CP127" s="178" t="e">
        <f t="shared" si="123"/>
        <v>#DIV/0!</v>
      </c>
      <c r="CQ127" s="178" t="e">
        <f t="shared" si="123"/>
        <v>#DIV/0!</v>
      </c>
      <c r="CR127" s="178" t="e">
        <f t="shared" si="123"/>
        <v>#DIV/0!</v>
      </c>
      <c r="CS127" s="178" t="e">
        <f t="shared" si="123"/>
        <v>#DIV/0!</v>
      </c>
      <c r="CT127" s="178" t="e">
        <f t="shared" si="123"/>
        <v>#DIV/0!</v>
      </c>
      <c r="CU127" s="178" t="e">
        <f t="shared" si="123"/>
        <v>#DIV/0!</v>
      </c>
      <c r="CV127" s="178" t="e">
        <f t="shared" si="123"/>
        <v>#DIV/0!</v>
      </c>
      <c r="CW127" s="178" t="e">
        <f t="shared" si="123"/>
        <v>#DIV/0!</v>
      </c>
      <c r="CX127" s="168" t="e">
        <f t="shared" si="123"/>
        <v>#DIV/0!</v>
      </c>
      <c r="CY127" s="169" t="e">
        <f t="shared" si="96"/>
        <v>#DIV/0!</v>
      </c>
      <c r="CZ127" s="179" t="e">
        <f t="shared" si="97"/>
        <v>#DIV/0!</v>
      </c>
      <c r="DA127" s="180" t="e">
        <f t="shared" si="124"/>
        <v>#DIV/0!</v>
      </c>
      <c r="DB127" s="178" t="e">
        <f t="shared" si="124"/>
        <v>#DIV/0!</v>
      </c>
      <c r="DC127" s="178" t="e">
        <f t="shared" si="124"/>
        <v>#DIV/0!</v>
      </c>
      <c r="DD127" s="178" t="e">
        <f t="shared" si="124"/>
        <v>#DIV/0!</v>
      </c>
      <c r="DE127" s="178" t="e">
        <f t="shared" si="124"/>
        <v>#DIV/0!</v>
      </c>
      <c r="DF127" s="178" t="e">
        <f t="shared" si="124"/>
        <v>#DIV/0!</v>
      </c>
      <c r="DG127" s="178" t="e">
        <f t="shared" si="124"/>
        <v>#DIV/0!</v>
      </c>
      <c r="DH127" s="178" t="e">
        <f t="shared" si="124"/>
        <v>#DIV/0!</v>
      </c>
      <c r="DI127" s="178" t="e">
        <f t="shared" si="124"/>
        <v>#DIV/0!</v>
      </c>
      <c r="DJ127" s="178" t="e">
        <f t="shared" si="124"/>
        <v>#DIV/0!</v>
      </c>
      <c r="DK127" s="178" t="e">
        <f t="shared" si="124"/>
        <v>#DIV/0!</v>
      </c>
      <c r="DL127" s="168" t="e">
        <f t="shared" si="124"/>
        <v>#DIV/0!</v>
      </c>
      <c r="DM127" s="169" t="e">
        <f t="shared" si="98"/>
        <v>#DIV/0!</v>
      </c>
      <c r="DN127" s="171" t="e">
        <f t="shared" si="99"/>
        <v>#DIV/0!</v>
      </c>
      <c r="DO127" s="180" t="e">
        <f t="shared" si="125"/>
        <v>#DIV/0!</v>
      </c>
      <c r="DP127" s="178" t="e">
        <f t="shared" si="125"/>
        <v>#DIV/0!</v>
      </c>
      <c r="DQ127" s="178" t="e">
        <f t="shared" si="125"/>
        <v>#DIV/0!</v>
      </c>
      <c r="DR127" s="178" t="e">
        <f t="shared" si="125"/>
        <v>#DIV/0!</v>
      </c>
      <c r="DS127" s="178" t="e">
        <f t="shared" si="125"/>
        <v>#DIV/0!</v>
      </c>
      <c r="DT127" s="178" t="e">
        <f t="shared" si="125"/>
        <v>#DIV/0!</v>
      </c>
      <c r="DU127" s="178" t="e">
        <f t="shared" si="125"/>
        <v>#DIV/0!</v>
      </c>
      <c r="DV127" s="178" t="e">
        <f t="shared" si="125"/>
        <v>#DIV/0!</v>
      </c>
      <c r="DW127" s="178" t="e">
        <f t="shared" si="125"/>
        <v>#DIV/0!</v>
      </c>
      <c r="DX127" s="178" t="e">
        <f t="shared" si="125"/>
        <v>#DIV/0!</v>
      </c>
      <c r="DY127" s="178" t="e">
        <f t="shared" si="125"/>
        <v>#DIV/0!</v>
      </c>
      <c r="DZ127" s="168" t="e">
        <f t="shared" si="125"/>
        <v>#DIV/0!</v>
      </c>
      <c r="EA127" s="169" t="e">
        <f t="shared" si="100"/>
        <v>#DIV/0!</v>
      </c>
      <c r="EB127" s="171" t="e">
        <f t="shared" si="101"/>
        <v>#DIV/0!</v>
      </c>
    </row>
    <row r="128" spans="1:132" s="177" customFormat="1" ht="15.75">
      <c r="A128" s="183"/>
      <c r="B128" s="164"/>
      <c r="C128" s="184"/>
      <c r="D128" s="185"/>
      <c r="E128" s="167"/>
      <c r="F128" s="168" t="e">
        <f t="shared" si="83"/>
        <v>#DIV/0!</v>
      </c>
      <c r="G128" s="169" t="e">
        <f t="shared" si="128"/>
        <v>#DIV/0!</v>
      </c>
      <c r="H128" s="178" t="e">
        <f t="shared" si="128"/>
        <v>#DIV/0!</v>
      </c>
      <c r="I128" s="178" t="e">
        <f t="shared" si="128"/>
        <v>#DIV/0!</v>
      </c>
      <c r="J128" s="178" t="e">
        <f t="shared" si="128"/>
        <v>#DIV/0!</v>
      </c>
      <c r="K128" s="178" t="e">
        <f t="shared" si="128"/>
        <v>#DIV/0!</v>
      </c>
      <c r="L128" s="178" t="e">
        <f t="shared" si="128"/>
        <v>#DIV/0!</v>
      </c>
      <c r="M128" s="178" t="e">
        <f t="shared" si="128"/>
        <v>#DIV/0!</v>
      </c>
      <c r="N128" s="178" t="e">
        <f t="shared" si="128"/>
        <v>#DIV/0!</v>
      </c>
      <c r="O128" s="178" t="e">
        <f t="shared" si="128"/>
        <v>#DIV/0!</v>
      </c>
      <c r="P128" s="178" t="e">
        <f t="shared" si="128"/>
        <v>#DIV/0!</v>
      </c>
      <c r="Q128" s="178" t="e">
        <f t="shared" si="128"/>
        <v>#DIV/0!</v>
      </c>
      <c r="R128" s="179" t="e">
        <f t="shared" si="128"/>
        <v>#DIV/0!</v>
      </c>
      <c r="S128" s="169" t="e">
        <f t="shared" si="84"/>
        <v>#DIV/0!</v>
      </c>
      <c r="T128" s="179" t="e">
        <f t="shared" si="85"/>
        <v>#DIV/0!</v>
      </c>
      <c r="U128" s="180" t="e">
        <f t="shared" si="119"/>
        <v>#DIV/0!</v>
      </c>
      <c r="V128" s="178" t="e">
        <f t="shared" si="119"/>
        <v>#DIV/0!</v>
      </c>
      <c r="W128" s="178" t="e">
        <f t="shared" si="119"/>
        <v>#DIV/0!</v>
      </c>
      <c r="X128" s="178" t="e">
        <f t="shared" si="119"/>
        <v>#DIV/0!</v>
      </c>
      <c r="Y128" s="178" t="e">
        <f t="shared" si="119"/>
        <v>#DIV/0!</v>
      </c>
      <c r="Z128" s="178" t="e">
        <f t="shared" si="119"/>
        <v>#DIV/0!</v>
      </c>
      <c r="AA128" s="178" t="e">
        <f t="shared" si="119"/>
        <v>#DIV/0!</v>
      </c>
      <c r="AB128" s="178" t="e">
        <f t="shared" si="119"/>
        <v>#DIV/0!</v>
      </c>
      <c r="AC128" s="178" t="e">
        <f t="shared" si="119"/>
        <v>#DIV/0!</v>
      </c>
      <c r="AD128" s="178" t="e">
        <f t="shared" si="119"/>
        <v>#DIV/0!</v>
      </c>
      <c r="AE128" s="178" t="e">
        <f t="shared" si="119"/>
        <v>#DIV/0!</v>
      </c>
      <c r="AF128" s="168" t="e">
        <f t="shared" si="119"/>
        <v>#DIV/0!</v>
      </c>
      <c r="AG128" s="169" t="e">
        <f t="shared" si="86"/>
        <v>#DIV/0!</v>
      </c>
      <c r="AH128" s="179" t="e">
        <f t="shared" si="87"/>
        <v>#DIV/0!</v>
      </c>
      <c r="AI128" s="180" t="e">
        <f t="shared" si="104"/>
        <v>#DIV/0!</v>
      </c>
      <c r="AJ128" s="178" t="e">
        <f t="shared" si="104"/>
        <v>#DIV/0!</v>
      </c>
      <c r="AK128" s="178" t="e">
        <f t="shared" si="104"/>
        <v>#DIV/0!</v>
      </c>
      <c r="AL128" s="178" t="e">
        <f t="shared" si="104"/>
        <v>#DIV/0!</v>
      </c>
      <c r="AM128" s="178" t="e">
        <f t="shared" si="104"/>
        <v>#DIV/0!</v>
      </c>
      <c r="AN128" s="178" t="e">
        <f t="shared" si="104"/>
        <v>#DIV/0!</v>
      </c>
      <c r="AO128" s="178" t="e">
        <f t="shared" si="104"/>
        <v>#DIV/0!</v>
      </c>
      <c r="AP128" s="178" t="e">
        <f t="shared" si="104"/>
        <v>#DIV/0!</v>
      </c>
      <c r="AQ128" s="178" t="e">
        <f t="shared" si="104"/>
        <v>#DIV/0!</v>
      </c>
      <c r="AR128" s="178" t="e">
        <f t="shared" si="104"/>
        <v>#DIV/0!</v>
      </c>
      <c r="AS128" s="178" t="e">
        <f t="shared" si="104"/>
        <v>#DIV/0!</v>
      </c>
      <c r="AT128" s="168" t="e">
        <f t="shared" si="104"/>
        <v>#DIV/0!</v>
      </c>
      <c r="AU128" s="169" t="e">
        <f t="shared" si="88"/>
        <v>#DIV/0!</v>
      </c>
      <c r="AV128" s="179" t="e">
        <f t="shared" si="89"/>
        <v>#DIV/0!</v>
      </c>
      <c r="AW128" s="180" t="e">
        <f t="shared" si="120"/>
        <v>#DIV/0!</v>
      </c>
      <c r="AX128" s="178" t="e">
        <f t="shared" si="120"/>
        <v>#DIV/0!</v>
      </c>
      <c r="AY128" s="178" t="e">
        <f t="shared" si="120"/>
        <v>#DIV/0!</v>
      </c>
      <c r="AZ128" s="178" t="e">
        <f t="shared" si="120"/>
        <v>#DIV/0!</v>
      </c>
      <c r="BA128" s="178" t="e">
        <f t="shared" si="120"/>
        <v>#DIV/0!</v>
      </c>
      <c r="BB128" s="178" t="e">
        <f t="shared" si="120"/>
        <v>#DIV/0!</v>
      </c>
      <c r="BC128" s="178" t="e">
        <f t="shared" si="120"/>
        <v>#DIV/0!</v>
      </c>
      <c r="BD128" s="178" t="e">
        <f t="shared" si="120"/>
        <v>#DIV/0!</v>
      </c>
      <c r="BE128" s="178" t="e">
        <f t="shared" si="120"/>
        <v>#DIV/0!</v>
      </c>
      <c r="BF128" s="178" t="e">
        <f t="shared" si="120"/>
        <v>#DIV/0!</v>
      </c>
      <c r="BG128" s="178" t="e">
        <f t="shared" si="120"/>
        <v>#DIV/0!</v>
      </c>
      <c r="BH128" s="168" t="e">
        <f t="shared" si="120"/>
        <v>#DIV/0!</v>
      </c>
      <c r="BI128" s="169" t="e">
        <f t="shared" si="90"/>
        <v>#DIV/0!</v>
      </c>
      <c r="BJ128" s="179" t="e">
        <f t="shared" si="91"/>
        <v>#DIV/0!</v>
      </c>
      <c r="BK128" s="180" t="e">
        <f t="shared" si="121"/>
        <v>#DIV/0!</v>
      </c>
      <c r="BL128" s="178" t="e">
        <f t="shared" si="121"/>
        <v>#DIV/0!</v>
      </c>
      <c r="BM128" s="178" t="e">
        <f t="shared" si="121"/>
        <v>#DIV/0!</v>
      </c>
      <c r="BN128" s="178" t="e">
        <f t="shared" si="121"/>
        <v>#DIV/0!</v>
      </c>
      <c r="BO128" s="178" t="e">
        <f t="shared" si="121"/>
        <v>#DIV/0!</v>
      </c>
      <c r="BP128" s="178" t="e">
        <f t="shared" si="121"/>
        <v>#DIV/0!</v>
      </c>
      <c r="BQ128" s="178" t="e">
        <f t="shared" si="121"/>
        <v>#DIV/0!</v>
      </c>
      <c r="BR128" s="178" t="e">
        <f t="shared" si="121"/>
        <v>#DIV/0!</v>
      </c>
      <c r="BS128" s="178" t="e">
        <f t="shared" si="121"/>
        <v>#DIV/0!</v>
      </c>
      <c r="BT128" s="178" t="e">
        <f t="shared" si="121"/>
        <v>#DIV/0!</v>
      </c>
      <c r="BU128" s="178" t="e">
        <f t="shared" si="121"/>
        <v>#DIV/0!</v>
      </c>
      <c r="BV128" s="168" t="e">
        <f t="shared" si="121"/>
        <v>#DIV/0!</v>
      </c>
      <c r="BW128" s="169" t="e">
        <f t="shared" si="92"/>
        <v>#DIV/0!</v>
      </c>
      <c r="BX128" s="179" t="e">
        <f t="shared" si="93"/>
        <v>#DIV/0!</v>
      </c>
      <c r="BY128" s="180" t="e">
        <f t="shared" si="122"/>
        <v>#DIV/0!</v>
      </c>
      <c r="BZ128" s="178" t="e">
        <f t="shared" si="122"/>
        <v>#DIV/0!</v>
      </c>
      <c r="CA128" s="178" t="e">
        <f t="shared" si="122"/>
        <v>#DIV/0!</v>
      </c>
      <c r="CB128" s="178" t="e">
        <f t="shared" si="122"/>
        <v>#DIV/0!</v>
      </c>
      <c r="CC128" s="178" t="e">
        <f t="shared" si="122"/>
        <v>#DIV/0!</v>
      </c>
      <c r="CD128" s="178" t="e">
        <f t="shared" si="122"/>
        <v>#DIV/0!</v>
      </c>
      <c r="CE128" s="178" t="e">
        <f t="shared" si="122"/>
        <v>#DIV/0!</v>
      </c>
      <c r="CF128" s="178" t="e">
        <f t="shared" si="122"/>
        <v>#DIV/0!</v>
      </c>
      <c r="CG128" s="178" t="e">
        <f t="shared" si="122"/>
        <v>#DIV/0!</v>
      </c>
      <c r="CH128" s="178" t="e">
        <f t="shared" si="122"/>
        <v>#DIV/0!</v>
      </c>
      <c r="CI128" s="178" t="e">
        <f t="shared" si="122"/>
        <v>#DIV/0!</v>
      </c>
      <c r="CJ128" s="168" t="e">
        <f t="shared" si="122"/>
        <v>#DIV/0!</v>
      </c>
      <c r="CK128" s="169" t="e">
        <f t="shared" si="94"/>
        <v>#DIV/0!</v>
      </c>
      <c r="CL128" s="179" t="e">
        <f t="shared" si="95"/>
        <v>#DIV/0!</v>
      </c>
      <c r="CM128" s="180" t="e">
        <f t="shared" si="123"/>
        <v>#DIV/0!</v>
      </c>
      <c r="CN128" s="178" t="e">
        <f t="shared" si="123"/>
        <v>#DIV/0!</v>
      </c>
      <c r="CO128" s="178" t="e">
        <f t="shared" si="123"/>
        <v>#DIV/0!</v>
      </c>
      <c r="CP128" s="178" t="e">
        <f t="shared" si="123"/>
        <v>#DIV/0!</v>
      </c>
      <c r="CQ128" s="178" t="e">
        <f t="shared" si="123"/>
        <v>#DIV/0!</v>
      </c>
      <c r="CR128" s="178" t="e">
        <f t="shared" si="123"/>
        <v>#DIV/0!</v>
      </c>
      <c r="CS128" s="178" t="e">
        <f t="shared" si="123"/>
        <v>#DIV/0!</v>
      </c>
      <c r="CT128" s="178" t="e">
        <f t="shared" si="123"/>
        <v>#DIV/0!</v>
      </c>
      <c r="CU128" s="178" t="e">
        <f t="shared" si="123"/>
        <v>#DIV/0!</v>
      </c>
      <c r="CV128" s="178" t="e">
        <f t="shared" si="123"/>
        <v>#DIV/0!</v>
      </c>
      <c r="CW128" s="178" t="e">
        <f t="shared" si="123"/>
        <v>#DIV/0!</v>
      </c>
      <c r="CX128" s="168" t="e">
        <f t="shared" si="123"/>
        <v>#DIV/0!</v>
      </c>
      <c r="CY128" s="169" t="e">
        <f t="shared" si="96"/>
        <v>#DIV/0!</v>
      </c>
      <c r="CZ128" s="179" t="e">
        <f t="shared" si="97"/>
        <v>#DIV/0!</v>
      </c>
      <c r="DA128" s="180" t="e">
        <f t="shared" si="124"/>
        <v>#DIV/0!</v>
      </c>
      <c r="DB128" s="178" t="e">
        <f t="shared" si="124"/>
        <v>#DIV/0!</v>
      </c>
      <c r="DC128" s="178" t="e">
        <f t="shared" si="124"/>
        <v>#DIV/0!</v>
      </c>
      <c r="DD128" s="178" t="e">
        <f t="shared" si="124"/>
        <v>#DIV/0!</v>
      </c>
      <c r="DE128" s="178" t="e">
        <f t="shared" si="124"/>
        <v>#DIV/0!</v>
      </c>
      <c r="DF128" s="178" t="e">
        <f t="shared" si="124"/>
        <v>#DIV/0!</v>
      </c>
      <c r="DG128" s="178" t="e">
        <f t="shared" si="124"/>
        <v>#DIV/0!</v>
      </c>
      <c r="DH128" s="178" t="e">
        <f t="shared" si="124"/>
        <v>#DIV/0!</v>
      </c>
      <c r="DI128" s="178" t="e">
        <f t="shared" si="124"/>
        <v>#DIV/0!</v>
      </c>
      <c r="DJ128" s="178" t="e">
        <f t="shared" si="124"/>
        <v>#DIV/0!</v>
      </c>
      <c r="DK128" s="178" t="e">
        <f t="shared" si="124"/>
        <v>#DIV/0!</v>
      </c>
      <c r="DL128" s="168" t="e">
        <f t="shared" si="124"/>
        <v>#DIV/0!</v>
      </c>
      <c r="DM128" s="169" t="e">
        <f t="shared" si="98"/>
        <v>#DIV/0!</v>
      </c>
      <c r="DN128" s="171" t="e">
        <f t="shared" si="99"/>
        <v>#DIV/0!</v>
      </c>
      <c r="DO128" s="180" t="e">
        <f t="shared" si="125"/>
        <v>#DIV/0!</v>
      </c>
      <c r="DP128" s="178" t="e">
        <f t="shared" si="125"/>
        <v>#DIV/0!</v>
      </c>
      <c r="DQ128" s="178" t="e">
        <f t="shared" si="125"/>
        <v>#DIV/0!</v>
      </c>
      <c r="DR128" s="178" t="e">
        <f t="shared" si="125"/>
        <v>#DIV/0!</v>
      </c>
      <c r="DS128" s="178" t="e">
        <f t="shared" si="125"/>
        <v>#DIV/0!</v>
      </c>
      <c r="DT128" s="178" t="e">
        <f t="shared" si="125"/>
        <v>#DIV/0!</v>
      </c>
      <c r="DU128" s="178" t="e">
        <f t="shared" si="125"/>
        <v>#DIV/0!</v>
      </c>
      <c r="DV128" s="178" t="e">
        <f t="shared" si="125"/>
        <v>#DIV/0!</v>
      </c>
      <c r="DW128" s="178" t="e">
        <f t="shared" si="125"/>
        <v>#DIV/0!</v>
      </c>
      <c r="DX128" s="178" t="e">
        <f t="shared" si="125"/>
        <v>#DIV/0!</v>
      </c>
      <c r="DY128" s="178" t="e">
        <f t="shared" si="125"/>
        <v>#DIV/0!</v>
      </c>
      <c r="DZ128" s="168" t="e">
        <f t="shared" si="125"/>
        <v>#DIV/0!</v>
      </c>
      <c r="EA128" s="169" t="e">
        <f t="shared" si="100"/>
        <v>#DIV/0!</v>
      </c>
      <c r="EB128" s="171" t="e">
        <f t="shared" si="101"/>
        <v>#DIV/0!</v>
      </c>
    </row>
    <row r="129" spans="1:132" s="177" customFormat="1" ht="15.75">
      <c r="A129" s="183"/>
      <c r="B129" s="164"/>
      <c r="C129" s="184"/>
      <c r="D129" s="185"/>
      <c r="E129" s="167"/>
      <c r="F129" s="168" t="e">
        <f t="shared" si="83"/>
        <v>#DIV/0!</v>
      </c>
      <c r="G129" s="169" t="e">
        <f t="shared" si="128"/>
        <v>#DIV/0!</v>
      </c>
      <c r="H129" s="178" t="e">
        <f t="shared" si="128"/>
        <v>#DIV/0!</v>
      </c>
      <c r="I129" s="178" t="e">
        <f t="shared" si="128"/>
        <v>#DIV/0!</v>
      </c>
      <c r="J129" s="178" t="e">
        <f t="shared" si="128"/>
        <v>#DIV/0!</v>
      </c>
      <c r="K129" s="178" t="e">
        <f t="shared" si="128"/>
        <v>#DIV/0!</v>
      </c>
      <c r="L129" s="178" t="e">
        <f t="shared" si="128"/>
        <v>#DIV/0!</v>
      </c>
      <c r="M129" s="178" t="e">
        <f t="shared" si="128"/>
        <v>#DIV/0!</v>
      </c>
      <c r="N129" s="178" t="e">
        <f t="shared" si="128"/>
        <v>#DIV/0!</v>
      </c>
      <c r="O129" s="178" t="e">
        <f t="shared" si="128"/>
        <v>#DIV/0!</v>
      </c>
      <c r="P129" s="178" t="e">
        <f t="shared" si="128"/>
        <v>#DIV/0!</v>
      </c>
      <c r="Q129" s="178" t="e">
        <f t="shared" si="128"/>
        <v>#DIV/0!</v>
      </c>
      <c r="R129" s="179" t="e">
        <f t="shared" si="128"/>
        <v>#DIV/0!</v>
      </c>
      <c r="S129" s="169" t="e">
        <f t="shared" si="84"/>
        <v>#DIV/0!</v>
      </c>
      <c r="T129" s="179" t="e">
        <f t="shared" si="85"/>
        <v>#DIV/0!</v>
      </c>
      <c r="U129" s="180" t="e">
        <f t="shared" si="119"/>
        <v>#DIV/0!</v>
      </c>
      <c r="V129" s="178" t="e">
        <f t="shared" si="119"/>
        <v>#DIV/0!</v>
      </c>
      <c r="W129" s="178" t="e">
        <f t="shared" si="119"/>
        <v>#DIV/0!</v>
      </c>
      <c r="X129" s="178" t="e">
        <f t="shared" ref="X129:AF129" si="129">IF(OR($F129&lt;=0,(X$9-$A129)&gt;(365*$E129)),0,IF($A129&lt;=X$9,$F129/12,0))</f>
        <v>#DIV/0!</v>
      </c>
      <c r="Y129" s="178" t="e">
        <f t="shared" si="129"/>
        <v>#DIV/0!</v>
      </c>
      <c r="Z129" s="178" t="e">
        <f t="shared" si="129"/>
        <v>#DIV/0!</v>
      </c>
      <c r="AA129" s="178" t="e">
        <f t="shared" si="129"/>
        <v>#DIV/0!</v>
      </c>
      <c r="AB129" s="178" t="e">
        <f t="shared" si="129"/>
        <v>#DIV/0!</v>
      </c>
      <c r="AC129" s="178" t="e">
        <f t="shared" si="129"/>
        <v>#DIV/0!</v>
      </c>
      <c r="AD129" s="178" t="e">
        <f t="shared" si="129"/>
        <v>#DIV/0!</v>
      </c>
      <c r="AE129" s="178" t="e">
        <f t="shared" si="129"/>
        <v>#DIV/0!</v>
      </c>
      <c r="AF129" s="168" t="e">
        <f t="shared" si="129"/>
        <v>#DIV/0!</v>
      </c>
      <c r="AG129" s="169" t="e">
        <f t="shared" si="86"/>
        <v>#DIV/0!</v>
      </c>
      <c r="AH129" s="179" t="e">
        <f t="shared" si="87"/>
        <v>#DIV/0!</v>
      </c>
      <c r="AI129" s="180" t="e">
        <f t="shared" si="104"/>
        <v>#DIV/0!</v>
      </c>
      <c r="AJ129" s="178" t="e">
        <f t="shared" si="104"/>
        <v>#DIV/0!</v>
      </c>
      <c r="AK129" s="178" t="e">
        <f t="shared" si="104"/>
        <v>#DIV/0!</v>
      </c>
      <c r="AL129" s="178" t="e">
        <f t="shared" si="104"/>
        <v>#DIV/0!</v>
      </c>
      <c r="AM129" s="178" t="e">
        <f t="shared" ref="AI129:AT138" si="130">IF(OR($F129&lt;=0,(AM$9-$A129)&gt;(365*$E129)),0,IF($A129&lt;=AM$9,$F129/12,0))</f>
        <v>#DIV/0!</v>
      </c>
      <c r="AN129" s="178" t="e">
        <f t="shared" si="130"/>
        <v>#DIV/0!</v>
      </c>
      <c r="AO129" s="178" t="e">
        <f t="shared" si="130"/>
        <v>#DIV/0!</v>
      </c>
      <c r="AP129" s="178" t="e">
        <f t="shared" si="130"/>
        <v>#DIV/0!</v>
      </c>
      <c r="AQ129" s="178" t="e">
        <f t="shared" si="130"/>
        <v>#DIV/0!</v>
      </c>
      <c r="AR129" s="178" t="e">
        <f t="shared" si="130"/>
        <v>#DIV/0!</v>
      </c>
      <c r="AS129" s="178" t="e">
        <f t="shared" si="130"/>
        <v>#DIV/0!</v>
      </c>
      <c r="AT129" s="168" t="e">
        <f t="shared" si="130"/>
        <v>#DIV/0!</v>
      </c>
      <c r="AU129" s="169" t="e">
        <f t="shared" si="88"/>
        <v>#DIV/0!</v>
      </c>
      <c r="AV129" s="179" t="e">
        <f t="shared" si="89"/>
        <v>#DIV/0!</v>
      </c>
      <c r="AW129" s="180" t="e">
        <f t="shared" si="120"/>
        <v>#DIV/0!</v>
      </c>
      <c r="AX129" s="178" t="e">
        <f t="shared" si="120"/>
        <v>#DIV/0!</v>
      </c>
      <c r="AY129" s="178" t="e">
        <f t="shared" si="120"/>
        <v>#DIV/0!</v>
      </c>
      <c r="AZ129" s="178" t="e">
        <f t="shared" ref="AZ129:BH129" si="131">IF(OR($F129&lt;=0,(AZ$9-$A129)&gt;(365*$E129)),0,IF($A129&lt;=AZ$9,$F129/12,0))</f>
        <v>#DIV/0!</v>
      </c>
      <c r="BA129" s="178" t="e">
        <f t="shared" si="131"/>
        <v>#DIV/0!</v>
      </c>
      <c r="BB129" s="178" t="e">
        <f t="shared" si="131"/>
        <v>#DIV/0!</v>
      </c>
      <c r="BC129" s="178" t="e">
        <f t="shared" si="131"/>
        <v>#DIV/0!</v>
      </c>
      <c r="BD129" s="178" t="e">
        <f t="shared" si="131"/>
        <v>#DIV/0!</v>
      </c>
      <c r="BE129" s="178" t="e">
        <f t="shared" si="131"/>
        <v>#DIV/0!</v>
      </c>
      <c r="BF129" s="178" t="e">
        <f t="shared" si="131"/>
        <v>#DIV/0!</v>
      </c>
      <c r="BG129" s="178" t="e">
        <f t="shared" si="131"/>
        <v>#DIV/0!</v>
      </c>
      <c r="BH129" s="168" t="e">
        <f t="shared" si="131"/>
        <v>#DIV/0!</v>
      </c>
      <c r="BI129" s="169" t="e">
        <f t="shared" si="90"/>
        <v>#DIV/0!</v>
      </c>
      <c r="BJ129" s="179" t="e">
        <f t="shared" si="91"/>
        <v>#DIV/0!</v>
      </c>
      <c r="BK129" s="180" t="e">
        <f t="shared" si="121"/>
        <v>#DIV/0!</v>
      </c>
      <c r="BL129" s="178" t="e">
        <f t="shared" si="121"/>
        <v>#DIV/0!</v>
      </c>
      <c r="BM129" s="178" t="e">
        <f t="shared" si="121"/>
        <v>#DIV/0!</v>
      </c>
      <c r="BN129" s="178" t="e">
        <f t="shared" ref="BN129:BV129" si="132">IF(OR($BJ129&lt;=0,(BN$9-$A129)&gt;($E129*365)),0,IF($A129&lt;=BN$9,$F129/12))</f>
        <v>#DIV/0!</v>
      </c>
      <c r="BO129" s="178" t="e">
        <f t="shared" si="132"/>
        <v>#DIV/0!</v>
      </c>
      <c r="BP129" s="178" t="e">
        <f t="shared" si="132"/>
        <v>#DIV/0!</v>
      </c>
      <c r="BQ129" s="178" t="e">
        <f t="shared" si="132"/>
        <v>#DIV/0!</v>
      </c>
      <c r="BR129" s="178" t="e">
        <f t="shared" si="132"/>
        <v>#DIV/0!</v>
      </c>
      <c r="BS129" s="178" t="e">
        <f t="shared" si="132"/>
        <v>#DIV/0!</v>
      </c>
      <c r="BT129" s="178" t="e">
        <f t="shared" si="132"/>
        <v>#DIV/0!</v>
      </c>
      <c r="BU129" s="178" t="e">
        <f t="shared" si="132"/>
        <v>#DIV/0!</v>
      </c>
      <c r="BV129" s="168" t="e">
        <f t="shared" si="132"/>
        <v>#DIV/0!</v>
      </c>
      <c r="BW129" s="169" t="e">
        <f t="shared" si="92"/>
        <v>#DIV/0!</v>
      </c>
      <c r="BX129" s="179" t="e">
        <f t="shared" si="93"/>
        <v>#DIV/0!</v>
      </c>
      <c r="BY129" s="180" t="e">
        <f t="shared" si="122"/>
        <v>#DIV/0!</v>
      </c>
      <c r="BZ129" s="178" t="e">
        <f t="shared" si="122"/>
        <v>#DIV/0!</v>
      </c>
      <c r="CA129" s="178" t="e">
        <f t="shared" si="122"/>
        <v>#DIV/0!</v>
      </c>
      <c r="CB129" s="178" t="e">
        <f t="shared" ref="CB129:CJ129" si="133">IF(OR($BX129&lt;=0,(CB$9-$A129)&gt;($E129*365)),0,IF($A129&lt;=CB$9,$F129/12))</f>
        <v>#DIV/0!</v>
      </c>
      <c r="CC129" s="178" t="e">
        <f t="shared" si="133"/>
        <v>#DIV/0!</v>
      </c>
      <c r="CD129" s="178" t="e">
        <f t="shared" si="133"/>
        <v>#DIV/0!</v>
      </c>
      <c r="CE129" s="178" t="e">
        <f t="shared" si="133"/>
        <v>#DIV/0!</v>
      </c>
      <c r="CF129" s="178" t="e">
        <f t="shared" si="133"/>
        <v>#DIV/0!</v>
      </c>
      <c r="CG129" s="178" t="e">
        <f t="shared" si="133"/>
        <v>#DIV/0!</v>
      </c>
      <c r="CH129" s="178" t="e">
        <f t="shared" si="133"/>
        <v>#DIV/0!</v>
      </c>
      <c r="CI129" s="178" t="e">
        <f t="shared" si="133"/>
        <v>#DIV/0!</v>
      </c>
      <c r="CJ129" s="168" t="e">
        <f t="shared" si="133"/>
        <v>#DIV/0!</v>
      </c>
      <c r="CK129" s="169" t="e">
        <f t="shared" si="94"/>
        <v>#DIV/0!</v>
      </c>
      <c r="CL129" s="179" t="e">
        <f t="shared" si="95"/>
        <v>#DIV/0!</v>
      </c>
      <c r="CM129" s="180" t="e">
        <f t="shared" si="123"/>
        <v>#DIV/0!</v>
      </c>
      <c r="CN129" s="178" t="e">
        <f t="shared" si="123"/>
        <v>#DIV/0!</v>
      </c>
      <c r="CO129" s="178" t="e">
        <f t="shared" si="123"/>
        <v>#DIV/0!</v>
      </c>
      <c r="CP129" s="178" t="e">
        <f t="shared" ref="CP129:CX129" si="134">IF(OR($CL129&lt;=0,(CP$9-$A129)&gt;($E129*365)),0,IF($A129&lt;=CP$9,$F129/12))</f>
        <v>#DIV/0!</v>
      </c>
      <c r="CQ129" s="178" t="e">
        <f t="shared" si="134"/>
        <v>#DIV/0!</v>
      </c>
      <c r="CR129" s="178" t="e">
        <f t="shared" si="134"/>
        <v>#DIV/0!</v>
      </c>
      <c r="CS129" s="178" t="e">
        <f t="shared" si="134"/>
        <v>#DIV/0!</v>
      </c>
      <c r="CT129" s="178" t="e">
        <f t="shared" si="134"/>
        <v>#DIV/0!</v>
      </c>
      <c r="CU129" s="178" t="e">
        <f t="shared" si="134"/>
        <v>#DIV/0!</v>
      </c>
      <c r="CV129" s="178" t="e">
        <f t="shared" si="134"/>
        <v>#DIV/0!</v>
      </c>
      <c r="CW129" s="178" t="e">
        <f t="shared" si="134"/>
        <v>#DIV/0!</v>
      </c>
      <c r="CX129" s="168" t="e">
        <f t="shared" si="134"/>
        <v>#DIV/0!</v>
      </c>
      <c r="CY129" s="169" t="e">
        <f t="shared" si="96"/>
        <v>#DIV/0!</v>
      </c>
      <c r="CZ129" s="179" t="e">
        <f t="shared" si="97"/>
        <v>#DIV/0!</v>
      </c>
      <c r="DA129" s="180" t="e">
        <f t="shared" si="124"/>
        <v>#DIV/0!</v>
      </c>
      <c r="DB129" s="178" t="e">
        <f t="shared" si="124"/>
        <v>#DIV/0!</v>
      </c>
      <c r="DC129" s="178" t="e">
        <f t="shared" si="124"/>
        <v>#DIV/0!</v>
      </c>
      <c r="DD129" s="178" t="e">
        <f t="shared" ref="DD129:DL129" si="135">IF(OR($CZ129&lt;=0,(DD$9-$A129)&gt;($E129*365)),0,IF($A129&lt;=DD$9,$F129/12))</f>
        <v>#DIV/0!</v>
      </c>
      <c r="DE129" s="178" t="e">
        <f t="shared" si="135"/>
        <v>#DIV/0!</v>
      </c>
      <c r="DF129" s="178" t="e">
        <f t="shared" si="135"/>
        <v>#DIV/0!</v>
      </c>
      <c r="DG129" s="178" t="e">
        <f t="shared" si="135"/>
        <v>#DIV/0!</v>
      </c>
      <c r="DH129" s="178" t="e">
        <f t="shared" si="135"/>
        <v>#DIV/0!</v>
      </c>
      <c r="DI129" s="178" t="e">
        <f t="shared" si="135"/>
        <v>#DIV/0!</v>
      </c>
      <c r="DJ129" s="178" t="e">
        <f t="shared" si="135"/>
        <v>#DIV/0!</v>
      </c>
      <c r="DK129" s="178" t="e">
        <f t="shared" si="135"/>
        <v>#DIV/0!</v>
      </c>
      <c r="DL129" s="168" t="e">
        <f t="shared" si="135"/>
        <v>#DIV/0!</v>
      </c>
      <c r="DM129" s="169" t="e">
        <f t="shared" si="98"/>
        <v>#DIV/0!</v>
      </c>
      <c r="DN129" s="171" t="e">
        <f t="shared" si="99"/>
        <v>#DIV/0!</v>
      </c>
      <c r="DO129" s="180" t="e">
        <f t="shared" si="125"/>
        <v>#DIV/0!</v>
      </c>
      <c r="DP129" s="178" t="e">
        <f t="shared" si="125"/>
        <v>#DIV/0!</v>
      </c>
      <c r="DQ129" s="178" t="e">
        <f t="shared" si="125"/>
        <v>#DIV/0!</v>
      </c>
      <c r="DR129" s="178" t="e">
        <f t="shared" ref="DR129:DZ129" si="136">IF(OR($DN129&lt;=0,(DR$9-$A129)&gt;($E129*365)),0,IF($A129&lt;=DR$9,$F129/12))</f>
        <v>#DIV/0!</v>
      </c>
      <c r="DS129" s="178" t="e">
        <f t="shared" si="136"/>
        <v>#DIV/0!</v>
      </c>
      <c r="DT129" s="178" t="e">
        <f t="shared" si="136"/>
        <v>#DIV/0!</v>
      </c>
      <c r="DU129" s="178" t="e">
        <f t="shared" si="136"/>
        <v>#DIV/0!</v>
      </c>
      <c r="DV129" s="178" t="e">
        <f t="shared" si="136"/>
        <v>#DIV/0!</v>
      </c>
      <c r="DW129" s="178" t="e">
        <f t="shared" si="136"/>
        <v>#DIV/0!</v>
      </c>
      <c r="DX129" s="178" t="e">
        <f t="shared" si="136"/>
        <v>#DIV/0!</v>
      </c>
      <c r="DY129" s="178" t="e">
        <f t="shared" si="136"/>
        <v>#DIV/0!</v>
      </c>
      <c r="DZ129" s="168" t="e">
        <f t="shared" si="136"/>
        <v>#DIV/0!</v>
      </c>
      <c r="EA129" s="169" t="e">
        <f t="shared" si="100"/>
        <v>#DIV/0!</v>
      </c>
      <c r="EB129" s="171" t="e">
        <f t="shared" si="101"/>
        <v>#DIV/0!</v>
      </c>
    </row>
    <row r="130" spans="1:132" s="177" customFormat="1" ht="15.75">
      <c r="A130" s="183"/>
      <c r="B130" s="164"/>
      <c r="C130" s="184"/>
      <c r="D130" s="185"/>
      <c r="E130" s="167"/>
      <c r="F130" s="168" t="e">
        <f t="shared" si="83"/>
        <v>#DIV/0!</v>
      </c>
      <c r="G130" s="169" t="e">
        <f t="shared" si="128"/>
        <v>#DIV/0!</v>
      </c>
      <c r="H130" s="178" t="e">
        <f t="shared" si="128"/>
        <v>#DIV/0!</v>
      </c>
      <c r="I130" s="178" t="e">
        <f t="shared" si="128"/>
        <v>#DIV/0!</v>
      </c>
      <c r="J130" s="178" t="e">
        <f t="shared" si="128"/>
        <v>#DIV/0!</v>
      </c>
      <c r="K130" s="178" t="e">
        <f t="shared" si="128"/>
        <v>#DIV/0!</v>
      </c>
      <c r="L130" s="178" t="e">
        <f t="shared" si="128"/>
        <v>#DIV/0!</v>
      </c>
      <c r="M130" s="178" t="e">
        <f t="shared" si="128"/>
        <v>#DIV/0!</v>
      </c>
      <c r="N130" s="178" t="e">
        <f t="shared" si="128"/>
        <v>#DIV/0!</v>
      </c>
      <c r="O130" s="178" t="e">
        <f t="shared" si="128"/>
        <v>#DIV/0!</v>
      </c>
      <c r="P130" s="178" t="e">
        <f t="shared" si="128"/>
        <v>#DIV/0!</v>
      </c>
      <c r="Q130" s="178" t="e">
        <f t="shared" si="128"/>
        <v>#DIV/0!</v>
      </c>
      <c r="R130" s="179" t="e">
        <f t="shared" si="128"/>
        <v>#DIV/0!</v>
      </c>
      <c r="S130" s="169" t="e">
        <f t="shared" si="84"/>
        <v>#DIV/0!</v>
      </c>
      <c r="T130" s="179" t="e">
        <f t="shared" si="85"/>
        <v>#DIV/0!</v>
      </c>
      <c r="U130" s="180" t="e">
        <f t="shared" ref="U130:AF138" si="137">IF(OR($F130&lt;=0,(U$9-$A130)&gt;(365*$E130)),0,IF($A130&lt;=U$9,$F130/12,0))</f>
        <v>#DIV/0!</v>
      </c>
      <c r="V130" s="178" t="e">
        <f t="shared" si="137"/>
        <v>#DIV/0!</v>
      </c>
      <c r="W130" s="178" t="e">
        <f t="shared" si="137"/>
        <v>#DIV/0!</v>
      </c>
      <c r="X130" s="178" t="e">
        <f t="shared" si="137"/>
        <v>#DIV/0!</v>
      </c>
      <c r="Y130" s="178" t="e">
        <f t="shared" si="137"/>
        <v>#DIV/0!</v>
      </c>
      <c r="Z130" s="178" t="e">
        <f t="shared" si="137"/>
        <v>#DIV/0!</v>
      </c>
      <c r="AA130" s="178" t="e">
        <f t="shared" si="137"/>
        <v>#DIV/0!</v>
      </c>
      <c r="AB130" s="178" t="e">
        <f t="shared" si="137"/>
        <v>#DIV/0!</v>
      </c>
      <c r="AC130" s="178" t="e">
        <f t="shared" si="137"/>
        <v>#DIV/0!</v>
      </c>
      <c r="AD130" s="178" t="e">
        <f t="shared" si="137"/>
        <v>#DIV/0!</v>
      </c>
      <c r="AE130" s="178" t="e">
        <f t="shared" si="137"/>
        <v>#DIV/0!</v>
      </c>
      <c r="AF130" s="168" t="e">
        <f t="shared" si="137"/>
        <v>#DIV/0!</v>
      </c>
      <c r="AG130" s="169" t="e">
        <f t="shared" si="86"/>
        <v>#DIV/0!</v>
      </c>
      <c r="AH130" s="179" t="e">
        <f t="shared" si="87"/>
        <v>#DIV/0!</v>
      </c>
      <c r="AI130" s="180" t="e">
        <f t="shared" si="130"/>
        <v>#DIV/0!</v>
      </c>
      <c r="AJ130" s="178" t="e">
        <f t="shared" si="130"/>
        <v>#DIV/0!</v>
      </c>
      <c r="AK130" s="178" t="e">
        <f t="shared" si="130"/>
        <v>#DIV/0!</v>
      </c>
      <c r="AL130" s="178" t="e">
        <f t="shared" si="130"/>
        <v>#DIV/0!</v>
      </c>
      <c r="AM130" s="178" t="e">
        <f t="shared" si="130"/>
        <v>#DIV/0!</v>
      </c>
      <c r="AN130" s="178" t="e">
        <f t="shared" si="130"/>
        <v>#DIV/0!</v>
      </c>
      <c r="AO130" s="178" t="e">
        <f t="shared" si="130"/>
        <v>#DIV/0!</v>
      </c>
      <c r="AP130" s="178" t="e">
        <f t="shared" si="130"/>
        <v>#DIV/0!</v>
      </c>
      <c r="AQ130" s="178" t="e">
        <f t="shared" si="130"/>
        <v>#DIV/0!</v>
      </c>
      <c r="AR130" s="178" t="e">
        <f t="shared" si="130"/>
        <v>#DIV/0!</v>
      </c>
      <c r="AS130" s="178" t="e">
        <f t="shared" si="130"/>
        <v>#DIV/0!</v>
      </c>
      <c r="AT130" s="168" t="e">
        <f t="shared" si="130"/>
        <v>#DIV/0!</v>
      </c>
      <c r="AU130" s="169" t="e">
        <f t="shared" si="88"/>
        <v>#DIV/0!</v>
      </c>
      <c r="AV130" s="179" t="e">
        <f t="shared" si="89"/>
        <v>#DIV/0!</v>
      </c>
      <c r="AW130" s="180" t="e">
        <f t="shared" ref="AW130:BH138" si="138">IF(OR($F130&lt;=0,(AW$9-$A130)&gt;(365*$E130)),0,IF($A130&lt;=AW$9,$F130/12,0))</f>
        <v>#DIV/0!</v>
      </c>
      <c r="AX130" s="178" t="e">
        <f t="shared" si="138"/>
        <v>#DIV/0!</v>
      </c>
      <c r="AY130" s="178" t="e">
        <f t="shared" si="138"/>
        <v>#DIV/0!</v>
      </c>
      <c r="AZ130" s="178" t="e">
        <f t="shared" si="138"/>
        <v>#DIV/0!</v>
      </c>
      <c r="BA130" s="178" t="e">
        <f t="shared" si="138"/>
        <v>#DIV/0!</v>
      </c>
      <c r="BB130" s="178" t="e">
        <f t="shared" si="138"/>
        <v>#DIV/0!</v>
      </c>
      <c r="BC130" s="178" t="e">
        <f t="shared" si="138"/>
        <v>#DIV/0!</v>
      </c>
      <c r="BD130" s="178" t="e">
        <f t="shared" si="138"/>
        <v>#DIV/0!</v>
      </c>
      <c r="BE130" s="178" t="e">
        <f t="shared" si="138"/>
        <v>#DIV/0!</v>
      </c>
      <c r="BF130" s="178" t="e">
        <f t="shared" si="138"/>
        <v>#DIV/0!</v>
      </c>
      <c r="BG130" s="178" t="e">
        <f t="shared" si="138"/>
        <v>#DIV/0!</v>
      </c>
      <c r="BH130" s="168" t="e">
        <f t="shared" si="138"/>
        <v>#DIV/0!</v>
      </c>
      <c r="BI130" s="169" t="e">
        <f t="shared" si="90"/>
        <v>#DIV/0!</v>
      </c>
      <c r="BJ130" s="179" t="e">
        <f t="shared" si="91"/>
        <v>#DIV/0!</v>
      </c>
      <c r="BK130" s="180" t="e">
        <f t="shared" ref="BK130:BV138" si="139">IF(OR($BJ130&lt;=0,(BK$9-$A130)&gt;($E130*365)),0,IF($A130&lt;=BK$9,$F130/12))</f>
        <v>#DIV/0!</v>
      </c>
      <c r="BL130" s="178" t="e">
        <f t="shared" si="139"/>
        <v>#DIV/0!</v>
      </c>
      <c r="BM130" s="178" t="e">
        <f t="shared" si="139"/>
        <v>#DIV/0!</v>
      </c>
      <c r="BN130" s="178" t="e">
        <f t="shared" si="139"/>
        <v>#DIV/0!</v>
      </c>
      <c r="BO130" s="178" t="e">
        <f t="shared" si="139"/>
        <v>#DIV/0!</v>
      </c>
      <c r="BP130" s="178" t="e">
        <f t="shared" si="139"/>
        <v>#DIV/0!</v>
      </c>
      <c r="BQ130" s="178" t="e">
        <f t="shared" si="139"/>
        <v>#DIV/0!</v>
      </c>
      <c r="BR130" s="178" t="e">
        <f t="shared" si="139"/>
        <v>#DIV/0!</v>
      </c>
      <c r="BS130" s="178" t="e">
        <f t="shared" si="139"/>
        <v>#DIV/0!</v>
      </c>
      <c r="BT130" s="178" t="e">
        <f t="shared" si="139"/>
        <v>#DIV/0!</v>
      </c>
      <c r="BU130" s="178" t="e">
        <f t="shared" si="139"/>
        <v>#DIV/0!</v>
      </c>
      <c r="BV130" s="168" t="e">
        <f t="shared" si="139"/>
        <v>#DIV/0!</v>
      </c>
      <c r="BW130" s="169" t="e">
        <f t="shared" si="92"/>
        <v>#DIV/0!</v>
      </c>
      <c r="BX130" s="179" t="e">
        <f t="shared" si="93"/>
        <v>#DIV/0!</v>
      </c>
      <c r="BY130" s="180" t="e">
        <f t="shared" ref="BY130:CJ138" si="140">IF(OR($BX130&lt;=0,(BY$9-$A130)&gt;($E130*365)),0,IF($A130&lt;=BY$9,$F130/12))</f>
        <v>#DIV/0!</v>
      </c>
      <c r="BZ130" s="178" t="e">
        <f t="shared" si="140"/>
        <v>#DIV/0!</v>
      </c>
      <c r="CA130" s="178" t="e">
        <f t="shared" si="140"/>
        <v>#DIV/0!</v>
      </c>
      <c r="CB130" s="178" t="e">
        <f t="shared" si="140"/>
        <v>#DIV/0!</v>
      </c>
      <c r="CC130" s="178" t="e">
        <f t="shared" si="140"/>
        <v>#DIV/0!</v>
      </c>
      <c r="CD130" s="178" t="e">
        <f t="shared" si="140"/>
        <v>#DIV/0!</v>
      </c>
      <c r="CE130" s="178" t="e">
        <f t="shared" si="140"/>
        <v>#DIV/0!</v>
      </c>
      <c r="CF130" s="178" t="e">
        <f t="shared" si="140"/>
        <v>#DIV/0!</v>
      </c>
      <c r="CG130" s="178" t="e">
        <f t="shared" si="140"/>
        <v>#DIV/0!</v>
      </c>
      <c r="CH130" s="178" t="e">
        <f t="shared" si="140"/>
        <v>#DIV/0!</v>
      </c>
      <c r="CI130" s="178" t="e">
        <f t="shared" si="140"/>
        <v>#DIV/0!</v>
      </c>
      <c r="CJ130" s="168" t="e">
        <f t="shared" si="140"/>
        <v>#DIV/0!</v>
      </c>
      <c r="CK130" s="169" t="e">
        <f t="shared" si="94"/>
        <v>#DIV/0!</v>
      </c>
      <c r="CL130" s="179" t="e">
        <f t="shared" si="95"/>
        <v>#DIV/0!</v>
      </c>
      <c r="CM130" s="180" t="e">
        <f t="shared" ref="CM130:CX138" si="141">IF(OR($CL130&lt;=0,(CM$9-$A130)&gt;($E130*365)),0,IF($A130&lt;=CM$9,$F130/12))</f>
        <v>#DIV/0!</v>
      </c>
      <c r="CN130" s="178" t="e">
        <f t="shared" si="141"/>
        <v>#DIV/0!</v>
      </c>
      <c r="CO130" s="178" t="e">
        <f t="shared" si="141"/>
        <v>#DIV/0!</v>
      </c>
      <c r="CP130" s="178" t="e">
        <f t="shared" si="141"/>
        <v>#DIV/0!</v>
      </c>
      <c r="CQ130" s="178" t="e">
        <f t="shared" si="141"/>
        <v>#DIV/0!</v>
      </c>
      <c r="CR130" s="178" t="e">
        <f t="shared" si="141"/>
        <v>#DIV/0!</v>
      </c>
      <c r="CS130" s="178" t="e">
        <f t="shared" si="141"/>
        <v>#DIV/0!</v>
      </c>
      <c r="CT130" s="178" t="e">
        <f t="shared" si="141"/>
        <v>#DIV/0!</v>
      </c>
      <c r="CU130" s="178" t="e">
        <f t="shared" si="141"/>
        <v>#DIV/0!</v>
      </c>
      <c r="CV130" s="178" t="e">
        <f t="shared" si="141"/>
        <v>#DIV/0!</v>
      </c>
      <c r="CW130" s="178" t="e">
        <f t="shared" si="141"/>
        <v>#DIV/0!</v>
      </c>
      <c r="CX130" s="168" t="e">
        <f t="shared" si="141"/>
        <v>#DIV/0!</v>
      </c>
      <c r="CY130" s="169" t="e">
        <f t="shared" si="96"/>
        <v>#DIV/0!</v>
      </c>
      <c r="CZ130" s="179" t="e">
        <f t="shared" si="97"/>
        <v>#DIV/0!</v>
      </c>
      <c r="DA130" s="180" t="e">
        <f t="shared" ref="DA130:DL138" si="142">IF(OR($CZ130&lt;=0,(DA$9-$A130)&gt;($E130*365)),0,IF($A130&lt;=DA$9,$F130/12))</f>
        <v>#DIV/0!</v>
      </c>
      <c r="DB130" s="178" t="e">
        <f t="shared" si="142"/>
        <v>#DIV/0!</v>
      </c>
      <c r="DC130" s="178" t="e">
        <f t="shared" si="142"/>
        <v>#DIV/0!</v>
      </c>
      <c r="DD130" s="178" t="e">
        <f t="shared" si="142"/>
        <v>#DIV/0!</v>
      </c>
      <c r="DE130" s="178" t="e">
        <f t="shared" si="142"/>
        <v>#DIV/0!</v>
      </c>
      <c r="DF130" s="178" t="e">
        <f t="shared" si="142"/>
        <v>#DIV/0!</v>
      </c>
      <c r="DG130" s="178" t="e">
        <f t="shared" si="142"/>
        <v>#DIV/0!</v>
      </c>
      <c r="DH130" s="178" t="e">
        <f t="shared" si="142"/>
        <v>#DIV/0!</v>
      </c>
      <c r="DI130" s="178" t="e">
        <f t="shared" si="142"/>
        <v>#DIV/0!</v>
      </c>
      <c r="DJ130" s="178" t="e">
        <f t="shared" si="142"/>
        <v>#DIV/0!</v>
      </c>
      <c r="DK130" s="178" t="e">
        <f t="shared" si="142"/>
        <v>#DIV/0!</v>
      </c>
      <c r="DL130" s="168" t="e">
        <f t="shared" si="142"/>
        <v>#DIV/0!</v>
      </c>
      <c r="DM130" s="169" t="e">
        <f t="shared" si="98"/>
        <v>#DIV/0!</v>
      </c>
      <c r="DN130" s="171" t="e">
        <f t="shared" si="99"/>
        <v>#DIV/0!</v>
      </c>
      <c r="DO130" s="180" t="e">
        <f t="shared" ref="DO130:DZ138" si="143">IF(OR($DN130&lt;=0,(DO$9-$A130)&gt;($E130*365)),0,IF($A130&lt;=DO$9,$F130/12))</f>
        <v>#DIV/0!</v>
      </c>
      <c r="DP130" s="178" t="e">
        <f t="shared" si="143"/>
        <v>#DIV/0!</v>
      </c>
      <c r="DQ130" s="178" t="e">
        <f t="shared" si="143"/>
        <v>#DIV/0!</v>
      </c>
      <c r="DR130" s="178" t="e">
        <f t="shared" si="143"/>
        <v>#DIV/0!</v>
      </c>
      <c r="DS130" s="178" t="e">
        <f t="shared" si="143"/>
        <v>#DIV/0!</v>
      </c>
      <c r="DT130" s="178" t="e">
        <f t="shared" si="143"/>
        <v>#DIV/0!</v>
      </c>
      <c r="DU130" s="178" t="e">
        <f t="shared" si="143"/>
        <v>#DIV/0!</v>
      </c>
      <c r="DV130" s="178" t="e">
        <f t="shared" si="143"/>
        <v>#DIV/0!</v>
      </c>
      <c r="DW130" s="178" t="e">
        <f t="shared" si="143"/>
        <v>#DIV/0!</v>
      </c>
      <c r="DX130" s="178" t="e">
        <f t="shared" si="143"/>
        <v>#DIV/0!</v>
      </c>
      <c r="DY130" s="178" t="e">
        <f t="shared" si="143"/>
        <v>#DIV/0!</v>
      </c>
      <c r="DZ130" s="168" t="e">
        <f t="shared" si="143"/>
        <v>#DIV/0!</v>
      </c>
      <c r="EA130" s="169" t="e">
        <f t="shared" si="100"/>
        <v>#DIV/0!</v>
      </c>
      <c r="EB130" s="171" t="e">
        <f t="shared" si="101"/>
        <v>#DIV/0!</v>
      </c>
    </row>
    <row r="131" spans="1:132" s="177" customFormat="1" ht="15.75">
      <c r="A131" s="183"/>
      <c r="B131" s="164"/>
      <c r="C131" s="184"/>
      <c r="D131" s="185"/>
      <c r="E131" s="167"/>
      <c r="F131" s="168" t="e">
        <f t="shared" si="83"/>
        <v>#DIV/0!</v>
      </c>
      <c r="G131" s="169" t="e">
        <f t="shared" si="128"/>
        <v>#DIV/0!</v>
      </c>
      <c r="H131" s="178" t="e">
        <f t="shared" si="128"/>
        <v>#DIV/0!</v>
      </c>
      <c r="I131" s="178" t="e">
        <f t="shared" si="128"/>
        <v>#DIV/0!</v>
      </c>
      <c r="J131" s="178" t="e">
        <f t="shared" si="128"/>
        <v>#DIV/0!</v>
      </c>
      <c r="K131" s="178" t="e">
        <f t="shared" si="128"/>
        <v>#DIV/0!</v>
      </c>
      <c r="L131" s="178" t="e">
        <f t="shared" si="128"/>
        <v>#DIV/0!</v>
      </c>
      <c r="M131" s="178" t="e">
        <f t="shared" si="128"/>
        <v>#DIV/0!</v>
      </c>
      <c r="N131" s="178" t="e">
        <f t="shared" si="128"/>
        <v>#DIV/0!</v>
      </c>
      <c r="O131" s="178" t="e">
        <f t="shared" si="128"/>
        <v>#DIV/0!</v>
      </c>
      <c r="P131" s="178" t="e">
        <f t="shared" si="128"/>
        <v>#DIV/0!</v>
      </c>
      <c r="Q131" s="178" t="e">
        <f t="shared" si="128"/>
        <v>#DIV/0!</v>
      </c>
      <c r="R131" s="179" t="e">
        <f t="shared" si="128"/>
        <v>#DIV/0!</v>
      </c>
      <c r="S131" s="169" t="e">
        <f t="shared" si="84"/>
        <v>#DIV/0!</v>
      </c>
      <c r="T131" s="179" t="e">
        <f t="shared" si="85"/>
        <v>#DIV/0!</v>
      </c>
      <c r="U131" s="180" t="e">
        <f t="shared" si="137"/>
        <v>#DIV/0!</v>
      </c>
      <c r="V131" s="178" t="e">
        <f t="shared" si="137"/>
        <v>#DIV/0!</v>
      </c>
      <c r="W131" s="178" t="e">
        <f t="shared" si="137"/>
        <v>#DIV/0!</v>
      </c>
      <c r="X131" s="178" t="e">
        <f t="shared" si="137"/>
        <v>#DIV/0!</v>
      </c>
      <c r="Y131" s="178" t="e">
        <f t="shared" si="137"/>
        <v>#DIV/0!</v>
      </c>
      <c r="Z131" s="178" t="e">
        <f t="shared" si="137"/>
        <v>#DIV/0!</v>
      </c>
      <c r="AA131" s="178" t="e">
        <f t="shared" si="137"/>
        <v>#DIV/0!</v>
      </c>
      <c r="AB131" s="178" t="e">
        <f t="shared" si="137"/>
        <v>#DIV/0!</v>
      </c>
      <c r="AC131" s="178" t="e">
        <f t="shared" si="137"/>
        <v>#DIV/0!</v>
      </c>
      <c r="AD131" s="178" t="e">
        <f t="shared" si="137"/>
        <v>#DIV/0!</v>
      </c>
      <c r="AE131" s="178" t="e">
        <f t="shared" si="137"/>
        <v>#DIV/0!</v>
      </c>
      <c r="AF131" s="168" t="e">
        <f t="shared" si="137"/>
        <v>#DIV/0!</v>
      </c>
      <c r="AG131" s="169" t="e">
        <f t="shared" si="86"/>
        <v>#DIV/0!</v>
      </c>
      <c r="AH131" s="179" t="e">
        <f t="shared" si="87"/>
        <v>#DIV/0!</v>
      </c>
      <c r="AI131" s="180" t="e">
        <f t="shared" si="130"/>
        <v>#DIV/0!</v>
      </c>
      <c r="AJ131" s="178" t="e">
        <f t="shared" si="130"/>
        <v>#DIV/0!</v>
      </c>
      <c r="AK131" s="178" t="e">
        <f t="shared" si="130"/>
        <v>#DIV/0!</v>
      </c>
      <c r="AL131" s="178" t="e">
        <f t="shared" si="130"/>
        <v>#DIV/0!</v>
      </c>
      <c r="AM131" s="178" t="e">
        <f t="shared" si="130"/>
        <v>#DIV/0!</v>
      </c>
      <c r="AN131" s="178" t="e">
        <f t="shared" si="130"/>
        <v>#DIV/0!</v>
      </c>
      <c r="AO131" s="178" t="e">
        <f t="shared" si="130"/>
        <v>#DIV/0!</v>
      </c>
      <c r="AP131" s="178" t="e">
        <f t="shared" si="130"/>
        <v>#DIV/0!</v>
      </c>
      <c r="AQ131" s="178" t="e">
        <f t="shared" si="130"/>
        <v>#DIV/0!</v>
      </c>
      <c r="AR131" s="178" t="e">
        <f t="shared" si="130"/>
        <v>#DIV/0!</v>
      </c>
      <c r="AS131" s="178" t="e">
        <f t="shared" si="130"/>
        <v>#DIV/0!</v>
      </c>
      <c r="AT131" s="168" t="e">
        <f t="shared" si="130"/>
        <v>#DIV/0!</v>
      </c>
      <c r="AU131" s="169" t="e">
        <f t="shared" si="88"/>
        <v>#DIV/0!</v>
      </c>
      <c r="AV131" s="179" t="e">
        <f t="shared" si="89"/>
        <v>#DIV/0!</v>
      </c>
      <c r="AW131" s="180" t="e">
        <f t="shared" si="138"/>
        <v>#DIV/0!</v>
      </c>
      <c r="AX131" s="178" t="e">
        <f t="shared" si="138"/>
        <v>#DIV/0!</v>
      </c>
      <c r="AY131" s="178" t="e">
        <f t="shared" si="138"/>
        <v>#DIV/0!</v>
      </c>
      <c r="AZ131" s="178" t="e">
        <f t="shared" si="138"/>
        <v>#DIV/0!</v>
      </c>
      <c r="BA131" s="178" t="e">
        <f t="shared" si="138"/>
        <v>#DIV/0!</v>
      </c>
      <c r="BB131" s="178" t="e">
        <f t="shared" si="138"/>
        <v>#DIV/0!</v>
      </c>
      <c r="BC131" s="178" t="e">
        <f t="shared" si="138"/>
        <v>#DIV/0!</v>
      </c>
      <c r="BD131" s="178" t="e">
        <f t="shared" si="138"/>
        <v>#DIV/0!</v>
      </c>
      <c r="BE131" s="178" t="e">
        <f t="shared" si="138"/>
        <v>#DIV/0!</v>
      </c>
      <c r="BF131" s="178" t="e">
        <f t="shared" si="138"/>
        <v>#DIV/0!</v>
      </c>
      <c r="BG131" s="178" t="e">
        <f t="shared" si="138"/>
        <v>#DIV/0!</v>
      </c>
      <c r="BH131" s="168" t="e">
        <f t="shared" si="138"/>
        <v>#DIV/0!</v>
      </c>
      <c r="BI131" s="169" t="e">
        <f t="shared" si="90"/>
        <v>#DIV/0!</v>
      </c>
      <c r="BJ131" s="179" t="e">
        <f t="shared" si="91"/>
        <v>#DIV/0!</v>
      </c>
      <c r="BK131" s="180" t="e">
        <f t="shared" si="139"/>
        <v>#DIV/0!</v>
      </c>
      <c r="BL131" s="178" t="e">
        <f t="shared" si="139"/>
        <v>#DIV/0!</v>
      </c>
      <c r="BM131" s="178" t="e">
        <f t="shared" si="139"/>
        <v>#DIV/0!</v>
      </c>
      <c r="BN131" s="178" t="e">
        <f t="shared" si="139"/>
        <v>#DIV/0!</v>
      </c>
      <c r="BO131" s="178" t="e">
        <f t="shared" si="139"/>
        <v>#DIV/0!</v>
      </c>
      <c r="BP131" s="178" t="e">
        <f t="shared" si="139"/>
        <v>#DIV/0!</v>
      </c>
      <c r="BQ131" s="178" t="e">
        <f t="shared" si="139"/>
        <v>#DIV/0!</v>
      </c>
      <c r="BR131" s="178" t="e">
        <f t="shared" si="139"/>
        <v>#DIV/0!</v>
      </c>
      <c r="BS131" s="178" t="e">
        <f t="shared" si="139"/>
        <v>#DIV/0!</v>
      </c>
      <c r="BT131" s="178" t="e">
        <f t="shared" si="139"/>
        <v>#DIV/0!</v>
      </c>
      <c r="BU131" s="178" t="e">
        <f t="shared" si="139"/>
        <v>#DIV/0!</v>
      </c>
      <c r="BV131" s="168" t="e">
        <f t="shared" si="139"/>
        <v>#DIV/0!</v>
      </c>
      <c r="BW131" s="169" t="e">
        <f t="shared" si="92"/>
        <v>#DIV/0!</v>
      </c>
      <c r="BX131" s="179" t="e">
        <f t="shared" si="93"/>
        <v>#DIV/0!</v>
      </c>
      <c r="BY131" s="180" t="e">
        <f t="shared" si="140"/>
        <v>#DIV/0!</v>
      </c>
      <c r="BZ131" s="178" t="e">
        <f t="shared" si="140"/>
        <v>#DIV/0!</v>
      </c>
      <c r="CA131" s="178" t="e">
        <f t="shared" si="140"/>
        <v>#DIV/0!</v>
      </c>
      <c r="CB131" s="178" t="e">
        <f t="shared" si="140"/>
        <v>#DIV/0!</v>
      </c>
      <c r="CC131" s="178" t="e">
        <f t="shared" si="140"/>
        <v>#DIV/0!</v>
      </c>
      <c r="CD131" s="178" t="e">
        <f t="shared" si="140"/>
        <v>#DIV/0!</v>
      </c>
      <c r="CE131" s="178" t="e">
        <f t="shared" si="140"/>
        <v>#DIV/0!</v>
      </c>
      <c r="CF131" s="178" t="e">
        <f t="shared" si="140"/>
        <v>#DIV/0!</v>
      </c>
      <c r="CG131" s="178" t="e">
        <f t="shared" si="140"/>
        <v>#DIV/0!</v>
      </c>
      <c r="CH131" s="178" t="e">
        <f t="shared" si="140"/>
        <v>#DIV/0!</v>
      </c>
      <c r="CI131" s="178" t="e">
        <f t="shared" si="140"/>
        <v>#DIV/0!</v>
      </c>
      <c r="CJ131" s="168" t="e">
        <f t="shared" si="140"/>
        <v>#DIV/0!</v>
      </c>
      <c r="CK131" s="169" t="e">
        <f t="shared" si="94"/>
        <v>#DIV/0!</v>
      </c>
      <c r="CL131" s="179" t="e">
        <f t="shared" si="95"/>
        <v>#DIV/0!</v>
      </c>
      <c r="CM131" s="180" t="e">
        <f t="shared" si="141"/>
        <v>#DIV/0!</v>
      </c>
      <c r="CN131" s="178" t="e">
        <f t="shared" si="141"/>
        <v>#DIV/0!</v>
      </c>
      <c r="CO131" s="178" t="e">
        <f t="shared" si="141"/>
        <v>#DIV/0!</v>
      </c>
      <c r="CP131" s="178" t="e">
        <f t="shared" si="141"/>
        <v>#DIV/0!</v>
      </c>
      <c r="CQ131" s="178" t="e">
        <f t="shared" si="141"/>
        <v>#DIV/0!</v>
      </c>
      <c r="CR131" s="178" t="e">
        <f t="shared" si="141"/>
        <v>#DIV/0!</v>
      </c>
      <c r="CS131" s="178" t="e">
        <f t="shared" si="141"/>
        <v>#DIV/0!</v>
      </c>
      <c r="CT131" s="178" t="e">
        <f t="shared" si="141"/>
        <v>#DIV/0!</v>
      </c>
      <c r="CU131" s="178" t="e">
        <f t="shared" si="141"/>
        <v>#DIV/0!</v>
      </c>
      <c r="CV131" s="178" t="e">
        <f t="shared" si="141"/>
        <v>#DIV/0!</v>
      </c>
      <c r="CW131" s="178" t="e">
        <f t="shared" si="141"/>
        <v>#DIV/0!</v>
      </c>
      <c r="CX131" s="168" t="e">
        <f t="shared" si="141"/>
        <v>#DIV/0!</v>
      </c>
      <c r="CY131" s="169" t="e">
        <f t="shared" si="96"/>
        <v>#DIV/0!</v>
      </c>
      <c r="CZ131" s="179" t="e">
        <f t="shared" si="97"/>
        <v>#DIV/0!</v>
      </c>
      <c r="DA131" s="180" t="e">
        <f t="shared" si="142"/>
        <v>#DIV/0!</v>
      </c>
      <c r="DB131" s="178" t="e">
        <f t="shared" si="142"/>
        <v>#DIV/0!</v>
      </c>
      <c r="DC131" s="178" t="e">
        <f t="shared" si="142"/>
        <v>#DIV/0!</v>
      </c>
      <c r="DD131" s="178" t="e">
        <f t="shared" si="142"/>
        <v>#DIV/0!</v>
      </c>
      <c r="DE131" s="178" t="e">
        <f t="shared" si="142"/>
        <v>#DIV/0!</v>
      </c>
      <c r="DF131" s="178" t="e">
        <f t="shared" si="142"/>
        <v>#DIV/0!</v>
      </c>
      <c r="DG131" s="178" t="e">
        <f t="shared" si="142"/>
        <v>#DIV/0!</v>
      </c>
      <c r="DH131" s="178" t="e">
        <f t="shared" si="142"/>
        <v>#DIV/0!</v>
      </c>
      <c r="DI131" s="178" t="e">
        <f t="shared" si="142"/>
        <v>#DIV/0!</v>
      </c>
      <c r="DJ131" s="178" t="e">
        <f t="shared" si="142"/>
        <v>#DIV/0!</v>
      </c>
      <c r="DK131" s="178" t="e">
        <f t="shared" si="142"/>
        <v>#DIV/0!</v>
      </c>
      <c r="DL131" s="168" t="e">
        <f t="shared" si="142"/>
        <v>#DIV/0!</v>
      </c>
      <c r="DM131" s="169" t="e">
        <f t="shared" si="98"/>
        <v>#DIV/0!</v>
      </c>
      <c r="DN131" s="171" t="e">
        <f t="shared" si="99"/>
        <v>#DIV/0!</v>
      </c>
      <c r="DO131" s="180" t="e">
        <f t="shared" si="143"/>
        <v>#DIV/0!</v>
      </c>
      <c r="DP131" s="178" t="e">
        <f t="shared" si="143"/>
        <v>#DIV/0!</v>
      </c>
      <c r="DQ131" s="178" t="e">
        <f t="shared" si="143"/>
        <v>#DIV/0!</v>
      </c>
      <c r="DR131" s="178" t="e">
        <f t="shared" si="143"/>
        <v>#DIV/0!</v>
      </c>
      <c r="DS131" s="178" t="e">
        <f t="shared" si="143"/>
        <v>#DIV/0!</v>
      </c>
      <c r="DT131" s="178" t="e">
        <f t="shared" si="143"/>
        <v>#DIV/0!</v>
      </c>
      <c r="DU131" s="178" t="e">
        <f t="shared" si="143"/>
        <v>#DIV/0!</v>
      </c>
      <c r="DV131" s="178" t="e">
        <f t="shared" si="143"/>
        <v>#DIV/0!</v>
      </c>
      <c r="DW131" s="178" t="e">
        <f t="shared" si="143"/>
        <v>#DIV/0!</v>
      </c>
      <c r="DX131" s="178" t="e">
        <f t="shared" si="143"/>
        <v>#DIV/0!</v>
      </c>
      <c r="DY131" s="178" t="e">
        <f t="shared" si="143"/>
        <v>#DIV/0!</v>
      </c>
      <c r="DZ131" s="168" t="e">
        <f t="shared" si="143"/>
        <v>#DIV/0!</v>
      </c>
      <c r="EA131" s="169" t="e">
        <f t="shared" si="100"/>
        <v>#DIV/0!</v>
      </c>
      <c r="EB131" s="171" t="e">
        <f t="shared" si="101"/>
        <v>#DIV/0!</v>
      </c>
    </row>
    <row r="132" spans="1:132" s="177" customFormat="1" ht="15.75">
      <c r="A132" s="183"/>
      <c r="B132" s="164"/>
      <c r="C132" s="184"/>
      <c r="D132" s="185"/>
      <c r="E132" s="167"/>
      <c r="F132" s="168" t="e">
        <f t="shared" si="83"/>
        <v>#DIV/0!</v>
      </c>
      <c r="G132" s="169" t="e">
        <f t="shared" si="128"/>
        <v>#DIV/0!</v>
      </c>
      <c r="H132" s="178" t="e">
        <f t="shared" si="128"/>
        <v>#DIV/0!</v>
      </c>
      <c r="I132" s="178" t="e">
        <f t="shared" si="128"/>
        <v>#DIV/0!</v>
      </c>
      <c r="J132" s="178" t="e">
        <f t="shared" ref="J132:R132" si="144">IF(OR($F132&lt;=0,(J$9-$A132)&gt;(365*$E132)),0,IF($A132&lt;=J$9,$F132/12,0))</f>
        <v>#DIV/0!</v>
      </c>
      <c r="K132" s="178" t="e">
        <f t="shared" si="144"/>
        <v>#DIV/0!</v>
      </c>
      <c r="L132" s="178" t="e">
        <f t="shared" si="144"/>
        <v>#DIV/0!</v>
      </c>
      <c r="M132" s="178" t="e">
        <f t="shared" si="144"/>
        <v>#DIV/0!</v>
      </c>
      <c r="N132" s="178" t="e">
        <f t="shared" si="144"/>
        <v>#DIV/0!</v>
      </c>
      <c r="O132" s="178" t="e">
        <f t="shared" si="144"/>
        <v>#DIV/0!</v>
      </c>
      <c r="P132" s="178" t="e">
        <f t="shared" si="144"/>
        <v>#DIV/0!</v>
      </c>
      <c r="Q132" s="178" t="e">
        <f t="shared" si="144"/>
        <v>#DIV/0!</v>
      </c>
      <c r="R132" s="179" t="e">
        <f t="shared" si="144"/>
        <v>#DIV/0!</v>
      </c>
      <c r="S132" s="169" t="e">
        <f t="shared" si="84"/>
        <v>#DIV/0!</v>
      </c>
      <c r="T132" s="179" t="e">
        <f t="shared" si="85"/>
        <v>#DIV/0!</v>
      </c>
      <c r="U132" s="180" t="e">
        <f t="shared" si="137"/>
        <v>#DIV/0!</v>
      </c>
      <c r="V132" s="178" t="e">
        <f t="shared" si="137"/>
        <v>#DIV/0!</v>
      </c>
      <c r="W132" s="178" t="e">
        <f t="shared" si="137"/>
        <v>#DIV/0!</v>
      </c>
      <c r="X132" s="178" t="e">
        <f t="shared" si="137"/>
        <v>#DIV/0!</v>
      </c>
      <c r="Y132" s="178" t="e">
        <f t="shared" si="137"/>
        <v>#DIV/0!</v>
      </c>
      <c r="Z132" s="178" t="e">
        <f t="shared" si="137"/>
        <v>#DIV/0!</v>
      </c>
      <c r="AA132" s="178" t="e">
        <f t="shared" si="137"/>
        <v>#DIV/0!</v>
      </c>
      <c r="AB132" s="178" t="e">
        <f t="shared" si="137"/>
        <v>#DIV/0!</v>
      </c>
      <c r="AC132" s="178" t="e">
        <f t="shared" si="137"/>
        <v>#DIV/0!</v>
      </c>
      <c r="AD132" s="178" t="e">
        <f t="shared" si="137"/>
        <v>#DIV/0!</v>
      </c>
      <c r="AE132" s="178" t="e">
        <f t="shared" si="137"/>
        <v>#DIV/0!</v>
      </c>
      <c r="AF132" s="168" t="e">
        <f t="shared" si="137"/>
        <v>#DIV/0!</v>
      </c>
      <c r="AG132" s="169" t="e">
        <f t="shared" si="86"/>
        <v>#DIV/0!</v>
      </c>
      <c r="AH132" s="179" t="e">
        <f t="shared" si="87"/>
        <v>#DIV/0!</v>
      </c>
      <c r="AI132" s="180" t="e">
        <f t="shared" si="130"/>
        <v>#DIV/0!</v>
      </c>
      <c r="AJ132" s="178" t="e">
        <f t="shared" si="130"/>
        <v>#DIV/0!</v>
      </c>
      <c r="AK132" s="178" t="e">
        <f t="shared" si="130"/>
        <v>#DIV/0!</v>
      </c>
      <c r="AL132" s="178" t="e">
        <f t="shared" si="130"/>
        <v>#DIV/0!</v>
      </c>
      <c r="AM132" s="178" t="e">
        <f t="shared" si="130"/>
        <v>#DIV/0!</v>
      </c>
      <c r="AN132" s="178" t="e">
        <f t="shared" si="130"/>
        <v>#DIV/0!</v>
      </c>
      <c r="AO132" s="178" t="e">
        <f t="shared" si="130"/>
        <v>#DIV/0!</v>
      </c>
      <c r="AP132" s="178" t="e">
        <f t="shared" si="130"/>
        <v>#DIV/0!</v>
      </c>
      <c r="AQ132" s="178" t="e">
        <f t="shared" si="130"/>
        <v>#DIV/0!</v>
      </c>
      <c r="AR132" s="178" t="e">
        <f t="shared" si="130"/>
        <v>#DIV/0!</v>
      </c>
      <c r="AS132" s="178" t="e">
        <f t="shared" si="130"/>
        <v>#DIV/0!</v>
      </c>
      <c r="AT132" s="168" t="e">
        <f t="shared" si="130"/>
        <v>#DIV/0!</v>
      </c>
      <c r="AU132" s="169" t="e">
        <f t="shared" si="88"/>
        <v>#DIV/0!</v>
      </c>
      <c r="AV132" s="179" t="e">
        <f t="shared" si="89"/>
        <v>#DIV/0!</v>
      </c>
      <c r="AW132" s="180" t="e">
        <f t="shared" si="138"/>
        <v>#DIV/0!</v>
      </c>
      <c r="AX132" s="178" t="e">
        <f t="shared" si="138"/>
        <v>#DIV/0!</v>
      </c>
      <c r="AY132" s="178" t="e">
        <f t="shared" si="138"/>
        <v>#DIV/0!</v>
      </c>
      <c r="AZ132" s="178" t="e">
        <f t="shared" si="138"/>
        <v>#DIV/0!</v>
      </c>
      <c r="BA132" s="178" t="e">
        <f t="shared" si="138"/>
        <v>#DIV/0!</v>
      </c>
      <c r="BB132" s="178" t="e">
        <f t="shared" si="138"/>
        <v>#DIV/0!</v>
      </c>
      <c r="BC132" s="178" t="e">
        <f t="shared" si="138"/>
        <v>#DIV/0!</v>
      </c>
      <c r="BD132" s="178" t="e">
        <f t="shared" si="138"/>
        <v>#DIV/0!</v>
      </c>
      <c r="BE132" s="178" t="e">
        <f t="shared" si="138"/>
        <v>#DIV/0!</v>
      </c>
      <c r="BF132" s="178" t="e">
        <f t="shared" si="138"/>
        <v>#DIV/0!</v>
      </c>
      <c r="BG132" s="178" t="e">
        <f t="shared" si="138"/>
        <v>#DIV/0!</v>
      </c>
      <c r="BH132" s="168" t="e">
        <f t="shared" si="138"/>
        <v>#DIV/0!</v>
      </c>
      <c r="BI132" s="169" t="e">
        <f t="shared" si="90"/>
        <v>#DIV/0!</v>
      </c>
      <c r="BJ132" s="179" t="e">
        <f t="shared" si="91"/>
        <v>#DIV/0!</v>
      </c>
      <c r="BK132" s="180" t="e">
        <f t="shared" si="139"/>
        <v>#DIV/0!</v>
      </c>
      <c r="BL132" s="178" t="e">
        <f t="shared" si="139"/>
        <v>#DIV/0!</v>
      </c>
      <c r="BM132" s="178" t="e">
        <f t="shared" si="139"/>
        <v>#DIV/0!</v>
      </c>
      <c r="BN132" s="178" t="e">
        <f t="shared" si="139"/>
        <v>#DIV/0!</v>
      </c>
      <c r="BO132" s="178" t="e">
        <f t="shared" si="139"/>
        <v>#DIV/0!</v>
      </c>
      <c r="BP132" s="178" t="e">
        <f t="shared" si="139"/>
        <v>#DIV/0!</v>
      </c>
      <c r="BQ132" s="178" t="e">
        <f t="shared" si="139"/>
        <v>#DIV/0!</v>
      </c>
      <c r="BR132" s="178" t="e">
        <f t="shared" si="139"/>
        <v>#DIV/0!</v>
      </c>
      <c r="BS132" s="178" t="e">
        <f t="shared" si="139"/>
        <v>#DIV/0!</v>
      </c>
      <c r="BT132" s="178" t="e">
        <f t="shared" si="139"/>
        <v>#DIV/0!</v>
      </c>
      <c r="BU132" s="178" t="e">
        <f t="shared" si="139"/>
        <v>#DIV/0!</v>
      </c>
      <c r="BV132" s="168" t="e">
        <f t="shared" si="139"/>
        <v>#DIV/0!</v>
      </c>
      <c r="BW132" s="169" t="e">
        <f t="shared" si="92"/>
        <v>#DIV/0!</v>
      </c>
      <c r="BX132" s="179" t="e">
        <f t="shared" si="93"/>
        <v>#DIV/0!</v>
      </c>
      <c r="BY132" s="180" t="e">
        <f t="shared" si="140"/>
        <v>#DIV/0!</v>
      </c>
      <c r="BZ132" s="178" t="e">
        <f t="shared" si="140"/>
        <v>#DIV/0!</v>
      </c>
      <c r="CA132" s="178" t="e">
        <f t="shared" si="140"/>
        <v>#DIV/0!</v>
      </c>
      <c r="CB132" s="178" t="e">
        <f t="shared" si="140"/>
        <v>#DIV/0!</v>
      </c>
      <c r="CC132" s="178" t="e">
        <f t="shared" si="140"/>
        <v>#DIV/0!</v>
      </c>
      <c r="CD132" s="178" t="e">
        <f t="shared" si="140"/>
        <v>#DIV/0!</v>
      </c>
      <c r="CE132" s="178" t="e">
        <f t="shared" si="140"/>
        <v>#DIV/0!</v>
      </c>
      <c r="CF132" s="178" t="e">
        <f t="shared" si="140"/>
        <v>#DIV/0!</v>
      </c>
      <c r="CG132" s="178" t="e">
        <f t="shared" si="140"/>
        <v>#DIV/0!</v>
      </c>
      <c r="CH132" s="178" t="e">
        <f t="shared" si="140"/>
        <v>#DIV/0!</v>
      </c>
      <c r="CI132" s="178" t="e">
        <f t="shared" si="140"/>
        <v>#DIV/0!</v>
      </c>
      <c r="CJ132" s="168" t="e">
        <f t="shared" si="140"/>
        <v>#DIV/0!</v>
      </c>
      <c r="CK132" s="169" t="e">
        <f t="shared" si="94"/>
        <v>#DIV/0!</v>
      </c>
      <c r="CL132" s="179" t="e">
        <f t="shared" si="95"/>
        <v>#DIV/0!</v>
      </c>
      <c r="CM132" s="180" t="e">
        <f t="shared" si="141"/>
        <v>#DIV/0!</v>
      </c>
      <c r="CN132" s="178" t="e">
        <f t="shared" si="141"/>
        <v>#DIV/0!</v>
      </c>
      <c r="CO132" s="178" t="e">
        <f t="shared" si="141"/>
        <v>#DIV/0!</v>
      </c>
      <c r="CP132" s="178" t="e">
        <f t="shared" si="141"/>
        <v>#DIV/0!</v>
      </c>
      <c r="CQ132" s="178" t="e">
        <f t="shared" si="141"/>
        <v>#DIV/0!</v>
      </c>
      <c r="CR132" s="178" t="e">
        <f t="shared" si="141"/>
        <v>#DIV/0!</v>
      </c>
      <c r="CS132" s="178" t="e">
        <f t="shared" si="141"/>
        <v>#DIV/0!</v>
      </c>
      <c r="CT132" s="178" t="e">
        <f t="shared" si="141"/>
        <v>#DIV/0!</v>
      </c>
      <c r="CU132" s="178" t="e">
        <f t="shared" si="141"/>
        <v>#DIV/0!</v>
      </c>
      <c r="CV132" s="178" t="e">
        <f t="shared" si="141"/>
        <v>#DIV/0!</v>
      </c>
      <c r="CW132" s="178" t="e">
        <f t="shared" si="141"/>
        <v>#DIV/0!</v>
      </c>
      <c r="CX132" s="168" t="e">
        <f t="shared" si="141"/>
        <v>#DIV/0!</v>
      </c>
      <c r="CY132" s="169" t="e">
        <f t="shared" si="96"/>
        <v>#DIV/0!</v>
      </c>
      <c r="CZ132" s="179" t="e">
        <f t="shared" si="97"/>
        <v>#DIV/0!</v>
      </c>
      <c r="DA132" s="180" t="e">
        <f t="shared" si="142"/>
        <v>#DIV/0!</v>
      </c>
      <c r="DB132" s="178" t="e">
        <f t="shared" si="142"/>
        <v>#DIV/0!</v>
      </c>
      <c r="DC132" s="178" t="e">
        <f t="shared" si="142"/>
        <v>#DIV/0!</v>
      </c>
      <c r="DD132" s="178" t="e">
        <f t="shared" si="142"/>
        <v>#DIV/0!</v>
      </c>
      <c r="DE132" s="178" t="e">
        <f t="shared" si="142"/>
        <v>#DIV/0!</v>
      </c>
      <c r="DF132" s="178" t="e">
        <f t="shared" si="142"/>
        <v>#DIV/0!</v>
      </c>
      <c r="DG132" s="178" t="e">
        <f t="shared" si="142"/>
        <v>#DIV/0!</v>
      </c>
      <c r="DH132" s="178" t="e">
        <f t="shared" si="142"/>
        <v>#DIV/0!</v>
      </c>
      <c r="DI132" s="178" t="e">
        <f t="shared" si="142"/>
        <v>#DIV/0!</v>
      </c>
      <c r="DJ132" s="178" t="e">
        <f t="shared" si="142"/>
        <v>#DIV/0!</v>
      </c>
      <c r="DK132" s="178" t="e">
        <f t="shared" si="142"/>
        <v>#DIV/0!</v>
      </c>
      <c r="DL132" s="168" t="e">
        <f t="shared" si="142"/>
        <v>#DIV/0!</v>
      </c>
      <c r="DM132" s="169" t="e">
        <f t="shared" si="98"/>
        <v>#DIV/0!</v>
      </c>
      <c r="DN132" s="171" t="e">
        <f t="shared" si="99"/>
        <v>#DIV/0!</v>
      </c>
      <c r="DO132" s="180" t="e">
        <f t="shared" si="143"/>
        <v>#DIV/0!</v>
      </c>
      <c r="DP132" s="178" t="e">
        <f t="shared" si="143"/>
        <v>#DIV/0!</v>
      </c>
      <c r="DQ132" s="178" t="e">
        <f t="shared" si="143"/>
        <v>#DIV/0!</v>
      </c>
      <c r="DR132" s="178" t="e">
        <f t="shared" si="143"/>
        <v>#DIV/0!</v>
      </c>
      <c r="DS132" s="178" t="e">
        <f t="shared" si="143"/>
        <v>#DIV/0!</v>
      </c>
      <c r="DT132" s="178" t="e">
        <f t="shared" si="143"/>
        <v>#DIV/0!</v>
      </c>
      <c r="DU132" s="178" t="e">
        <f t="shared" si="143"/>
        <v>#DIV/0!</v>
      </c>
      <c r="DV132" s="178" t="e">
        <f t="shared" si="143"/>
        <v>#DIV/0!</v>
      </c>
      <c r="DW132" s="178" t="e">
        <f t="shared" si="143"/>
        <v>#DIV/0!</v>
      </c>
      <c r="DX132" s="178" t="e">
        <f t="shared" si="143"/>
        <v>#DIV/0!</v>
      </c>
      <c r="DY132" s="178" t="e">
        <f t="shared" si="143"/>
        <v>#DIV/0!</v>
      </c>
      <c r="DZ132" s="168" t="e">
        <f t="shared" si="143"/>
        <v>#DIV/0!</v>
      </c>
      <c r="EA132" s="169" t="e">
        <f t="shared" si="100"/>
        <v>#DIV/0!</v>
      </c>
      <c r="EB132" s="171" t="e">
        <f t="shared" si="101"/>
        <v>#DIV/0!</v>
      </c>
    </row>
    <row r="133" spans="1:132" s="177" customFormat="1" ht="15.75">
      <c r="A133" s="183"/>
      <c r="B133" s="164"/>
      <c r="C133" s="184"/>
      <c r="D133" s="185"/>
      <c r="E133" s="167"/>
      <c r="F133" s="168" t="e">
        <f t="shared" si="83"/>
        <v>#DIV/0!</v>
      </c>
      <c r="G133" s="169" t="e">
        <f t="shared" ref="G133:R138" si="145">IF(OR($F133&lt;=0,(G$9-$A133)&gt;(365*$E133)),0,IF($A133&lt;=G$9,$F133/12,0))</f>
        <v>#DIV/0!</v>
      </c>
      <c r="H133" s="178" t="e">
        <f t="shared" si="145"/>
        <v>#DIV/0!</v>
      </c>
      <c r="I133" s="178" t="e">
        <f t="shared" si="145"/>
        <v>#DIV/0!</v>
      </c>
      <c r="J133" s="178" t="e">
        <f t="shared" si="145"/>
        <v>#DIV/0!</v>
      </c>
      <c r="K133" s="178" t="e">
        <f t="shared" si="145"/>
        <v>#DIV/0!</v>
      </c>
      <c r="L133" s="178" t="e">
        <f t="shared" si="145"/>
        <v>#DIV/0!</v>
      </c>
      <c r="M133" s="178" t="e">
        <f t="shared" si="145"/>
        <v>#DIV/0!</v>
      </c>
      <c r="N133" s="178" t="e">
        <f t="shared" si="145"/>
        <v>#DIV/0!</v>
      </c>
      <c r="O133" s="178" t="e">
        <f t="shared" si="145"/>
        <v>#DIV/0!</v>
      </c>
      <c r="P133" s="178" t="e">
        <f t="shared" si="145"/>
        <v>#DIV/0!</v>
      </c>
      <c r="Q133" s="178" t="e">
        <f t="shared" si="145"/>
        <v>#DIV/0!</v>
      </c>
      <c r="R133" s="179" t="e">
        <f t="shared" si="145"/>
        <v>#DIV/0!</v>
      </c>
      <c r="S133" s="169" t="e">
        <f t="shared" si="84"/>
        <v>#DIV/0!</v>
      </c>
      <c r="T133" s="179" t="e">
        <f t="shared" si="85"/>
        <v>#DIV/0!</v>
      </c>
      <c r="U133" s="180" t="e">
        <f t="shared" si="137"/>
        <v>#DIV/0!</v>
      </c>
      <c r="V133" s="178" t="e">
        <f t="shared" si="137"/>
        <v>#DIV/0!</v>
      </c>
      <c r="W133" s="178" t="e">
        <f t="shared" si="137"/>
        <v>#DIV/0!</v>
      </c>
      <c r="X133" s="178" t="e">
        <f t="shared" si="137"/>
        <v>#DIV/0!</v>
      </c>
      <c r="Y133" s="178" t="e">
        <f t="shared" si="137"/>
        <v>#DIV/0!</v>
      </c>
      <c r="Z133" s="178" t="e">
        <f t="shared" si="137"/>
        <v>#DIV/0!</v>
      </c>
      <c r="AA133" s="178" t="e">
        <f t="shared" si="137"/>
        <v>#DIV/0!</v>
      </c>
      <c r="AB133" s="178" t="e">
        <f t="shared" si="137"/>
        <v>#DIV/0!</v>
      </c>
      <c r="AC133" s="178" t="e">
        <f t="shared" si="137"/>
        <v>#DIV/0!</v>
      </c>
      <c r="AD133" s="178" t="e">
        <f t="shared" si="137"/>
        <v>#DIV/0!</v>
      </c>
      <c r="AE133" s="178" t="e">
        <f t="shared" si="137"/>
        <v>#DIV/0!</v>
      </c>
      <c r="AF133" s="168" t="e">
        <f t="shared" si="137"/>
        <v>#DIV/0!</v>
      </c>
      <c r="AG133" s="169" t="e">
        <f t="shared" si="86"/>
        <v>#DIV/0!</v>
      </c>
      <c r="AH133" s="179" t="e">
        <f t="shared" si="87"/>
        <v>#DIV/0!</v>
      </c>
      <c r="AI133" s="180" t="e">
        <f t="shared" si="130"/>
        <v>#DIV/0!</v>
      </c>
      <c r="AJ133" s="178" t="e">
        <f t="shared" si="130"/>
        <v>#DIV/0!</v>
      </c>
      <c r="AK133" s="178" t="e">
        <f t="shared" si="130"/>
        <v>#DIV/0!</v>
      </c>
      <c r="AL133" s="178" t="e">
        <f t="shared" si="130"/>
        <v>#DIV/0!</v>
      </c>
      <c r="AM133" s="178" t="e">
        <f t="shared" si="130"/>
        <v>#DIV/0!</v>
      </c>
      <c r="AN133" s="178" t="e">
        <f t="shared" si="130"/>
        <v>#DIV/0!</v>
      </c>
      <c r="AO133" s="178" t="e">
        <f t="shared" si="130"/>
        <v>#DIV/0!</v>
      </c>
      <c r="AP133" s="178" t="e">
        <f t="shared" si="130"/>
        <v>#DIV/0!</v>
      </c>
      <c r="AQ133" s="178" t="e">
        <f t="shared" si="130"/>
        <v>#DIV/0!</v>
      </c>
      <c r="AR133" s="178" t="e">
        <f t="shared" si="130"/>
        <v>#DIV/0!</v>
      </c>
      <c r="AS133" s="178" t="e">
        <f t="shared" si="130"/>
        <v>#DIV/0!</v>
      </c>
      <c r="AT133" s="168" t="e">
        <f t="shared" si="130"/>
        <v>#DIV/0!</v>
      </c>
      <c r="AU133" s="169" t="e">
        <f t="shared" si="88"/>
        <v>#DIV/0!</v>
      </c>
      <c r="AV133" s="179" t="e">
        <f t="shared" si="89"/>
        <v>#DIV/0!</v>
      </c>
      <c r="AW133" s="180" t="e">
        <f t="shared" si="138"/>
        <v>#DIV/0!</v>
      </c>
      <c r="AX133" s="178" t="e">
        <f t="shared" si="138"/>
        <v>#DIV/0!</v>
      </c>
      <c r="AY133" s="178" t="e">
        <f t="shared" si="138"/>
        <v>#DIV/0!</v>
      </c>
      <c r="AZ133" s="178" t="e">
        <f t="shared" si="138"/>
        <v>#DIV/0!</v>
      </c>
      <c r="BA133" s="178" t="e">
        <f t="shared" si="138"/>
        <v>#DIV/0!</v>
      </c>
      <c r="BB133" s="178" t="e">
        <f t="shared" si="138"/>
        <v>#DIV/0!</v>
      </c>
      <c r="BC133" s="178" t="e">
        <f t="shared" si="138"/>
        <v>#DIV/0!</v>
      </c>
      <c r="BD133" s="178" t="e">
        <f t="shared" si="138"/>
        <v>#DIV/0!</v>
      </c>
      <c r="BE133" s="178" t="e">
        <f t="shared" si="138"/>
        <v>#DIV/0!</v>
      </c>
      <c r="BF133" s="178" t="e">
        <f t="shared" si="138"/>
        <v>#DIV/0!</v>
      </c>
      <c r="BG133" s="178" t="e">
        <f t="shared" si="138"/>
        <v>#DIV/0!</v>
      </c>
      <c r="BH133" s="168" t="e">
        <f t="shared" si="138"/>
        <v>#DIV/0!</v>
      </c>
      <c r="BI133" s="169" t="e">
        <f t="shared" si="90"/>
        <v>#DIV/0!</v>
      </c>
      <c r="BJ133" s="179" t="e">
        <f t="shared" si="91"/>
        <v>#DIV/0!</v>
      </c>
      <c r="BK133" s="180" t="e">
        <f t="shared" si="139"/>
        <v>#DIV/0!</v>
      </c>
      <c r="BL133" s="178" t="e">
        <f t="shared" si="139"/>
        <v>#DIV/0!</v>
      </c>
      <c r="BM133" s="178" t="e">
        <f t="shared" si="139"/>
        <v>#DIV/0!</v>
      </c>
      <c r="BN133" s="178" t="e">
        <f t="shared" si="139"/>
        <v>#DIV/0!</v>
      </c>
      <c r="BO133" s="178" t="e">
        <f t="shared" si="139"/>
        <v>#DIV/0!</v>
      </c>
      <c r="BP133" s="178" t="e">
        <f t="shared" si="139"/>
        <v>#DIV/0!</v>
      </c>
      <c r="BQ133" s="178" t="e">
        <f t="shared" si="139"/>
        <v>#DIV/0!</v>
      </c>
      <c r="BR133" s="178" t="e">
        <f t="shared" si="139"/>
        <v>#DIV/0!</v>
      </c>
      <c r="BS133" s="178" t="e">
        <f t="shared" si="139"/>
        <v>#DIV/0!</v>
      </c>
      <c r="BT133" s="178" t="e">
        <f t="shared" si="139"/>
        <v>#DIV/0!</v>
      </c>
      <c r="BU133" s="178" t="e">
        <f t="shared" si="139"/>
        <v>#DIV/0!</v>
      </c>
      <c r="BV133" s="168" t="e">
        <f t="shared" si="139"/>
        <v>#DIV/0!</v>
      </c>
      <c r="BW133" s="169" t="e">
        <f t="shared" si="92"/>
        <v>#DIV/0!</v>
      </c>
      <c r="BX133" s="179" t="e">
        <f t="shared" si="93"/>
        <v>#DIV/0!</v>
      </c>
      <c r="BY133" s="180" t="e">
        <f t="shared" si="140"/>
        <v>#DIV/0!</v>
      </c>
      <c r="BZ133" s="178" t="e">
        <f t="shared" si="140"/>
        <v>#DIV/0!</v>
      </c>
      <c r="CA133" s="178" t="e">
        <f t="shared" si="140"/>
        <v>#DIV/0!</v>
      </c>
      <c r="CB133" s="178" t="e">
        <f t="shared" si="140"/>
        <v>#DIV/0!</v>
      </c>
      <c r="CC133" s="178" t="e">
        <f t="shared" si="140"/>
        <v>#DIV/0!</v>
      </c>
      <c r="CD133" s="178" t="e">
        <f t="shared" si="140"/>
        <v>#DIV/0!</v>
      </c>
      <c r="CE133" s="178" t="e">
        <f t="shared" si="140"/>
        <v>#DIV/0!</v>
      </c>
      <c r="CF133" s="178" t="e">
        <f t="shared" si="140"/>
        <v>#DIV/0!</v>
      </c>
      <c r="CG133" s="178" t="e">
        <f t="shared" si="140"/>
        <v>#DIV/0!</v>
      </c>
      <c r="CH133" s="178" t="e">
        <f t="shared" si="140"/>
        <v>#DIV/0!</v>
      </c>
      <c r="CI133" s="178" t="e">
        <f t="shared" si="140"/>
        <v>#DIV/0!</v>
      </c>
      <c r="CJ133" s="168" t="e">
        <f t="shared" si="140"/>
        <v>#DIV/0!</v>
      </c>
      <c r="CK133" s="169" t="e">
        <f t="shared" si="94"/>
        <v>#DIV/0!</v>
      </c>
      <c r="CL133" s="179" t="e">
        <f t="shared" si="95"/>
        <v>#DIV/0!</v>
      </c>
      <c r="CM133" s="180" t="e">
        <f t="shared" si="141"/>
        <v>#DIV/0!</v>
      </c>
      <c r="CN133" s="178" t="e">
        <f t="shared" si="141"/>
        <v>#DIV/0!</v>
      </c>
      <c r="CO133" s="178" t="e">
        <f t="shared" si="141"/>
        <v>#DIV/0!</v>
      </c>
      <c r="CP133" s="178" t="e">
        <f t="shared" si="141"/>
        <v>#DIV/0!</v>
      </c>
      <c r="CQ133" s="178" t="e">
        <f t="shared" si="141"/>
        <v>#DIV/0!</v>
      </c>
      <c r="CR133" s="178" t="e">
        <f t="shared" si="141"/>
        <v>#DIV/0!</v>
      </c>
      <c r="CS133" s="178" t="e">
        <f t="shared" si="141"/>
        <v>#DIV/0!</v>
      </c>
      <c r="CT133" s="178" t="e">
        <f t="shared" si="141"/>
        <v>#DIV/0!</v>
      </c>
      <c r="CU133" s="178" t="e">
        <f t="shared" si="141"/>
        <v>#DIV/0!</v>
      </c>
      <c r="CV133" s="178" t="e">
        <f t="shared" si="141"/>
        <v>#DIV/0!</v>
      </c>
      <c r="CW133" s="178" t="e">
        <f t="shared" si="141"/>
        <v>#DIV/0!</v>
      </c>
      <c r="CX133" s="168" t="e">
        <f t="shared" si="141"/>
        <v>#DIV/0!</v>
      </c>
      <c r="CY133" s="169" t="e">
        <f t="shared" si="96"/>
        <v>#DIV/0!</v>
      </c>
      <c r="CZ133" s="179" t="e">
        <f t="shared" si="97"/>
        <v>#DIV/0!</v>
      </c>
      <c r="DA133" s="180" t="e">
        <f t="shared" si="142"/>
        <v>#DIV/0!</v>
      </c>
      <c r="DB133" s="178" t="e">
        <f t="shared" si="142"/>
        <v>#DIV/0!</v>
      </c>
      <c r="DC133" s="178" t="e">
        <f t="shared" si="142"/>
        <v>#DIV/0!</v>
      </c>
      <c r="DD133" s="178" t="e">
        <f t="shared" si="142"/>
        <v>#DIV/0!</v>
      </c>
      <c r="DE133" s="178" t="e">
        <f t="shared" si="142"/>
        <v>#DIV/0!</v>
      </c>
      <c r="DF133" s="178" t="e">
        <f t="shared" si="142"/>
        <v>#DIV/0!</v>
      </c>
      <c r="DG133" s="178" t="e">
        <f t="shared" si="142"/>
        <v>#DIV/0!</v>
      </c>
      <c r="DH133" s="178" t="e">
        <f t="shared" si="142"/>
        <v>#DIV/0!</v>
      </c>
      <c r="DI133" s="178" t="e">
        <f t="shared" si="142"/>
        <v>#DIV/0!</v>
      </c>
      <c r="DJ133" s="178" t="e">
        <f t="shared" si="142"/>
        <v>#DIV/0!</v>
      </c>
      <c r="DK133" s="178" t="e">
        <f t="shared" si="142"/>
        <v>#DIV/0!</v>
      </c>
      <c r="DL133" s="168" t="e">
        <f t="shared" si="142"/>
        <v>#DIV/0!</v>
      </c>
      <c r="DM133" s="169" t="e">
        <f t="shared" si="98"/>
        <v>#DIV/0!</v>
      </c>
      <c r="DN133" s="171" t="e">
        <f t="shared" si="99"/>
        <v>#DIV/0!</v>
      </c>
      <c r="DO133" s="180" t="e">
        <f t="shared" si="143"/>
        <v>#DIV/0!</v>
      </c>
      <c r="DP133" s="178" t="e">
        <f t="shared" si="143"/>
        <v>#DIV/0!</v>
      </c>
      <c r="DQ133" s="178" t="e">
        <f t="shared" si="143"/>
        <v>#DIV/0!</v>
      </c>
      <c r="DR133" s="178" t="e">
        <f t="shared" si="143"/>
        <v>#DIV/0!</v>
      </c>
      <c r="DS133" s="178" t="e">
        <f t="shared" si="143"/>
        <v>#DIV/0!</v>
      </c>
      <c r="DT133" s="178" t="e">
        <f t="shared" si="143"/>
        <v>#DIV/0!</v>
      </c>
      <c r="DU133" s="178" t="e">
        <f t="shared" si="143"/>
        <v>#DIV/0!</v>
      </c>
      <c r="DV133" s="178" t="e">
        <f t="shared" si="143"/>
        <v>#DIV/0!</v>
      </c>
      <c r="DW133" s="178" t="e">
        <f t="shared" si="143"/>
        <v>#DIV/0!</v>
      </c>
      <c r="DX133" s="178" t="e">
        <f t="shared" si="143"/>
        <v>#DIV/0!</v>
      </c>
      <c r="DY133" s="178" t="e">
        <f t="shared" si="143"/>
        <v>#DIV/0!</v>
      </c>
      <c r="DZ133" s="168" t="e">
        <f t="shared" si="143"/>
        <v>#DIV/0!</v>
      </c>
      <c r="EA133" s="169" t="e">
        <f t="shared" si="100"/>
        <v>#DIV/0!</v>
      </c>
      <c r="EB133" s="171" t="e">
        <f t="shared" si="101"/>
        <v>#DIV/0!</v>
      </c>
    </row>
    <row r="134" spans="1:132" s="177" customFormat="1" ht="15.75">
      <c r="A134" s="183"/>
      <c r="B134" s="164"/>
      <c r="C134" s="184"/>
      <c r="D134" s="185"/>
      <c r="E134" s="167"/>
      <c r="F134" s="168" t="e">
        <f t="shared" si="83"/>
        <v>#DIV/0!</v>
      </c>
      <c r="G134" s="169" t="e">
        <f t="shared" si="145"/>
        <v>#DIV/0!</v>
      </c>
      <c r="H134" s="178" t="e">
        <f t="shared" si="145"/>
        <v>#DIV/0!</v>
      </c>
      <c r="I134" s="178" t="e">
        <f t="shared" si="145"/>
        <v>#DIV/0!</v>
      </c>
      <c r="J134" s="178" t="e">
        <f t="shared" si="145"/>
        <v>#DIV/0!</v>
      </c>
      <c r="K134" s="178" t="e">
        <f t="shared" si="145"/>
        <v>#DIV/0!</v>
      </c>
      <c r="L134" s="178" t="e">
        <f t="shared" si="145"/>
        <v>#DIV/0!</v>
      </c>
      <c r="M134" s="178" t="e">
        <f t="shared" si="145"/>
        <v>#DIV/0!</v>
      </c>
      <c r="N134" s="178" t="e">
        <f t="shared" si="145"/>
        <v>#DIV/0!</v>
      </c>
      <c r="O134" s="178" t="e">
        <f t="shared" si="145"/>
        <v>#DIV/0!</v>
      </c>
      <c r="P134" s="178" t="e">
        <f t="shared" si="145"/>
        <v>#DIV/0!</v>
      </c>
      <c r="Q134" s="178" t="e">
        <f t="shared" si="145"/>
        <v>#DIV/0!</v>
      </c>
      <c r="R134" s="179" t="e">
        <f t="shared" si="145"/>
        <v>#DIV/0!</v>
      </c>
      <c r="S134" s="169" t="e">
        <f t="shared" si="84"/>
        <v>#DIV/0!</v>
      </c>
      <c r="T134" s="179" t="e">
        <f t="shared" si="85"/>
        <v>#DIV/0!</v>
      </c>
      <c r="U134" s="180" t="e">
        <f t="shared" si="137"/>
        <v>#DIV/0!</v>
      </c>
      <c r="V134" s="178" t="e">
        <f t="shared" si="137"/>
        <v>#DIV/0!</v>
      </c>
      <c r="W134" s="178" t="e">
        <f t="shared" si="137"/>
        <v>#DIV/0!</v>
      </c>
      <c r="X134" s="178" t="e">
        <f t="shared" si="137"/>
        <v>#DIV/0!</v>
      </c>
      <c r="Y134" s="178" t="e">
        <f t="shared" si="137"/>
        <v>#DIV/0!</v>
      </c>
      <c r="Z134" s="178" t="e">
        <f t="shared" si="137"/>
        <v>#DIV/0!</v>
      </c>
      <c r="AA134" s="178" t="e">
        <f t="shared" si="137"/>
        <v>#DIV/0!</v>
      </c>
      <c r="AB134" s="178" t="e">
        <f t="shared" si="137"/>
        <v>#DIV/0!</v>
      </c>
      <c r="AC134" s="178" t="e">
        <f t="shared" si="137"/>
        <v>#DIV/0!</v>
      </c>
      <c r="AD134" s="178" t="e">
        <f t="shared" si="137"/>
        <v>#DIV/0!</v>
      </c>
      <c r="AE134" s="178" t="e">
        <f t="shared" si="137"/>
        <v>#DIV/0!</v>
      </c>
      <c r="AF134" s="168" t="e">
        <f t="shared" si="137"/>
        <v>#DIV/0!</v>
      </c>
      <c r="AG134" s="169" t="e">
        <f t="shared" si="86"/>
        <v>#DIV/0!</v>
      </c>
      <c r="AH134" s="179" t="e">
        <f t="shared" si="87"/>
        <v>#DIV/0!</v>
      </c>
      <c r="AI134" s="180" t="e">
        <f t="shared" si="130"/>
        <v>#DIV/0!</v>
      </c>
      <c r="AJ134" s="178" t="e">
        <f t="shared" si="130"/>
        <v>#DIV/0!</v>
      </c>
      <c r="AK134" s="178" t="e">
        <f t="shared" si="130"/>
        <v>#DIV/0!</v>
      </c>
      <c r="AL134" s="178" t="e">
        <f t="shared" si="130"/>
        <v>#DIV/0!</v>
      </c>
      <c r="AM134" s="178" t="e">
        <f t="shared" si="130"/>
        <v>#DIV/0!</v>
      </c>
      <c r="AN134" s="178" t="e">
        <f t="shared" si="130"/>
        <v>#DIV/0!</v>
      </c>
      <c r="AO134" s="178" t="e">
        <f t="shared" si="130"/>
        <v>#DIV/0!</v>
      </c>
      <c r="AP134" s="178" t="e">
        <f t="shared" si="130"/>
        <v>#DIV/0!</v>
      </c>
      <c r="AQ134" s="178" t="e">
        <f t="shared" si="130"/>
        <v>#DIV/0!</v>
      </c>
      <c r="AR134" s="178" t="e">
        <f t="shared" si="130"/>
        <v>#DIV/0!</v>
      </c>
      <c r="AS134" s="178" t="e">
        <f t="shared" si="130"/>
        <v>#DIV/0!</v>
      </c>
      <c r="AT134" s="168" t="e">
        <f t="shared" si="130"/>
        <v>#DIV/0!</v>
      </c>
      <c r="AU134" s="169" t="e">
        <f t="shared" si="88"/>
        <v>#DIV/0!</v>
      </c>
      <c r="AV134" s="179" t="e">
        <f t="shared" si="89"/>
        <v>#DIV/0!</v>
      </c>
      <c r="AW134" s="180" t="e">
        <f t="shared" si="138"/>
        <v>#DIV/0!</v>
      </c>
      <c r="AX134" s="178" t="e">
        <f t="shared" si="138"/>
        <v>#DIV/0!</v>
      </c>
      <c r="AY134" s="178" t="e">
        <f t="shared" si="138"/>
        <v>#DIV/0!</v>
      </c>
      <c r="AZ134" s="178" t="e">
        <f t="shared" si="138"/>
        <v>#DIV/0!</v>
      </c>
      <c r="BA134" s="178" t="e">
        <f t="shared" si="138"/>
        <v>#DIV/0!</v>
      </c>
      <c r="BB134" s="178" t="e">
        <f t="shared" si="138"/>
        <v>#DIV/0!</v>
      </c>
      <c r="BC134" s="178" t="e">
        <f t="shared" si="138"/>
        <v>#DIV/0!</v>
      </c>
      <c r="BD134" s="178" t="e">
        <f t="shared" si="138"/>
        <v>#DIV/0!</v>
      </c>
      <c r="BE134" s="178" t="e">
        <f t="shared" si="138"/>
        <v>#DIV/0!</v>
      </c>
      <c r="BF134" s="178" t="e">
        <f t="shared" si="138"/>
        <v>#DIV/0!</v>
      </c>
      <c r="BG134" s="178" t="e">
        <f t="shared" si="138"/>
        <v>#DIV/0!</v>
      </c>
      <c r="BH134" s="168" t="e">
        <f t="shared" si="138"/>
        <v>#DIV/0!</v>
      </c>
      <c r="BI134" s="169" t="e">
        <f t="shared" si="90"/>
        <v>#DIV/0!</v>
      </c>
      <c r="BJ134" s="179" t="e">
        <f t="shared" si="91"/>
        <v>#DIV/0!</v>
      </c>
      <c r="BK134" s="180" t="e">
        <f t="shared" si="139"/>
        <v>#DIV/0!</v>
      </c>
      <c r="BL134" s="178" t="e">
        <f t="shared" si="139"/>
        <v>#DIV/0!</v>
      </c>
      <c r="BM134" s="178" t="e">
        <f t="shared" si="139"/>
        <v>#DIV/0!</v>
      </c>
      <c r="BN134" s="178" t="e">
        <f t="shared" si="139"/>
        <v>#DIV/0!</v>
      </c>
      <c r="BO134" s="178" t="e">
        <f t="shared" si="139"/>
        <v>#DIV/0!</v>
      </c>
      <c r="BP134" s="178" t="e">
        <f t="shared" si="139"/>
        <v>#DIV/0!</v>
      </c>
      <c r="BQ134" s="178" t="e">
        <f t="shared" si="139"/>
        <v>#DIV/0!</v>
      </c>
      <c r="BR134" s="178" t="e">
        <f t="shared" si="139"/>
        <v>#DIV/0!</v>
      </c>
      <c r="BS134" s="178" t="e">
        <f t="shared" si="139"/>
        <v>#DIV/0!</v>
      </c>
      <c r="BT134" s="178" t="e">
        <f t="shared" si="139"/>
        <v>#DIV/0!</v>
      </c>
      <c r="BU134" s="178" t="e">
        <f t="shared" si="139"/>
        <v>#DIV/0!</v>
      </c>
      <c r="BV134" s="168" t="e">
        <f t="shared" si="139"/>
        <v>#DIV/0!</v>
      </c>
      <c r="BW134" s="169" t="e">
        <f t="shared" si="92"/>
        <v>#DIV/0!</v>
      </c>
      <c r="BX134" s="179" t="e">
        <f t="shared" si="93"/>
        <v>#DIV/0!</v>
      </c>
      <c r="BY134" s="180" t="e">
        <f t="shared" si="140"/>
        <v>#DIV/0!</v>
      </c>
      <c r="BZ134" s="178" t="e">
        <f t="shared" si="140"/>
        <v>#DIV/0!</v>
      </c>
      <c r="CA134" s="178" t="e">
        <f t="shared" si="140"/>
        <v>#DIV/0!</v>
      </c>
      <c r="CB134" s="178" t="e">
        <f t="shared" si="140"/>
        <v>#DIV/0!</v>
      </c>
      <c r="CC134" s="178" t="e">
        <f t="shared" si="140"/>
        <v>#DIV/0!</v>
      </c>
      <c r="CD134" s="178" t="e">
        <f t="shared" si="140"/>
        <v>#DIV/0!</v>
      </c>
      <c r="CE134" s="178" t="e">
        <f t="shared" si="140"/>
        <v>#DIV/0!</v>
      </c>
      <c r="CF134" s="178" t="e">
        <f t="shared" si="140"/>
        <v>#DIV/0!</v>
      </c>
      <c r="CG134" s="178" t="e">
        <f t="shared" si="140"/>
        <v>#DIV/0!</v>
      </c>
      <c r="CH134" s="178" t="e">
        <f t="shared" si="140"/>
        <v>#DIV/0!</v>
      </c>
      <c r="CI134" s="178" t="e">
        <f t="shared" si="140"/>
        <v>#DIV/0!</v>
      </c>
      <c r="CJ134" s="168" t="e">
        <f t="shared" si="140"/>
        <v>#DIV/0!</v>
      </c>
      <c r="CK134" s="169" t="e">
        <f t="shared" si="94"/>
        <v>#DIV/0!</v>
      </c>
      <c r="CL134" s="179" t="e">
        <f t="shared" si="95"/>
        <v>#DIV/0!</v>
      </c>
      <c r="CM134" s="180" t="e">
        <f t="shared" si="141"/>
        <v>#DIV/0!</v>
      </c>
      <c r="CN134" s="178" t="e">
        <f t="shared" si="141"/>
        <v>#DIV/0!</v>
      </c>
      <c r="CO134" s="178" t="e">
        <f t="shared" si="141"/>
        <v>#DIV/0!</v>
      </c>
      <c r="CP134" s="178" t="e">
        <f t="shared" si="141"/>
        <v>#DIV/0!</v>
      </c>
      <c r="CQ134" s="178" t="e">
        <f t="shared" si="141"/>
        <v>#DIV/0!</v>
      </c>
      <c r="CR134" s="178" t="e">
        <f t="shared" si="141"/>
        <v>#DIV/0!</v>
      </c>
      <c r="CS134" s="178" t="e">
        <f t="shared" si="141"/>
        <v>#DIV/0!</v>
      </c>
      <c r="CT134" s="178" t="e">
        <f t="shared" si="141"/>
        <v>#DIV/0!</v>
      </c>
      <c r="CU134" s="178" t="e">
        <f t="shared" si="141"/>
        <v>#DIV/0!</v>
      </c>
      <c r="CV134" s="178" t="e">
        <f t="shared" si="141"/>
        <v>#DIV/0!</v>
      </c>
      <c r="CW134" s="178" t="e">
        <f t="shared" si="141"/>
        <v>#DIV/0!</v>
      </c>
      <c r="CX134" s="168" t="e">
        <f t="shared" si="141"/>
        <v>#DIV/0!</v>
      </c>
      <c r="CY134" s="169" t="e">
        <f t="shared" si="96"/>
        <v>#DIV/0!</v>
      </c>
      <c r="CZ134" s="179" t="e">
        <f t="shared" si="97"/>
        <v>#DIV/0!</v>
      </c>
      <c r="DA134" s="180" t="e">
        <f t="shared" si="142"/>
        <v>#DIV/0!</v>
      </c>
      <c r="DB134" s="178" t="e">
        <f t="shared" si="142"/>
        <v>#DIV/0!</v>
      </c>
      <c r="DC134" s="178" t="e">
        <f t="shared" si="142"/>
        <v>#DIV/0!</v>
      </c>
      <c r="DD134" s="178" t="e">
        <f t="shared" si="142"/>
        <v>#DIV/0!</v>
      </c>
      <c r="DE134" s="178" t="e">
        <f t="shared" si="142"/>
        <v>#DIV/0!</v>
      </c>
      <c r="DF134" s="178" t="e">
        <f t="shared" si="142"/>
        <v>#DIV/0!</v>
      </c>
      <c r="DG134" s="178" t="e">
        <f t="shared" si="142"/>
        <v>#DIV/0!</v>
      </c>
      <c r="DH134" s="178" t="e">
        <f t="shared" si="142"/>
        <v>#DIV/0!</v>
      </c>
      <c r="DI134" s="178" t="e">
        <f t="shared" si="142"/>
        <v>#DIV/0!</v>
      </c>
      <c r="DJ134" s="178" t="e">
        <f t="shared" si="142"/>
        <v>#DIV/0!</v>
      </c>
      <c r="DK134" s="178" t="e">
        <f t="shared" si="142"/>
        <v>#DIV/0!</v>
      </c>
      <c r="DL134" s="168" t="e">
        <f t="shared" si="142"/>
        <v>#DIV/0!</v>
      </c>
      <c r="DM134" s="169" t="e">
        <f t="shared" si="98"/>
        <v>#DIV/0!</v>
      </c>
      <c r="DN134" s="171" t="e">
        <f t="shared" si="99"/>
        <v>#DIV/0!</v>
      </c>
      <c r="DO134" s="180" t="e">
        <f t="shared" si="143"/>
        <v>#DIV/0!</v>
      </c>
      <c r="DP134" s="178" t="e">
        <f t="shared" si="143"/>
        <v>#DIV/0!</v>
      </c>
      <c r="DQ134" s="178" t="e">
        <f t="shared" si="143"/>
        <v>#DIV/0!</v>
      </c>
      <c r="DR134" s="178" t="e">
        <f t="shared" si="143"/>
        <v>#DIV/0!</v>
      </c>
      <c r="DS134" s="178" t="e">
        <f t="shared" si="143"/>
        <v>#DIV/0!</v>
      </c>
      <c r="DT134" s="178" t="e">
        <f t="shared" si="143"/>
        <v>#DIV/0!</v>
      </c>
      <c r="DU134" s="178" t="e">
        <f t="shared" si="143"/>
        <v>#DIV/0!</v>
      </c>
      <c r="DV134" s="178" t="e">
        <f t="shared" si="143"/>
        <v>#DIV/0!</v>
      </c>
      <c r="DW134" s="178" t="e">
        <f t="shared" si="143"/>
        <v>#DIV/0!</v>
      </c>
      <c r="DX134" s="178" t="e">
        <f t="shared" si="143"/>
        <v>#DIV/0!</v>
      </c>
      <c r="DY134" s="178" t="e">
        <f t="shared" si="143"/>
        <v>#DIV/0!</v>
      </c>
      <c r="DZ134" s="168" t="e">
        <f t="shared" si="143"/>
        <v>#DIV/0!</v>
      </c>
      <c r="EA134" s="169" t="e">
        <f t="shared" si="100"/>
        <v>#DIV/0!</v>
      </c>
      <c r="EB134" s="171" t="e">
        <f t="shared" si="101"/>
        <v>#DIV/0!</v>
      </c>
    </row>
    <row r="135" spans="1:132" s="177" customFormat="1" ht="15.75">
      <c r="A135" s="183"/>
      <c r="B135" s="164"/>
      <c r="C135" s="184"/>
      <c r="D135" s="185"/>
      <c r="E135" s="167"/>
      <c r="F135" s="168" t="e">
        <f t="shared" si="83"/>
        <v>#DIV/0!</v>
      </c>
      <c r="G135" s="169" t="e">
        <f t="shared" si="145"/>
        <v>#DIV/0!</v>
      </c>
      <c r="H135" s="178" t="e">
        <f t="shared" si="145"/>
        <v>#DIV/0!</v>
      </c>
      <c r="I135" s="178" t="e">
        <f t="shared" si="145"/>
        <v>#DIV/0!</v>
      </c>
      <c r="J135" s="178" t="e">
        <f t="shared" si="145"/>
        <v>#DIV/0!</v>
      </c>
      <c r="K135" s="178" t="e">
        <f t="shared" si="145"/>
        <v>#DIV/0!</v>
      </c>
      <c r="L135" s="178" t="e">
        <f t="shared" si="145"/>
        <v>#DIV/0!</v>
      </c>
      <c r="M135" s="178" t="e">
        <f t="shared" si="145"/>
        <v>#DIV/0!</v>
      </c>
      <c r="N135" s="178" t="e">
        <f t="shared" si="145"/>
        <v>#DIV/0!</v>
      </c>
      <c r="O135" s="178" t="e">
        <f t="shared" si="145"/>
        <v>#DIV/0!</v>
      </c>
      <c r="P135" s="178" t="e">
        <f t="shared" si="145"/>
        <v>#DIV/0!</v>
      </c>
      <c r="Q135" s="178" t="e">
        <f t="shared" si="145"/>
        <v>#DIV/0!</v>
      </c>
      <c r="R135" s="179" t="e">
        <f t="shared" si="145"/>
        <v>#DIV/0!</v>
      </c>
      <c r="S135" s="169" t="e">
        <f t="shared" si="84"/>
        <v>#DIV/0!</v>
      </c>
      <c r="T135" s="179" t="e">
        <f t="shared" si="85"/>
        <v>#DIV/0!</v>
      </c>
      <c r="U135" s="180" t="e">
        <f t="shared" si="137"/>
        <v>#DIV/0!</v>
      </c>
      <c r="V135" s="178" t="e">
        <f t="shared" si="137"/>
        <v>#DIV/0!</v>
      </c>
      <c r="W135" s="178" t="e">
        <f t="shared" si="137"/>
        <v>#DIV/0!</v>
      </c>
      <c r="X135" s="178" t="e">
        <f t="shared" si="137"/>
        <v>#DIV/0!</v>
      </c>
      <c r="Y135" s="178" t="e">
        <f t="shared" si="137"/>
        <v>#DIV/0!</v>
      </c>
      <c r="Z135" s="178" t="e">
        <f t="shared" si="137"/>
        <v>#DIV/0!</v>
      </c>
      <c r="AA135" s="178" t="e">
        <f t="shared" si="137"/>
        <v>#DIV/0!</v>
      </c>
      <c r="AB135" s="178" t="e">
        <f t="shared" si="137"/>
        <v>#DIV/0!</v>
      </c>
      <c r="AC135" s="178" t="e">
        <f t="shared" si="137"/>
        <v>#DIV/0!</v>
      </c>
      <c r="AD135" s="178" t="e">
        <f t="shared" si="137"/>
        <v>#DIV/0!</v>
      </c>
      <c r="AE135" s="178" t="e">
        <f t="shared" si="137"/>
        <v>#DIV/0!</v>
      </c>
      <c r="AF135" s="168" t="e">
        <f t="shared" si="137"/>
        <v>#DIV/0!</v>
      </c>
      <c r="AG135" s="169" t="e">
        <f t="shared" si="86"/>
        <v>#DIV/0!</v>
      </c>
      <c r="AH135" s="179" t="e">
        <f t="shared" si="87"/>
        <v>#DIV/0!</v>
      </c>
      <c r="AI135" s="180" t="e">
        <f t="shared" si="130"/>
        <v>#DIV/0!</v>
      </c>
      <c r="AJ135" s="178" t="e">
        <f t="shared" si="130"/>
        <v>#DIV/0!</v>
      </c>
      <c r="AK135" s="178" t="e">
        <f t="shared" si="130"/>
        <v>#DIV/0!</v>
      </c>
      <c r="AL135" s="178" t="e">
        <f t="shared" si="130"/>
        <v>#DIV/0!</v>
      </c>
      <c r="AM135" s="178" t="e">
        <f t="shared" si="130"/>
        <v>#DIV/0!</v>
      </c>
      <c r="AN135" s="178" t="e">
        <f t="shared" si="130"/>
        <v>#DIV/0!</v>
      </c>
      <c r="AO135" s="178" t="e">
        <f t="shared" si="130"/>
        <v>#DIV/0!</v>
      </c>
      <c r="AP135" s="178" t="e">
        <f t="shared" si="130"/>
        <v>#DIV/0!</v>
      </c>
      <c r="AQ135" s="178" t="e">
        <f t="shared" si="130"/>
        <v>#DIV/0!</v>
      </c>
      <c r="AR135" s="178" t="e">
        <f t="shared" si="130"/>
        <v>#DIV/0!</v>
      </c>
      <c r="AS135" s="178" t="e">
        <f t="shared" si="130"/>
        <v>#DIV/0!</v>
      </c>
      <c r="AT135" s="168" t="e">
        <f t="shared" si="130"/>
        <v>#DIV/0!</v>
      </c>
      <c r="AU135" s="169" t="e">
        <f t="shared" si="88"/>
        <v>#DIV/0!</v>
      </c>
      <c r="AV135" s="179" t="e">
        <f t="shared" si="89"/>
        <v>#DIV/0!</v>
      </c>
      <c r="AW135" s="180" t="e">
        <f t="shared" si="138"/>
        <v>#DIV/0!</v>
      </c>
      <c r="AX135" s="178" t="e">
        <f t="shared" si="138"/>
        <v>#DIV/0!</v>
      </c>
      <c r="AY135" s="178" t="e">
        <f t="shared" si="138"/>
        <v>#DIV/0!</v>
      </c>
      <c r="AZ135" s="178" t="e">
        <f t="shared" si="138"/>
        <v>#DIV/0!</v>
      </c>
      <c r="BA135" s="178" t="e">
        <f t="shared" si="138"/>
        <v>#DIV/0!</v>
      </c>
      <c r="BB135" s="178" t="e">
        <f t="shared" si="138"/>
        <v>#DIV/0!</v>
      </c>
      <c r="BC135" s="178" t="e">
        <f t="shared" si="138"/>
        <v>#DIV/0!</v>
      </c>
      <c r="BD135" s="178" t="e">
        <f t="shared" si="138"/>
        <v>#DIV/0!</v>
      </c>
      <c r="BE135" s="178" t="e">
        <f t="shared" si="138"/>
        <v>#DIV/0!</v>
      </c>
      <c r="BF135" s="178" t="e">
        <f t="shared" si="138"/>
        <v>#DIV/0!</v>
      </c>
      <c r="BG135" s="178" t="e">
        <f t="shared" si="138"/>
        <v>#DIV/0!</v>
      </c>
      <c r="BH135" s="168" t="e">
        <f t="shared" si="138"/>
        <v>#DIV/0!</v>
      </c>
      <c r="BI135" s="169" t="e">
        <f t="shared" si="90"/>
        <v>#DIV/0!</v>
      </c>
      <c r="BJ135" s="179" t="e">
        <f t="shared" si="91"/>
        <v>#DIV/0!</v>
      </c>
      <c r="BK135" s="180" t="e">
        <f t="shared" si="139"/>
        <v>#DIV/0!</v>
      </c>
      <c r="BL135" s="178" t="e">
        <f t="shared" si="139"/>
        <v>#DIV/0!</v>
      </c>
      <c r="BM135" s="178" t="e">
        <f t="shared" si="139"/>
        <v>#DIV/0!</v>
      </c>
      <c r="BN135" s="178" t="e">
        <f t="shared" si="139"/>
        <v>#DIV/0!</v>
      </c>
      <c r="BO135" s="178" t="e">
        <f t="shared" si="139"/>
        <v>#DIV/0!</v>
      </c>
      <c r="BP135" s="178" t="e">
        <f t="shared" si="139"/>
        <v>#DIV/0!</v>
      </c>
      <c r="BQ135" s="178" t="e">
        <f t="shared" si="139"/>
        <v>#DIV/0!</v>
      </c>
      <c r="BR135" s="178" t="e">
        <f t="shared" si="139"/>
        <v>#DIV/0!</v>
      </c>
      <c r="BS135" s="178" t="e">
        <f t="shared" si="139"/>
        <v>#DIV/0!</v>
      </c>
      <c r="BT135" s="178" t="e">
        <f t="shared" si="139"/>
        <v>#DIV/0!</v>
      </c>
      <c r="BU135" s="178" t="e">
        <f t="shared" si="139"/>
        <v>#DIV/0!</v>
      </c>
      <c r="BV135" s="168" t="e">
        <f t="shared" si="139"/>
        <v>#DIV/0!</v>
      </c>
      <c r="BW135" s="169" t="e">
        <f t="shared" si="92"/>
        <v>#DIV/0!</v>
      </c>
      <c r="BX135" s="179" t="e">
        <f t="shared" si="93"/>
        <v>#DIV/0!</v>
      </c>
      <c r="BY135" s="180" t="e">
        <f t="shared" si="140"/>
        <v>#DIV/0!</v>
      </c>
      <c r="BZ135" s="178" t="e">
        <f t="shared" si="140"/>
        <v>#DIV/0!</v>
      </c>
      <c r="CA135" s="178" t="e">
        <f t="shared" si="140"/>
        <v>#DIV/0!</v>
      </c>
      <c r="CB135" s="178" t="e">
        <f t="shared" si="140"/>
        <v>#DIV/0!</v>
      </c>
      <c r="CC135" s="178" t="e">
        <f t="shared" si="140"/>
        <v>#DIV/0!</v>
      </c>
      <c r="CD135" s="178" t="e">
        <f t="shared" si="140"/>
        <v>#DIV/0!</v>
      </c>
      <c r="CE135" s="178" t="e">
        <f t="shared" si="140"/>
        <v>#DIV/0!</v>
      </c>
      <c r="CF135" s="178" t="e">
        <f t="shared" si="140"/>
        <v>#DIV/0!</v>
      </c>
      <c r="CG135" s="178" t="e">
        <f t="shared" si="140"/>
        <v>#DIV/0!</v>
      </c>
      <c r="CH135" s="178" t="e">
        <f t="shared" si="140"/>
        <v>#DIV/0!</v>
      </c>
      <c r="CI135" s="178" t="e">
        <f t="shared" si="140"/>
        <v>#DIV/0!</v>
      </c>
      <c r="CJ135" s="168" t="e">
        <f t="shared" si="140"/>
        <v>#DIV/0!</v>
      </c>
      <c r="CK135" s="169" t="e">
        <f t="shared" si="94"/>
        <v>#DIV/0!</v>
      </c>
      <c r="CL135" s="179" t="e">
        <f t="shared" si="95"/>
        <v>#DIV/0!</v>
      </c>
      <c r="CM135" s="180" t="e">
        <f t="shared" si="141"/>
        <v>#DIV/0!</v>
      </c>
      <c r="CN135" s="178" t="e">
        <f t="shared" si="141"/>
        <v>#DIV/0!</v>
      </c>
      <c r="CO135" s="178" t="e">
        <f t="shared" si="141"/>
        <v>#DIV/0!</v>
      </c>
      <c r="CP135" s="178" t="e">
        <f t="shared" si="141"/>
        <v>#DIV/0!</v>
      </c>
      <c r="CQ135" s="178" t="e">
        <f t="shared" si="141"/>
        <v>#DIV/0!</v>
      </c>
      <c r="CR135" s="178" t="e">
        <f t="shared" si="141"/>
        <v>#DIV/0!</v>
      </c>
      <c r="CS135" s="178" t="e">
        <f t="shared" si="141"/>
        <v>#DIV/0!</v>
      </c>
      <c r="CT135" s="178" t="e">
        <f t="shared" si="141"/>
        <v>#DIV/0!</v>
      </c>
      <c r="CU135" s="178" t="e">
        <f t="shared" si="141"/>
        <v>#DIV/0!</v>
      </c>
      <c r="CV135" s="178" t="e">
        <f t="shared" si="141"/>
        <v>#DIV/0!</v>
      </c>
      <c r="CW135" s="178" t="e">
        <f t="shared" si="141"/>
        <v>#DIV/0!</v>
      </c>
      <c r="CX135" s="168" t="e">
        <f t="shared" si="141"/>
        <v>#DIV/0!</v>
      </c>
      <c r="CY135" s="169" t="e">
        <f t="shared" si="96"/>
        <v>#DIV/0!</v>
      </c>
      <c r="CZ135" s="179" t="e">
        <f t="shared" si="97"/>
        <v>#DIV/0!</v>
      </c>
      <c r="DA135" s="180" t="e">
        <f t="shared" si="142"/>
        <v>#DIV/0!</v>
      </c>
      <c r="DB135" s="178" t="e">
        <f t="shared" si="142"/>
        <v>#DIV/0!</v>
      </c>
      <c r="DC135" s="178" t="e">
        <f t="shared" si="142"/>
        <v>#DIV/0!</v>
      </c>
      <c r="DD135" s="178" t="e">
        <f t="shared" si="142"/>
        <v>#DIV/0!</v>
      </c>
      <c r="DE135" s="178" t="e">
        <f t="shared" si="142"/>
        <v>#DIV/0!</v>
      </c>
      <c r="DF135" s="178" t="e">
        <f t="shared" si="142"/>
        <v>#DIV/0!</v>
      </c>
      <c r="DG135" s="178" t="e">
        <f t="shared" si="142"/>
        <v>#DIV/0!</v>
      </c>
      <c r="DH135" s="178" t="e">
        <f t="shared" si="142"/>
        <v>#DIV/0!</v>
      </c>
      <c r="DI135" s="178" t="e">
        <f t="shared" si="142"/>
        <v>#DIV/0!</v>
      </c>
      <c r="DJ135" s="178" t="e">
        <f t="shared" si="142"/>
        <v>#DIV/0!</v>
      </c>
      <c r="DK135" s="178" t="e">
        <f t="shared" si="142"/>
        <v>#DIV/0!</v>
      </c>
      <c r="DL135" s="168" t="e">
        <f t="shared" si="142"/>
        <v>#DIV/0!</v>
      </c>
      <c r="DM135" s="169" t="e">
        <f t="shared" si="98"/>
        <v>#DIV/0!</v>
      </c>
      <c r="DN135" s="171" t="e">
        <f t="shared" si="99"/>
        <v>#DIV/0!</v>
      </c>
      <c r="DO135" s="180" t="e">
        <f t="shared" si="143"/>
        <v>#DIV/0!</v>
      </c>
      <c r="DP135" s="178" t="e">
        <f t="shared" si="143"/>
        <v>#DIV/0!</v>
      </c>
      <c r="DQ135" s="178" t="e">
        <f t="shared" si="143"/>
        <v>#DIV/0!</v>
      </c>
      <c r="DR135" s="178" t="e">
        <f t="shared" si="143"/>
        <v>#DIV/0!</v>
      </c>
      <c r="DS135" s="178" t="e">
        <f t="shared" si="143"/>
        <v>#DIV/0!</v>
      </c>
      <c r="DT135" s="178" t="e">
        <f t="shared" si="143"/>
        <v>#DIV/0!</v>
      </c>
      <c r="DU135" s="178" t="e">
        <f t="shared" si="143"/>
        <v>#DIV/0!</v>
      </c>
      <c r="DV135" s="178" t="e">
        <f t="shared" si="143"/>
        <v>#DIV/0!</v>
      </c>
      <c r="DW135" s="178" t="e">
        <f t="shared" si="143"/>
        <v>#DIV/0!</v>
      </c>
      <c r="DX135" s="178" t="e">
        <f t="shared" si="143"/>
        <v>#DIV/0!</v>
      </c>
      <c r="DY135" s="178" t="e">
        <f t="shared" si="143"/>
        <v>#DIV/0!</v>
      </c>
      <c r="DZ135" s="168" t="e">
        <f t="shared" si="143"/>
        <v>#DIV/0!</v>
      </c>
      <c r="EA135" s="169" t="e">
        <f t="shared" si="100"/>
        <v>#DIV/0!</v>
      </c>
      <c r="EB135" s="171" t="e">
        <f t="shared" si="101"/>
        <v>#DIV/0!</v>
      </c>
    </row>
    <row r="136" spans="1:132" s="177" customFormat="1" ht="15.75">
      <c r="A136" s="183"/>
      <c r="B136" s="164"/>
      <c r="C136" s="187"/>
      <c r="D136" s="188"/>
      <c r="E136" s="167"/>
      <c r="F136" s="168" t="e">
        <f t="shared" si="83"/>
        <v>#DIV/0!</v>
      </c>
      <c r="G136" s="169" t="e">
        <f t="shared" si="145"/>
        <v>#DIV/0!</v>
      </c>
      <c r="H136" s="178" t="e">
        <f t="shared" si="145"/>
        <v>#DIV/0!</v>
      </c>
      <c r="I136" s="178" t="e">
        <f t="shared" si="145"/>
        <v>#DIV/0!</v>
      </c>
      <c r="J136" s="178" t="e">
        <f t="shared" si="145"/>
        <v>#DIV/0!</v>
      </c>
      <c r="K136" s="178" t="e">
        <f t="shared" si="145"/>
        <v>#DIV/0!</v>
      </c>
      <c r="L136" s="178" t="e">
        <f t="shared" si="145"/>
        <v>#DIV/0!</v>
      </c>
      <c r="M136" s="178" t="e">
        <f t="shared" si="145"/>
        <v>#DIV/0!</v>
      </c>
      <c r="N136" s="178" t="e">
        <f t="shared" si="145"/>
        <v>#DIV/0!</v>
      </c>
      <c r="O136" s="178" t="e">
        <f t="shared" si="145"/>
        <v>#DIV/0!</v>
      </c>
      <c r="P136" s="178" t="e">
        <f t="shared" si="145"/>
        <v>#DIV/0!</v>
      </c>
      <c r="Q136" s="178" t="e">
        <f t="shared" si="145"/>
        <v>#DIV/0!</v>
      </c>
      <c r="R136" s="179" t="e">
        <f t="shared" si="145"/>
        <v>#DIV/0!</v>
      </c>
      <c r="S136" s="169" t="e">
        <f t="shared" si="84"/>
        <v>#DIV/0!</v>
      </c>
      <c r="T136" s="179" t="e">
        <f t="shared" si="85"/>
        <v>#DIV/0!</v>
      </c>
      <c r="U136" s="180" t="e">
        <f t="shared" si="137"/>
        <v>#DIV/0!</v>
      </c>
      <c r="V136" s="178" t="e">
        <f t="shared" si="137"/>
        <v>#DIV/0!</v>
      </c>
      <c r="W136" s="178" t="e">
        <f t="shared" si="137"/>
        <v>#DIV/0!</v>
      </c>
      <c r="X136" s="178" t="e">
        <f t="shared" si="137"/>
        <v>#DIV/0!</v>
      </c>
      <c r="Y136" s="178" t="e">
        <f t="shared" si="137"/>
        <v>#DIV/0!</v>
      </c>
      <c r="Z136" s="178" t="e">
        <f t="shared" si="137"/>
        <v>#DIV/0!</v>
      </c>
      <c r="AA136" s="178" t="e">
        <f t="shared" si="137"/>
        <v>#DIV/0!</v>
      </c>
      <c r="AB136" s="178" t="e">
        <f t="shared" si="137"/>
        <v>#DIV/0!</v>
      </c>
      <c r="AC136" s="178" t="e">
        <f t="shared" si="137"/>
        <v>#DIV/0!</v>
      </c>
      <c r="AD136" s="178" t="e">
        <f t="shared" si="137"/>
        <v>#DIV/0!</v>
      </c>
      <c r="AE136" s="178" t="e">
        <f t="shared" si="137"/>
        <v>#DIV/0!</v>
      </c>
      <c r="AF136" s="168" t="e">
        <f t="shared" si="137"/>
        <v>#DIV/0!</v>
      </c>
      <c r="AG136" s="169" t="e">
        <f t="shared" si="86"/>
        <v>#DIV/0!</v>
      </c>
      <c r="AH136" s="179" t="e">
        <f t="shared" si="87"/>
        <v>#DIV/0!</v>
      </c>
      <c r="AI136" s="180" t="e">
        <f t="shared" si="130"/>
        <v>#DIV/0!</v>
      </c>
      <c r="AJ136" s="178" t="e">
        <f t="shared" si="130"/>
        <v>#DIV/0!</v>
      </c>
      <c r="AK136" s="178" t="e">
        <f t="shared" si="130"/>
        <v>#DIV/0!</v>
      </c>
      <c r="AL136" s="178" t="e">
        <f t="shared" si="130"/>
        <v>#DIV/0!</v>
      </c>
      <c r="AM136" s="178" t="e">
        <f t="shared" si="130"/>
        <v>#DIV/0!</v>
      </c>
      <c r="AN136" s="178" t="e">
        <f t="shared" si="130"/>
        <v>#DIV/0!</v>
      </c>
      <c r="AO136" s="178" t="e">
        <f t="shared" si="130"/>
        <v>#DIV/0!</v>
      </c>
      <c r="AP136" s="178" t="e">
        <f t="shared" si="130"/>
        <v>#DIV/0!</v>
      </c>
      <c r="AQ136" s="178" t="e">
        <f t="shared" si="130"/>
        <v>#DIV/0!</v>
      </c>
      <c r="AR136" s="178" t="e">
        <f t="shared" si="130"/>
        <v>#DIV/0!</v>
      </c>
      <c r="AS136" s="178" t="e">
        <f t="shared" si="130"/>
        <v>#DIV/0!</v>
      </c>
      <c r="AT136" s="168" t="e">
        <f t="shared" si="130"/>
        <v>#DIV/0!</v>
      </c>
      <c r="AU136" s="169" t="e">
        <f t="shared" si="88"/>
        <v>#DIV/0!</v>
      </c>
      <c r="AV136" s="179" t="e">
        <f t="shared" si="89"/>
        <v>#DIV/0!</v>
      </c>
      <c r="AW136" s="180" t="e">
        <f t="shared" si="138"/>
        <v>#DIV/0!</v>
      </c>
      <c r="AX136" s="178" t="e">
        <f t="shared" si="138"/>
        <v>#DIV/0!</v>
      </c>
      <c r="AY136" s="178" t="e">
        <f t="shared" si="138"/>
        <v>#DIV/0!</v>
      </c>
      <c r="AZ136" s="178" t="e">
        <f t="shared" si="138"/>
        <v>#DIV/0!</v>
      </c>
      <c r="BA136" s="178" t="e">
        <f t="shared" si="138"/>
        <v>#DIV/0!</v>
      </c>
      <c r="BB136" s="178" t="e">
        <f t="shared" si="138"/>
        <v>#DIV/0!</v>
      </c>
      <c r="BC136" s="178" t="e">
        <f t="shared" si="138"/>
        <v>#DIV/0!</v>
      </c>
      <c r="BD136" s="178" t="e">
        <f t="shared" si="138"/>
        <v>#DIV/0!</v>
      </c>
      <c r="BE136" s="178" t="e">
        <f t="shared" si="138"/>
        <v>#DIV/0!</v>
      </c>
      <c r="BF136" s="178" t="e">
        <f t="shared" si="138"/>
        <v>#DIV/0!</v>
      </c>
      <c r="BG136" s="178" t="e">
        <f t="shared" si="138"/>
        <v>#DIV/0!</v>
      </c>
      <c r="BH136" s="168" t="e">
        <f t="shared" si="138"/>
        <v>#DIV/0!</v>
      </c>
      <c r="BI136" s="169" t="e">
        <f t="shared" si="90"/>
        <v>#DIV/0!</v>
      </c>
      <c r="BJ136" s="179" t="e">
        <f t="shared" si="91"/>
        <v>#DIV/0!</v>
      </c>
      <c r="BK136" s="180" t="e">
        <f t="shared" si="139"/>
        <v>#DIV/0!</v>
      </c>
      <c r="BL136" s="178" t="e">
        <f t="shared" si="139"/>
        <v>#DIV/0!</v>
      </c>
      <c r="BM136" s="178" t="e">
        <f t="shared" si="139"/>
        <v>#DIV/0!</v>
      </c>
      <c r="BN136" s="178" t="e">
        <f t="shared" si="139"/>
        <v>#DIV/0!</v>
      </c>
      <c r="BO136" s="178" t="e">
        <f t="shared" si="139"/>
        <v>#DIV/0!</v>
      </c>
      <c r="BP136" s="178" t="e">
        <f t="shared" si="139"/>
        <v>#DIV/0!</v>
      </c>
      <c r="BQ136" s="178" t="e">
        <f t="shared" si="139"/>
        <v>#DIV/0!</v>
      </c>
      <c r="BR136" s="178" t="e">
        <f t="shared" si="139"/>
        <v>#DIV/0!</v>
      </c>
      <c r="BS136" s="178" t="e">
        <f t="shared" si="139"/>
        <v>#DIV/0!</v>
      </c>
      <c r="BT136" s="178" t="e">
        <f t="shared" si="139"/>
        <v>#DIV/0!</v>
      </c>
      <c r="BU136" s="178" t="e">
        <f t="shared" si="139"/>
        <v>#DIV/0!</v>
      </c>
      <c r="BV136" s="168" t="e">
        <f t="shared" si="139"/>
        <v>#DIV/0!</v>
      </c>
      <c r="BW136" s="169" t="e">
        <f t="shared" si="92"/>
        <v>#DIV/0!</v>
      </c>
      <c r="BX136" s="179" t="e">
        <f t="shared" si="93"/>
        <v>#DIV/0!</v>
      </c>
      <c r="BY136" s="180" t="e">
        <f t="shared" si="140"/>
        <v>#DIV/0!</v>
      </c>
      <c r="BZ136" s="178" t="e">
        <f t="shared" si="140"/>
        <v>#DIV/0!</v>
      </c>
      <c r="CA136" s="178" t="e">
        <f t="shared" si="140"/>
        <v>#DIV/0!</v>
      </c>
      <c r="CB136" s="178" t="e">
        <f t="shared" si="140"/>
        <v>#DIV/0!</v>
      </c>
      <c r="CC136" s="178" t="e">
        <f t="shared" si="140"/>
        <v>#DIV/0!</v>
      </c>
      <c r="CD136" s="178" t="e">
        <f t="shared" si="140"/>
        <v>#DIV/0!</v>
      </c>
      <c r="CE136" s="178" t="e">
        <f t="shared" si="140"/>
        <v>#DIV/0!</v>
      </c>
      <c r="CF136" s="178" t="e">
        <f t="shared" si="140"/>
        <v>#DIV/0!</v>
      </c>
      <c r="CG136" s="178" t="e">
        <f t="shared" si="140"/>
        <v>#DIV/0!</v>
      </c>
      <c r="CH136" s="178" t="e">
        <f t="shared" si="140"/>
        <v>#DIV/0!</v>
      </c>
      <c r="CI136" s="178" t="e">
        <f t="shared" si="140"/>
        <v>#DIV/0!</v>
      </c>
      <c r="CJ136" s="168" t="e">
        <f t="shared" si="140"/>
        <v>#DIV/0!</v>
      </c>
      <c r="CK136" s="169" t="e">
        <f t="shared" si="94"/>
        <v>#DIV/0!</v>
      </c>
      <c r="CL136" s="179" t="e">
        <f t="shared" si="95"/>
        <v>#DIV/0!</v>
      </c>
      <c r="CM136" s="180" t="e">
        <f t="shared" si="141"/>
        <v>#DIV/0!</v>
      </c>
      <c r="CN136" s="178" t="e">
        <f t="shared" si="141"/>
        <v>#DIV/0!</v>
      </c>
      <c r="CO136" s="178" t="e">
        <f t="shared" si="141"/>
        <v>#DIV/0!</v>
      </c>
      <c r="CP136" s="178" t="e">
        <f t="shared" si="141"/>
        <v>#DIV/0!</v>
      </c>
      <c r="CQ136" s="178" t="e">
        <f t="shared" si="141"/>
        <v>#DIV/0!</v>
      </c>
      <c r="CR136" s="178" t="e">
        <f t="shared" si="141"/>
        <v>#DIV/0!</v>
      </c>
      <c r="CS136" s="178" t="e">
        <f t="shared" si="141"/>
        <v>#DIV/0!</v>
      </c>
      <c r="CT136" s="178" t="e">
        <f t="shared" si="141"/>
        <v>#DIV/0!</v>
      </c>
      <c r="CU136" s="178" t="e">
        <f t="shared" si="141"/>
        <v>#DIV/0!</v>
      </c>
      <c r="CV136" s="178" t="e">
        <f t="shared" si="141"/>
        <v>#DIV/0!</v>
      </c>
      <c r="CW136" s="178" t="e">
        <f t="shared" si="141"/>
        <v>#DIV/0!</v>
      </c>
      <c r="CX136" s="168" t="e">
        <f t="shared" si="141"/>
        <v>#DIV/0!</v>
      </c>
      <c r="CY136" s="169" t="e">
        <f t="shared" si="96"/>
        <v>#DIV/0!</v>
      </c>
      <c r="CZ136" s="179" t="e">
        <f t="shared" si="97"/>
        <v>#DIV/0!</v>
      </c>
      <c r="DA136" s="180" t="e">
        <f t="shared" si="142"/>
        <v>#DIV/0!</v>
      </c>
      <c r="DB136" s="178" t="e">
        <f t="shared" si="142"/>
        <v>#DIV/0!</v>
      </c>
      <c r="DC136" s="178" t="e">
        <f t="shared" si="142"/>
        <v>#DIV/0!</v>
      </c>
      <c r="DD136" s="178" t="e">
        <f t="shared" si="142"/>
        <v>#DIV/0!</v>
      </c>
      <c r="DE136" s="178" t="e">
        <f t="shared" si="142"/>
        <v>#DIV/0!</v>
      </c>
      <c r="DF136" s="178" t="e">
        <f t="shared" si="142"/>
        <v>#DIV/0!</v>
      </c>
      <c r="DG136" s="178" t="e">
        <f t="shared" si="142"/>
        <v>#DIV/0!</v>
      </c>
      <c r="DH136" s="178" t="e">
        <f t="shared" si="142"/>
        <v>#DIV/0!</v>
      </c>
      <c r="DI136" s="178" t="e">
        <f t="shared" si="142"/>
        <v>#DIV/0!</v>
      </c>
      <c r="DJ136" s="178" t="e">
        <f t="shared" si="142"/>
        <v>#DIV/0!</v>
      </c>
      <c r="DK136" s="178" t="e">
        <f t="shared" si="142"/>
        <v>#DIV/0!</v>
      </c>
      <c r="DL136" s="168" t="e">
        <f t="shared" si="142"/>
        <v>#DIV/0!</v>
      </c>
      <c r="DM136" s="169" t="e">
        <f t="shared" si="98"/>
        <v>#DIV/0!</v>
      </c>
      <c r="DN136" s="171" t="e">
        <f t="shared" si="99"/>
        <v>#DIV/0!</v>
      </c>
      <c r="DO136" s="180" t="e">
        <f t="shared" si="143"/>
        <v>#DIV/0!</v>
      </c>
      <c r="DP136" s="178" t="e">
        <f t="shared" si="143"/>
        <v>#DIV/0!</v>
      </c>
      <c r="DQ136" s="178" t="e">
        <f t="shared" si="143"/>
        <v>#DIV/0!</v>
      </c>
      <c r="DR136" s="178" t="e">
        <f t="shared" si="143"/>
        <v>#DIV/0!</v>
      </c>
      <c r="DS136" s="178" t="e">
        <f t="shared" si="143"/>
        <v>#DIV/0!</v>
      </c>
      <c r="DT136" s="178" t="e">
        <f t="shared" si="143"/>
        <v>#DIV/0!</v>
      </c>
      <c r="DU136" s="178" t="e">
        <f t="shared" si="143"/>
        <v>#DIV/0!</v>
      </c>
      <c r="DV136" s="178" t="e">
        <f t="shared" si="143"/>
        <v>#DIV/0!</v>
      </c>
      <c r="DW136" s="178" t="e">
        <f t="shared" si="143"/>
        <v>#DIV/0!</v>
      </c>
      <c r="DX136" s="178" t="e">
        <f t="shared" si="143"/>
        <v>#DIV/0!</v>
      </c>
      <c r="DY136" s="178" t="e">
        <f t="shared" si="143"/>
        <v>#DIV/0!</v>
      </c>
      <c r="DZ136" s="168" t="e">
        <f t="shared" si="143"/>
        <v>#DIV/0!</v>
      </c>
      <c r="EA136" s="169" t="e">
        <f t="shared" si="100"/>
        <v>#DIV/0!</v>
      </c>
      <c r="EB136" s="171" t="e">
        <f t="shared" si="101"/>
        <v>#DIV/0!</v>
      </c>
    </row>
    <row r="137" spans="1:132" s="177" customFormat="1" ht="15.75">
      <c r="A137" s="183"/>
      <c r="B137" s="164"/>
      <c r="C137" s="187"/>
      <c r="D137" s="188"/>
      <c r="E137" s="167"/>
      <c r="F137" s="168" t="e">
        <f t="shared" si="83"/>
        <v>#DIV/0!</v>
      </c>
      <c r="G137" s="169" t="e">
        <f t="shared" si="145"/>
        <v>#DIV/0!</v>
      </c>
      <c r="H137" s="178" t="e">
        <f t="shared" si="145"/>
        <v>#DIV/0!</v>
      </c>
      <c r="I137" s="178" t="e">
        <f t="shared" si="145"/>
        <v>#DIV/0!</v>
      </c>
      <c r="J137" s="178" t="e">
        <f t="shared" si="145"/>
        <v>#DIV/0!</v>
      </c>
      <c r="K137" s="178" t="e">
        <f t="shared" si="145"/>
        <v>#DIV/0!</v>
      </c>
      <c r="L137" s="178" t="e">
        <f t="shared" si="145"/>
        <v>#DIV/0!</v>
      </c>
      <c r="M137" s="178" t="e">
        <f t="shared" si="145"/>
        <v>#DIV/0!</v>
      </c>
      <c r="N137" s="178" t="e">
        <f t="shared" si="145"/>
        <v>#DIV/0!</v>
      </c>
      <c r="O137" s="178" t="e">
        <f t="shared" si="145"/>
        <v>#DIV/0!</v>
      </c>
      <c r="P137" s="178" t="e">
        <f t="shared" si="145"/>
        <v>#DIV/0!</v>
      </c>
      <c r="Q137" s="178" t="e">
        <f t="shared" si="145"/>
        <v>#DIV/0!</v>
      </c>
      <c r="R137" s="179" t="e">
        <f t="shared" si="145"/>
        <v>#DIV/0!</v>
      </c>
      <c r="S137" s="169" t="e">
        <f t="shared" si="84"/>
        <v>#DIV/0!</v>
      </c>
      <c r="T137" s="179" t="e">
        <f t="shared" si="85"/>
        <v>#DIV/0!</v>
      </c>
      <c r="U137" s="180" t="e">
        <f t="shared" si="137"/>
        <v>#DIV/0!</v>
      </c>
      <c r="V137" s="178" t="e">
        <f t="shared" si="137"/>
        <v>#DIV/0!</v>
      </c>
      <c r="W137" s="178" t="e">
        <f t="shared" si="137"/>
        <v>#DIV/0!</v>
      </c>
      <c r="X137" s="178" t="e">
        <f t="shared" si="137"/>
        <v>#DIV/0!</v>
      </c>
      <c r="Y137" s="178" t="e">
        <f t="shared" si="137"/>
        <v>#DIV/0!</v>
      </c>
      <c r="Z137" s="178" t="e">
        <f t="shared" si="137"/>
        <v>#DIV/0!</v>
      </c>
      <c r="AA137" s="178" t="e">
        <f t="shared" si="137"/>
        <v>#DIV/0!</v>
      </c>
      <c r="AB137" s="178" t="e">
        <f t="shared" si="137"/>
        <v>#DIV/0!</v>
      </c>
      <c r="AC137" s="178" t="e">
        <f t="shared" si="137"/>
        <v>#DIV/0!</v>
      </c>
      <c r="AD137" s="178" t="e">
        <f t="shared" si="137"/>
        <v>#DIV/0!</v>
      </c>
      <c r="AE137" s="178" t="e">
        <f t="shared" si="137"/>
        <v>#DIV/0!</v>
      </c>
      <c r="AF137" s="168" t="e">
        <f t="shared" si="137"/>
        <v>#DIV/0!</v>
      </c>
      <c r="AG137" s="169" t="e">
        <f t="shared" si="86"/>
        <v>#DIV/0!</v>
      </c>
      <c r="AH137" s="179" t="e">
        <f t="shared" si="87"/>
        <v>#DIV/0!</v>
      </c>
      <c r="AI137" s="180" t="e">
        <f t="shared" si="130"/>
        <v>#DIV/0!</v>
      </c>
      <c r="AJ137" s="178" t="e">
        <f t="shared" si="130"/>
        <v>#DIV/0!</v>
      </c>
      <c r="AK137" s="178" t="e">
        <f t="shared" si="130"/>
        <v>#DIV/0!</v>
      </c>
      <c r="AL137" s="178" t="e">
        <f t="shared" si="130"/>
        <v>#DIV/0!</v>
      </c>
      <c r="AM137" s="178" t="e">
        <f t="shared" si="130"/>
        <v>#DIV/0!</v>
      </c>
      <c r="AN137" s="178" t="e">
        <f t="shared" si="130"/>
        <v>#DIV/0!</v>
      </c>
      <c r="AO137" s="178" t="e">
        <f t="shared" si="130"/>
        <v>#DIV/0!</v>
      </c>
      <c r="AP137" s="178" t="e">
        <f t="shared" si="130"/>
        <v>#DIV/0!</v>
      </c>
      <c r="AQ137" s="178" t="e">
        <f t="shared" si="130"/>
        <v>#DIV/0!</v>
      </c>
      <c r="AR137" s="178" t="e">
        <f t="shared" si="130"/>
        <v>#DIV/0!</v>
      </c>
      <c r="AS137" s="178" t="e">
        <f t="shared" si="130"/>
        <v>#DIV/0!</v>
      </c>
      <c r="AT137" s="168" t="e">
        <f t="shared" si="130"/>
        <v>#DIV/0!</v>
      </c>
      <c r="AU137" s="169" t="e">
        <f t="shared" si="88"/>
        <v>#DIV/0!</v>
      </c>
      <c r="AV137" s="179" t="e">
        <f t="shared" si="89"/>
        <v>#DIV/0!</v>
      </c>
      <c r="AW137" s="180" t="e">
        <f t="shared" si="138"/>
        <v>#DIV/0!</v>
      </c>
      <c r="AX137" s="178" t="e">
        <f t="shared" si="138"/>
        <v>#DIV/0!</v>
      </c>
      <c r="AY137" s="178" t="e">
        <f t="shared" si="138"/>
        <v>#DIV/0!</v>
      </c>
      <c r="AZ137" s="178" t="e">
        <f t="shared" si="138"/>
        <v>#DIV/0!</v>
      </c>
      <c r="BA137" s="178" t="e">
        <f t="shared" si="138"/>
        <v>#DIV/0!</v>
      </c>
      <c r="BB137" s="178" t="e">
        <f t="shared" si="138"/>
        <v>#DIV/0!</v>
      </c>
      <c r="BC137" s="178" t="e">
        <f t="shared" si="138"/>
        <v>#DIV/0!</v>
      </c>
      <c r="BD137" s="178" t="e">
        <f t="shared" si="138"/>
        <v>#DIV/0!</v>
      </c>
      <c r="BE137" s="178" t="e">
        <f t="shared" si="138"/>
        <v>#DIV/0!</v>
      </c>
      <c r="BF137" s="178" t="e">
        <f t="shared" si="138"/>
        <v>#DIV/0!</v>
      </c>
      <c r="BG137" s="178" t="e">
        <f t="shared" si="138"/>
        <v>#DIV/0!</v>
      </c>
      <c r="BH137" s="168" t="e">
        <f t="shared" si="138"/>
        <v>#DIV/0!</v>
      </c>
      <c r="BI137" s="169" t="e">
        <f t="shared" si="90"/>
        <v>#DIV/0!</v>
      </c>
      <c r="BJ137" s="179" t="e">
        <f t="shared" si="91"/>
        <v>#DIV/0!</v>
      </c>
      <c r="BK137" s="180" t="e">
        <f t="shared" si="139"/>
        <v>#DIV/0!</v>
      </c>
      <c r="BL137" s="178" t="e">
        <f t="shared" si="139"/>
        <v>#DIV/0!</v>
      </c>
      <c r="BM137" s="178" t="e">
        <f t="shared" si="139"/>
        <v>#DIV/0!</v>
      </c>
      <c r="BN137" s="178" t="e">
        <f t="shared" si="139"/>
        <v>#DIV/0!</v>
      </c>
      <c r="BO137" s="178" t="e">
        <f t="shared" si="139"/>
        <v>#DIV/0!</v>
      </c>
      <c r="BP137" s="178" t="e">
        <f t="shared" si="139"/>
        <v>#DIV/0!</v>
      </c>
      <c r="BQ137" s="178" t="e">
        <f t="shared" si="139"/>
        <v>#DIV/0!</v>
      </c>
      <c r="BR137" s="178" t="e">
        <f t="shared" si="139"/>
        <v>#DIV/0!</v>
      </c>
      <c r="BS137" s="178" t="e">
        <f t="shared" si="139"/>
        <v>#DIV/0!</v>
      </c>
      <c r="BT137" s="178" t="e">
        <f t="shared" si="139"/>
        <v>#DIV/0!</v>
      </c>
      <c r="BU137" s="178" t="e">
        <f t="shared" si="139"/>
        <v>#DIV/0!</v>
      </c>
      <c r="BV137" s="168" t="e">
        <f t="shared" si="139"/>
        <v>#DIV/0!</v>
      </c>
      <c r="BW137" s="169" t="e">
        <f t="shared" si="92"/>
        <v>#DIV/0!</v>
      </c>
      <c r="BX137" s="179" t="e">
        <f t="shared" si="93"/>
        <v>#DIV/0!</v>
      </c>
      <c r="BY137" s="180" t="e">
        <f t="shared" si="140"/>
        <v>#DIV/0!</v>
      </c>
      <c r="BZ137" s="178" t="e">
        <f t="shared" si="140"/>
        <v>#DIV/0!</v>
      </c>
      <c r="CA137" s="178" t="e">
        <f t="shared" si="140"/>
        <v>#DIV/0!</v>
      </c>
      <c r="CB137" s="178" t="e">
        <f t="shared" si="140"/>
        <v>#DIV/0!</v>
      </c>
      <c r="CC137" s="178" t="e">
        <f t="shared" si="140"/>
        <v>#DIV/0!</v>
      </c>
      <c r="CD137" s="178" t="e">
        <f t="shared" si="140"/>
        <v>#DIV/0!</v>
      </c>
      <c r="CE137" s="178" t="e">
        <f t="shared" si="140"/>
        <v>#DIV/0!</v>
      </c>
      <c r="CF137" s="178" t="e">
        <f t="shared" si="140"/>
        <v>#DIV/0!</v>
      </c>
      <c r="CG137" s="178" t="e">
        <f t="shared" si="140"/>
        <v>#DIV/0!</v>
      </c>
      <c r="CH137" s="178" t="e">
        <f t="shared" si="140"/>
        <v>#DIV/0!</v>
      </c>
      <c r="CI137" s="178" t="e">
        <f t="shared" si="140"/>
        <v>#DIV/0!</v>
      </c>
      <c r="CJ137" s="168" t="e">
        <f t="shared" si="140"/>
        <v>#DIV/0!</v>
      </c>
      <c r="CK137" s="169" t="e">
        <f t="shared" si="94"/>
        <v>#DIV/0!</v>
      </c>
      <c r="CL137" s="179" t="e">
        <f t="shared" si="95"/>
        <v>#DIV/0!</v>
      </c>
      <c r="CM137" s="180" t="e">
        <f t="shared" si="141"/>
        <v>#DIV/0!</v>
      </c>
      <c r="CN137" s="178" t="e">
        <f t="shared" si="141"/>
        <v>#DIV/0!</v>
      </c>
      <c r="CO137" s="178" t="e">
        <f t="shared" si="141"/>
        <v>#DIV/0!</v>
      </c>
      <c r="CP137" s="178" t="e">
        <f t="shared" si="141"/>
        <v>#DIV/0!</v>
      </c>
      <c r="CQ137" s="178" t="e">
        <f t="shared" si="141"/>
        <v>#DIV/0!</v>
      </c>
      <c r="CR137" s="178" t="e">
        <f t="shared" si="141"/>
        <v>#DIV/0!</v>
      </c>
      <c r="CS137" s="178" t="e">
        <f t="shared" si="141"/>
        <v>#DIV/0!</v>
      </c>
      <c r="CT137" s="178" t="e">
        <f t="shared" si="141"/>
        <v>#DIV/0!</v>
      </c>
      <c r="CU137" s="178" t="e">
        <f t="shared" si="141"/>
        <v>#DIV/0!</v>
      </c>
      <c r="CV137" s="178" t="e">
        <f t="shared" si="141"/>
        <v>#DIV/0!</v>
      </c>
      <c r="CW137" s="178" t="e">
        <f t="shared" si="141"/>
        <v>#DIV/0!</v>
      </c>
      <c r="CX137" s="168" t="e">
        <f t="shared" si="141"/>
        <v>#DIV/0!</v>
      </c>
      <c r="CY137" s="169" t="e">
        <f t="shared" si="96"/>
        <v>#DIV/0!</v>
      </c>
      <c r="CZ137" s="179" t="e">
        <f t="shared" si="97"/>
        <v>#DIV/0!</v>
      </c>
      <c r="DA137" s="180" t="e">
        <f t="shared" si="142"/>
        <v>#DIV/0!</v>
      </c>
      <c r="DB137" s="178" t="e">
        <f t="shared" si="142"/>
        <v>#DIV/0!</v>
      </c>
      <c r="DC137" s="178" t="e">
        <f t="shared" si="142"/>
        <v>#DIV/0!</v>
      </c>
      <c r="DD137" s="178" t="e">
        <f t="shared" si="142"/>
        <v>#DIV/0!</v>
      </c>
      <c r="DE137" s="178" t="e">
        <f t="shared" si="142"/>
        <v>#DIV/0!</v>
      </c>
      <c r="DF137" s="178" t="e">
        <f t="shared" si="142"/>
        <v>#DIV/0!</v>
      </c>
      <c r="DG137" s="178" t="e">
        <f t="shared" si="142"/>
        <v>#DIV/0!</v>
      </c>
      <c r="DH137" s="178" t="e">
        <f t="shared" si="142"/>
        <v>#DIV/0!</v>
      </c>
      <c r="DI137" s="178" t="e">
        <f t="shared" si="142"/>
        <v>#DIV/0!</v>
      </c>
      <c r="DJ137" s="178" t="e">
        <f t="shared" si="142"/>
        <v>#DIV/0!</v>
      </c>
      <c r="DK137" s="178" t="e">
        <f t="shared" si="142"/>
        <v>#DIV/0!</v>
      </c>
      <c r="DL137" s="168" t="e">
        <f t="shared" si="142"/>
        <v>#DIV/0!</v>
      </c>
      <c r="DM137" s="169" t="e">
        <f t="shared" si="98"/>
        <v>#DIV/0!</v>
      </c>
      <c r="DN137" s="171" t="e">
        <f t="shared" si="99"/>
        <v>#DIV/0!</v>
      </c>
      <c r="DO137" s="180" t="e">
        <f t="shared" si="143"/>
        <v>#DIV/0!</v>
      </c>
      <c r="DP137" s="178" t="e">
        <f t="shared" si="143"/>
        <v>#DIV/0!</v>
      </c>
      <c r="DQ137" s="178" t="e">
        <f t="shared" si="143"/>
        <v>#DIV/0!</v>
      </c>
      <c r="DR137" s="178" t="e">
        <f t="shared" si="143"/>
        <v>#DIV/0!</v>
      </c>
      <c r="DS137" s="178" t="e">
        <f t="shared" si="143"/>
        <v>#DIV/0!</v>
      </c>
      <c r="DT137" s="178" t="e">
        <f t="shared" si="143"/>
        <v>#DIV/0!</v>
      </c>
      <c r="DU137" s="178" t="e">
        <f t="shared" si="143"/>
        <v>#DIV/0!</v>
      </c>
      <c r="DV137" s="178" t="e">
        <f t="shared" si="143"/>
        <v>#DIV/0!</v>
      </c>
      <c r="DW137" s="178" t="e">
        <f t="shared" si="143"/>
        <v>#DIV/0!</v>
      </c>
      <c r="DX137" s="178" t="e">
        <f t="shared" si="143"/>
        <v>#DIV/0!</v>
      </c>
      <c r="DY137" s="178" t="e">
        <f t="shared" si="143"/>
        <v>#DIV/0!</v>
      </c>
      <c r="DZ137" s="168" t="e">
        <f t="shared" si="143"/>
        <v>#DIV/0!</v>
      </c>
      <c r="EA137" s="169" t="e">
        <f t="shared" si="100"/>
        <v>#DIV/0!</v>
      </c>
      <c r="EB137" s="171" t="e">
        <f t="shared" si="101"/>
        <v>#DIV/0!</v>
      </c>
    </row>
    <row r="138" spans="1:132" s="177" customFormat="1" ht="16.5" thickBot="1">
      <c r="A138" s="183"/>
      <c r="B138" s="164"/>
      <c r="C138" s="187"/>
      <c r="D138" s="188"/>
      <c r="E138" s="167"/>
      <c r="F138" s="168" t="e">
        <f t="shared" ref="F138" si="146">D138/E138</f>
        <v>#DIV/0!</v>
      </c>
      <c r="G138" s="189" t="e">
        <f t="shared" si="145"/>
        <v>#DIV/0!</v>
      </c>
      <c r="H138" s="190" t="e">
        <f t="shared" si="145"/>
        <v>#DIV/0!</v>
      </c>
      <c r="I138" s="190" t="e">
        <f t="shared" si="145"/>
        <v>#DIV/0!</v>
      </c>
      <c r="J138" s="190" t="e">
        <f t="shared" si="145"/>
        <v>#DIV/0!</v>
      </c>
      <c r="K138" s="190" t="e">
        <f t="shared" si="145"/>
        <v>#DIV/0!</v>
      </c>
      <c r="L138" s="190" t="e">
        <f t="shared" si="145"/>
        <v>#DIV/0!</v>
      </c>
      <c r="M138" s="190" t="e">
        <f t="shared" si="145"/>
        <v>#DIV/0!</v>
      </c>
      <c r="N138" s="190" t="e">
        <f t="shared" si="145"/>
        <v>#DIV/0!</v>
      </c>
      <c r="O138" s="190" t="e">
        <f t="shared" si="145"/>
        <v>#DIV/0!</v>
      </c>
      <c r="P138" s="190" t="e">
        <f t="shared" si="145"/>
        <v>#DIV/0!</v>
      </c>
      <c r="Q138" s="190" t="e">
        <f t="shared" si="145"/>
        <v>#DIV/0!</v>
      </c>
      <c r="R138" s="191" t="e">
        <f t="shared" si="145"/>
        <v>#DIV/0!</v>
      </c>
      <c r="S138" s="189" t="e">
        <f t="shared" si="84"/>
        <v>#DIV/0!</v>
      </c>
      <c r="T138" s="191" t="e">
        <f t="shared" si="85"/>
        <v>#DIV/0!</v>
      </c>
      <c r="U138" s="192" t="e">
        <f t="shared" si="137"/>
        <v>#DIV/0!</v>
      </c>
      <c r="V138" s="190" t="e">
        <f t="shared" si="137"/>
        <v>#DIV/0!</v>
      </c>
      <c r="W138" s="190" t="e">
        <f t="shared" si="137"/>
        <v>#DIV/0!</v>
      </c>
      <c r="X138" s="190" t="e">
        <f t="shared" si="137"/>
        <v>#DIV/0!</v>
      </c>
      <c r="Y138" s="190" t="e">
        <f t="shared" si="137"/>
        <v>#DIV/0!</v>
      </c>
      <c r="Z138" s="190" t="e">
        <f t="shared" si="137"/>
        <v>#DIV/0!</v>
      </c>
      <c r="AA138" s="190" t="e">
        <f t="shared" si="137"/>
        <v>#DIV/0!</v>
      </c>
      <c r="AB138" s="190" t="e">
        <f t="shared" si="137"/>
        <v>#DIV/0!</v>
      </c>
      <c r="AC138" s="190" t="e">
        <f t="shared" si="137"/>
        <v>#DIV/0!</v>
      </c>
      <c r="AD138" s="190" t="e">
        <f t="shared" si="137"/>
        <v>#DIV/0!</v>
      </c>
      <c r="AE138" s="190" t="e">
        <f t="shared" si="137"/>
        <v>#DIV/0!</v>
      </c>
      <c r="AF138" s="193" t="e">
        <f t="shared" si="137"/>
        <v>#DIV/0!</v>
      </c>
      <c r="AG138" s="189" t="e">
        <f t="shared" si="86"/>
        <v>#DIV/0!</v>
      </c>
      <c r="AH138" s="191" t="e">
        <f t="shared" si="87"/>
        <v>#DIV/0!</v>
      </c>
      <c r="AI138" s="192" t="e">
        <f t="shared" si="130"/>
        <v>#DIV/0!</v>
      </c>
      <c r="AJ138" s="190" t="e">
        <f t="shared" si="130"/>
        <v>#DIV/0!</v>
      </c>
      <c r="AK138" s="190" t="e">
        <f t="shared" si="130"/>
        <v>#DIV/0!</v>
      </c>
      <c r="AL138" s="190" t="e">
        <f t="shared" si="130"/>
        <v>#DIV/0!</v>
      </c>
      <c r="AM138" s="190" t="e">
        <f t="shared" si="130"/>
        <v>#DIV/0!</v>
      </c>
      <c r="AN138" s="190" t="e">
        <f t="shared" si="130"/>
        <v>#DIV/0!</v>
      </c>
      <c r="AO138" s="190" t="e">
        <f t="shared" si="130"/>
        <v>#DIV/0!</v>
      </c>
      <c r="AP138" s="190" t="e">
        <f t="shared" si="130"/>
        <v>#DIV/0!</v>
      </c>
      <c r="AQ138" s="190" t="e">
        <f t="shared" si="130"/>
        <v>#DIV/0!</v>
      </c>
      <c r="AR138" s="190" t="e">
        <f t="shared" si="130"/>
        <v>#DIV/0!</v>
      </c>
      <c r="AS138" s="190" t="e">
        <f t="shared" si="130"/>
        <v>#DIV/0!</v>
      </c>
      <c r="AT138" s="193" t="e">
        <f t="shared" si="130"/>
        <v>#DIV/0!</v>
      </c>
      <c r="AU138" s="189" t="e">
        <f t="shared" si="88"/>
        <v>#DIV/0!</v>
      </c>
      <c r="AV138" s="191" t="e">
        <f t="shared" si="89"/>
        <v>#DIV/0!</v>
      </c>
      <c r="AW138" s="192" t="e">
        <f t="shared" si="138"/>
        <v>#DIV/0!</v>
      </c>
      <c r="AX138" s="190" t="e">
        <f t="shared" si="138"/>
        <v>#DIV/0!</v>
      </c>
      <c r="AY138" s="190" t="e">
        <f t="shared" si="138"/>
        <v>#DIV/0!</v>
      </c>
      <c r="AZ138" s="190" t="e">
        <f t="shared" si="138"/>
        <v>#DIV/0!</v>
      </c>
      <c r="BA138" s="190" t="e">
        <f t="shared" si="138"/>
        <v>#DIV/0!</v>
      </c>
      <c r="BB138" s="190" t="e">
        <f t="shared" si="138"/>
        <v>#DIV/0!</v>
      </c>
      <c r="BC138" s="190" t="e">
        <f t="shared" si="138"/>
        <v>#DIV/0!</v>
      </c>
      <c r="BD138" s="190" t="e">
        <f t="shared" si="138"/>
        <v>#DIV/0!</v>
      </c>
      <c r="BE138" s="190" t="e">
        <f t="shared" si="138"/>
        <v>#DIV/0!</v>
      </c>
      <c r="BF138" s="190" t="e">
        <f t="shared" si="138"/>
        <v>#DIV/0!</v>
      </c>
      <c r="BG138" s="190" t="e">
        <f t="shared" si="138"/>
        <v>#DIV/0!</v>
      </c>
      <c r="BH138" s="193" t="e">
        <f t="shared" si="138"/>
        <v>#DIV/0!</v>
      </c>
      <c r="BI138" s="189" t="e">
        <f t="shared" si="90"/>
        <v>#DIV/0!</v>
      </c>
      <c r="BJ138" s="191" t="e">
        <f t="shared" si="91"/>
        <v>#DIV/0!</v>
      </c>
      <c r="BK138" s="192" t="e">
        <f t="shared" si="139"/>
        <v>#DIV/0!</v>
      </c>
      <c r="BL138" s="190" t="e">
        <f t="shared" si="139"/>
        <v>#DIV/0!</v>
      </c>
      <c r="BM138" s="190" t="e">
        <f t="shared" si="139"/>
        <v>#DIV/0!</v>
      </c>
      <c r="BN138" s="190" t="e">
        <f t="shared" si="139"/>
        <v>#DIV/0!</v>
      </c>
      <c r="BO138" s="190" t="e">
        <f t="shared" si="139"/>
        <v>#DIV/0!</v>
      </c>
      <c r="BP138" s="190" t="e">
        <f t="shared" si="139"/>
        <v>#DIV/0!</v>
      </c>
      <c r="BQ138" s="190" t="e">
        <f t="shared" si="139"/>
        <v>#DIV/0!</v>
      </c>
      <c r="BR138" s="190" t="e">
        <f t="shared" si="139"/>
        <v>#DIV/0!</v>
      </c>
      <c r="BS138" s="190" t="e">
        <f t="shared" si="139"/>
        <v>#DIV/0!</v>
      </c>
      <c r="BT138" s="190" t="e">
        <f t="shared" si="139"/>
        <v>#DIV/0!</v>
      </c>
      <c r="BU138" s="190" t="e">
        <f t="shared" si="139"/>
        <v>#DIV/0!</v>
      </c>
      <c r="BV138" s="193" t="e">
        <f t="shared" si="139"/>
        <v>#DIV/0!</v>
      </c>
      <c r="BW138" s="189" t="e">
        <f t="shared" si="92"/>
        <v>#DIV/0!</v>
      </c>
      <c r="BX138" s="191" t="e">
        <f t="shared" si="93"/>
        <v>#DIV/0!</v>
      </c>
      <c r="BY138" s="192" t="e">
        <f t="shared" si="140"/>
        <v>#DIV/0!</v>
      </c>
      <c r="BZ138" s="190" t="e">
        <f t="shared" si="140"/>
        <v>#DIV/0!</v>
      </c>
      <c r="CA138" s="190" t="e">
        <f t="shared" si="140"/>
        <v>#DIV/0!</v>
      </c>
      <c r="CB138" s="190" t="e">
        <f t="shared" si="140"/>
        <v>#DIV/0!</v>
      </c>
      <c r="CC138" s="190" t="e">
        <f t="shared" si="140"/>
        <v>#DIV/0!</v>
      </c>
      <c r="CD138" s="190" t="e">
        <f t="shared" si="140"/>
        <v>#DIV/0!</v>
      </c>
      <c r="CE138" s="190" t="e">
        <f t="shared" si="140"/>
        <v>#DIV/0!</v>
      </c>
      <c r="CF138" s="190" t="e">
        <f t="shared" si="140"/>
        <v>#DIV/0!</v>
      </c>
      <c r="CG138" s="190" t="e">
        <f t="shared" si="140"/>
        <v>#DIV/0!</v>
      </c>
      <c r="CH138" s="190" t="e">
        <f t="shared" si="140"/>
        <v>#DIV/0!</v>
      </c>
      <c r="CI138" s="190" t="e">
        <f t="shared" si="140"/>
        <v>#DIV/0!</v>
      </c>
      <c r="CJ138" s="193" t="e">
        <f t="shared" si="140"/>
        <v>#DIV/0!</v>
      </c>
      <c r="CK138" s="189" t="e">
        <f t="shared" si="94"/>
        <v>#DIV/0!</v>
      </c>
      <c r="CL138" s="191" t="e">
        <f t="shared" si="95"/>
        <v>#DIV/0!</v>
      </c>
      <c r="CM138" s="192" t="e">
        <f t="shared" si="141"/>
        <v>#DIV/0!</v>
      </c>
      <c r="CN138" s="190" t="e">
        <f t="shared" si="141"/>
        <v>#DIV/0!</v>
      </c>
      <c r="CO138" s="190" t="e">
        <f t="shared" si="141"/>
        <v>#DIV/0!</v>
      </c>
      <c r="CP138" s="190" t="e">
        <f t="shared" si="141"/>
        <v>#DIV/0!</v>
      </c>
      <c r="CQ138" s="190" t="e">
        <f t="shared" si="141"/>
        <v>#DIV/0!</v>
      </c>
      <c r="CR138" s="190" t="e">
        <f t="shared" si="141"/>
        <v>#DIV/0!</v>
      </c>
      <c r="CS138" s="190" t="e">
        <f t="shared" si="141"/>
        <v>#DIV/0!</v>
      </c>
      <c r="CT138" s="190" t="e">
        <f t="shared" si="141"/>
        <v>#DIV/0!</v>
      </c>
      <c r="CU138" s="190" t="e">
        <f t="shared" si="141"/>
        <v>#DIV/0!</v>
      </c>
      <c r="CV138" s="190" t="e">
        <f t="shared" si="141"/>
        <v>#DIV/0!</v>
      </c>
      <c r="CW138" s="190" t="e">
        <f t="shared" si="141"/>
        <v>#DIV/0!</v>
      </c>
      <c r="CX138" s="193" t="e">
        <f t="shared" si="141"/>
        <v>#DIV/0!</v>
      </c>
      <c r="CY138" s="189" t="e">
        <f t="shared" si="96"/>
        <v>#DIV/0!</v>
      </c>
      <c r="CZ138" s="191" t="e">
        <f t="shared" si="97"/>
        <v>#DIV/0!</v>
      </c>
      <c r="DA138" s="192" t="e">
        <f t="shared" si="142"/>
        <v>#DIV/0!</v>
      </c>
      <c r="DB138" s="190" t="e">
        <f t="shared" si="142"/>
        <v>#DIV/0!</v>
      </c>
      <c r="DC138" s="190" t="e">
        <f t="shared" si="142"/>
        <v>#DIV/0!</v>
      </c>
      <c r="DD138" s="190" t="e">
        <f t="shared" si="142"/>
        <v>#DIV/0!</v>
      </c>
      <c r="DE138" s="190" t="e">
        <f t="shared" si="142"/>
        <v>#DIV/0!</v>
      </c>
      <c r="DF138" s="190" t="e">
        <f t="shared" si="142"/>
        <v>#DIV/0!</v>
      </c>
      <c r="DG138" s="190" t="e">
        <f t="shared" si="142"/>
        <v>#DIV/0!</v>
      </c>
      <c r="DH138" s="190" t="e">
        <f t="shared" si="142"/>
        <v>#DIV/0!</v>
      </c>
      <c r="DI138" s="190" t="e">
        <f t="shared" si="142"/>
        <v>#DIV/0!</v>
      </c>
      <c r="DJ138" s="190" t="e">
        <f t="shared" si="142"/>
        <v>#DIV/0!</v>
      </c>
      <c r="DK138" s="190" t="e">
        <f t="shared" si="142"/>
        <v>#DIV/0!</v>
      </c>
      <c r="DL138" s="193" t="e">
        <f t="shared" si="142"/>
        <v>#DIV/0!</v>
      </c>
      <c r="DM138" s="189" t="e">
        <f t="shared" si="98"/>
        <v>#DIV/0!</v>
      </c>
      <c r="DN138" s="191" t="e">
        <f>IF(AND($DL$9&gt;$A138,$DM138&lt;&gt;0),$D138-$S138-$AG138-$AU138-$BI138-$BW138-$CK$10-$CY138-$DM138,0)</f>
        <v>#DIV/0!</v>
      </c>
      <c r="DO138" s="192" t="e">
        <f t="shared" si="143"/>
        <v>#DIV/0!</v>
      </c>
      <c r="DP138" s="190" t="e">
        <f t="shared" si="143"/>
        <v>#DIV/0!</v>
      </c>
      <c r="DQ138" s="190" t="e">
        <f t="shared" si="143"/>
        <v>#DIV/0!</v>
      </c>
      <c r="DR138" s="190" t="e">
        <f t="shared" si="143"/>
        <v>#DIV/0!</v>
      </c>
      <c r="DS138" s="190" t="e">
        <f t="shared" si="143"/>
        <v>#DIV/0!</v>
      </c>
      <c r="DT138" s="190" t="e">
        <f t="shared" si="143"/>
        <v>#DIV/0!</v>
      </c>
      <c r="DU138" s="190" t="e">
        <f t="shared" si="143"/>
        <v>#DIV/0!</v>
      </c>
      <c r="DV138" s="190" t="e">
        <f t="shared" si="143"/>
        <v>#DIV/0!</v>
      </c>
      <c r="DW138" s="190" t="e">
        <f t="shared" si="143"/>
        <v>#DIV/0!</v>
      </c>
      <c r="DX138" s="190" t="e">
        <f t="shared" si="143"/>
        <v>#DIV/0!</v>
      </c>
      <c r="DY138" s="190" t="e">
        <f t="shared" si="143"/>
        <v>#DIV/0!</v>
      </c>
      <c r="DZ138" s="193" t="e">
        <f t="shared" si="143"/>
        <v>#DIV/0!</v>
      </c>
      <c r="EA138" s="189" t="e">
        <f t="shared" si="100"/>
        <v>#DIV/0!</v>
      </c>
      <c r="EB138" s="194" t="e">
        <f t="shared" si="101"/>
        <v>#DIV/0!</v>
      </c>
    </row>
    <row r="139" spans="1:132">
      <c r="F139" s="195"/>
    </row>
    <row r="140" spans="1:132">
      <c r="F140" s="195"/>
    </row>
    <row r="141" spans="1:132">
      <c r="F141" s="195"/>
    </row>
    <row r="142" spans="1:132">
      <c r="F142" s="195"/>
    </row>
    <row r="143" spans="1:132">
      <c r="F143" s="195"/>
    </row>
    <row r="144" spans="1:132">
      <c r="F144" s="195"/>
    </row>
    <row r="145" spans="6:6" s="126" customFormat="1">
      <c r="F145" s="195"/>
    </row>
    <row r="146" spans="6:6" s="126" customFormat="1">
      <c r="F146" s="195"/>
    </row>
    <row r="147" spans="6:6" s="126" customFormat="1">
      <c r="F147" s="195"/>
    </row>
    <row r="148" spans="6:6" s="126" customFormat="1">
      <c r="F148" s="195"/>
    </row>
  </sheetData>
  <autoFilter ref="A9:EB9"/>
  <mergeCells count="3">
    <mergeCell ref="V1:AA1"/>
    <mergeCell ref="V3:Z3"/>
    <mergeCell ref="V4:Y4"/>
  </mergeCells>
  <conditionalFormatting sqref="T10:T138">
    <cfRule type="cellIs" dxfId="2" priority="3" operator="lessThan">
      <formula>0</formula>
    </cfRule>
  </conditionalFormatting>
  <conditionalFormatting sqref="AH10:AH138 AV10:AV138">
    <cfRule type="cellIs" dxfId="1" priority="2" operator="lessThanOrEqual">
      <formula>0</formula>
    </cfRule>
  </conditionalFormatting>
  <conditionalFormatting sqref="BJ10:BJ138 BX10:BX138 CL10:CL138 CZ10:CZ138 DN10:DN138 EB10:EB138">
    <cfRule type="cellIs" dxfId="0" priority="1" stopIfTrue="1" operator="lessThanOrEqual">
      <formula>0</formula>
    </cfRule>
  </conditionalFormatting>
  <dataValidations count="3">
    <dataValidation type="list" allowBlank="1" showInputMessage="1" showErrorMessage="1" sqref="B10:B67">
      <formula1>$A$1:$A$7</formula1>
    </dataValidation>
    <dataValidation type="list" allowBlank="1" showInputMessage="1" showErrorMessage="1" sqref="C61">
      <formula1>INDIRECT(B61)</formula1>
    </dataValidation>
    <dataValidation type="list" allowBlank="1" showInputMessage="1" showErrorMessage="1" sqref="B68:B138">
      <formula1>$A$1:$A$6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4</vt:i4>
      </vt:variant>
    </vt:vector>
  </HeadingPairs>
  <TitlesOfParts>
    <vt:vector size="20" baseType="lpstr">
      <vt:lpstr>Données</vt:lpstr>
      <vt:lpstr>Nv capital</vt:lpstr>
      <vt:lpstr> Bilan cloture</vt:lpstr>
      <vt:lpstr>Repartition globale</vt:lpstr>
      <vt:lpstr>Avances asso</vt:lpstr>
      <vt:lpstr>Fiche associé</vt:lpstr>
      <vt:lpstr> Bilan départ</vt:lpstr>
      <vt:lpstr>stoks arg</vt:lpstr>
      <vt:lpstr>stok PO</vt:lpstr>
      <vt:lpstr>stocks or</vt:lpstr>
      <vt:lpstr>client</vt:lpstr>
      <vt:lpstr>Frs</vt:lpstr>
      <vt:lpstr>personnel</vt:lpstr>
      <vt:lpstr>Invest Mag</vt:lpstr>
      <vt:lpstr>invest AtB3</vt:lpstr>
      <vt:lpstr>invest Atb1</vt:lpstr>
      <vt:lpstr>'Nv capital'!Impression_des_titres</vt:lpstr>
      <vt:lpstr>'Fiche associé'!Zone_d_impression</vt:lpstr>
      <vt:lpstr>'Nv capital'!Zone_d_impression</vt:lpstr>
      <vt:lpstr>'Repartition globale'!Zone_d_impression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BCOS</dc:creator>
  <cp:lastModifiedBy>ADMIN</cp:lastModifiedBy>
  <cp:lastPrinted>2024-10-20T19:31:26Z</cp:lastPrinted>
  <dcterms:created xsi:type="dcterms:W3CDTF">2011-11-20T15:16:21Z</dcterms:created>
  <dcterms:modified xsi:type="dcterms:W3CDTF">2024-10-20T19:32:55Z</dcterms:modified>
</cp:coreProperties>
</file>